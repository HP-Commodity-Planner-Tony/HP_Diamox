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tables/table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omments1.xml" ContentType="application/vnd.openxmlformats-officedocument.spreadsheetml.comments+xml"/>
  <Override PartName="/xl/customProperty8.bin" ContentType="application/vnd.openxmlformats-officedocument.spreadsheetml.customProperty"/>
  <Override PartName="/xl/pivotTables/pivotTable1.xml" ContentType="application/vnd.openxmlformats-officedocument.spreadsheetml.pivotTable+xml"/>
  <Override PartName="/xl/customProperty9.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hout\Documents\Projects\Diamox\"/>
    </mc:Choice>
  </mc:AlternateContent>
  <xr:revisionPtr revIDLastSave="0" documentId="13_ncr:1_{47C0E793-22BA-4F6F-BA5A-4A8D18B1C041}" xr6:coauthVersionLast="47" xr6:coauthVersionMax="47" xr10:uidLastSave="{00000000-0000-0000-0000-000000000000}"/>
  <bookViews>
    <workbookView xWindow="-5130" yWindow="-21720" windowWidth="38640" windowHeight="21240" tabRatio="374" xr2:uid="{00000000-000D-0000-FFFF-FFFF00000000}"/>
  </bookViews>
  <sheets>
    <sheet name="Home" sheetId="14" r:id="rId1"/>
    <sheet name="Explanation" sheetId="80" state="hidden" r:id="rId2"/>
    <sheet name="Developer" sheetId="78" state="hidden" r:id="rId3"/>
    <sheet name="Exception" sheetId="87" state="hidden" r:id="rId4"/>
    <sheet name="Calculation" sheetId="484" r:id="rId5"/>
    <sheet name="Modifier Table" sheetId="485" r:id="rId6"/>
    <sheet name="FD Table" sheetId="486" r:id="rId7"/>
    <sheet name="Pivot Table" sheetId="487" r:id="rId8"/>
  </sheets>
  <functionGroups builtInGroupCount="19"/>
  <definedNames>
    <definedName name="_SOP">" "</definedName>
    <definedName name="EPMWorkbookOptions_1" hidden="1">"dgEAAB+LCAAAAAAABACFkMEKgkAQhu9B77DsPVcLOoTaoS5BYhRU10lHXdJZ2d3aHj8pLKpD12++f4b5w/mtqdkVtZGKIh54PmdImcollRG/2GIUTPk8Hg7Cg9Lnk1LntLWdaliXIzO7GRnxytp2JoRzznMTT+lSjH0/EMdkvcsqbGAkyVigDPkrlf9P8e4qY+EWC42mSiltkeICaoOh+IQPb1Ej6CVYSGkHV+zNb/xw+182WlnMLOa9/Tv4"</definedName>
    <definedName name="EPMWorkbookOptions_2" hidden="1">"9F3OxBOtzB60hFONCeryveGHd9WJr+7iO45h/1l2AQAA"</definedName>
    <definedName name="SOP_Connection_Name">"E3 DSP"</definedName>
    <definedName name="SOP_Favorite_Name">"supply changes week over week"</definedName>
    <definedName name="SOP_Filter">{" "}</definedName>
    <definedName name="SOP_Planning_Area">"ZEVEREST"</definedName>
    <definedName name="SOP_Planning_Scope">" "</definedName>
    <definedName name="SOP_Refresh_Timestamp">44529.7548263889</definedName>
    <definedName name="SOP_Template_Name">"Ariba Forecast View"</definedName>
  </definedNames>
  <calcPr calcId="191029"/>
  <pivotCaches>
    <pivotCache cacheId="28" r:id="rId9"/>
  </pivotCaches>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1285" i="484" l="1"/>
  <c r="H1284" i="484"/>
  <c r="H1282" i="484"/>
  <c r="J1288" i="484"/>
  <c r="K1288" i="484"/>
  <c r="L1288" i="484" s="1"/>
  <c r="M1288" i="484" s="1"/>
  <c r="N1288" i="484" s="1"/>
  <c r="O1288" i="484" s="1"/>
  <c r="P1288" i="484" s="1"/>
  <c r="Q1288" i="484" s="1"/>
  <c r="R1288" i="484" s="1"/>
  <c r="S1288" i="484" s="1"/>
  <c r="T1288" i="484" s="1"/>
  <c r="U1288" i="484" s="1"/>
  <c r="V1288" i="484" s="1"/>
  <c r="W1288" i="484" s="1"/>
  <c r="X1288" i="484" s="1"/>
  <c r="Y1288" i="484" s="1"/>
  <c r="Z1288" i="484" s="1"/>
  <c r="AA1288" i="484" s="1"/>
  <c r="AB1288" i="484" s="1"/>
  <c r="AC1288" i="484" s="1"/>
  <c r="AD1288" i="484" s="1"/>
  <c r="AE1288" i="484" s="1"/>
  <c r="AF1288" i="484" s="1"/>
  <c r="I1288" i="484"/>
  <c r="J1287" i="484"/>
  <c r="K1287" i="484" s="1"/>
  <c r="L1287" i="484" s="1"/>
  <c r="M1287" i="484" s="1"/>
  <c r="N1287" i="484" s="1"/>
  <c r="O1287" i="484" s="1"/>
  <c r="P1287" i="484" s="1"/>
  <c r="Q1287" i="484" s="1"/>
  <c r="R1287" i="484" s="1"/>
  <c r="S1287" i="484" s="1"/>
  <c r="T1287" i="484" s="1"/>
  <c r="U1287" i="484" s="1"/>
  <c r="V1287" i="484" s="1"/>
  <c r="W1287" i="484" s="1"/>
  <c r="X1287" i="484" s="1"/>
  <c r="Y1287" i="484" s="1"/>
  <c r="Z1287" i="484" s="1"/>
  <c r="AA1287" i="484" s="1"/>
  <c r="AB1287" i="484" s="1"/>
  <c r="AC1287" i="484" s="1"/>
  <c r="AD1287" i="484" s="1"/>
  <c r="AE1287" i="484" s="1"/>
  <c r="AF1287" i="484" s="1"/>
  <c r="I1287" i="484"/>
  <c r="I1282" i="484"/>
  <c r="J1282" i="484"/>
  <c r="K1282" i="484"/>
  <c r="L1282" i="484"/>
  <c r="M1282" i="484"/>
  <c r="N1282" i="484"/>
  <c r="O1282" i="484"/>
  <c r="P1282" i="484"/>
  <c r="Q1282" i="484"/>
  <c r="R1282" i="484"/>
  <c r="S1282" i="484"/>
  <c r="T1282" i="484"/>
  <c r="U1282" i="484"/>
  <c r="V1282" i="484"/>
  <c r="W1282" i="484"/>
  <c r="X1282" i="484"/>
  <c r="Y1282" i="484"/>
  <c r="Z1282" i="484"/>
  <c r="AA1282" i="484"/>
  <c r="AB1282" i="484"/>
  <c r="AC1282" i="484"/>
  <c r="AD1282" i="484"/>
  <c r="AE1282" i="484"/>
  <c r="AF1282" i="484"/>
  <c r="H1272" i="484"/>
  <c r="H1271" i="484"/>
  <c r="H1269" i="484"/>
  <c r="J1275" i="484"/>
  <c r="K1275" i="484" s="1"/>
  <c r="L1275" i="484" s="1"/>
  <c r="M1275" i="484" s="1"/>
  <c r="N1275" i="484" s="1"/>
  <c r="O1275" i="484" s="1"/>
  <c r="P1275" i="484" s="1"/>
  <c r="Q1275" i="484" s="1"/>
  <c r="R1275" i="484" s="1"/>
  <c r="S1275" i="484" s="1"/>
  <c r="T1275" i="484" s="1"/>
  <c r="U1275" i="484" s="1"/>
  <c r="V1275" i="484" s="1"/>
  <c r="W1275" i="484" s="1"/>
  <c r="X1275" i="484" s="1"/>
  <c r="Y1275" i="484" s="1"/>
  <c r="Z1275" i="484" s="1"/>
  <c r="AA1275" i="484" s="1"/>
  <c r="AB1275" i="484" s="1"/>
  <c r="AC1275" i="484" s="1"/>
  <c r="AD1275" i="484" s="1"/>
  <c r="AE1275" i="484" s="1"/>
  <c r="AF1275" i="484" s="1"/>
  <c r="I1275" i="484"/>
  <c r="J1274" i="484"/>
  <c r="K1274" i="484" s="1"/>
  <c r="L1274" i="484" s="1"/>
  <c r="M1274" i="484" s="1"/>
  <c r="N1274" i="484" s="1"/>
  <c r="O1274" i="484" s="1"/>
  <c r="P1274" i="484" s="1"/>
  <c r="Q1274" i="484" s="1"/>
  <c r="R1274" i="484" s="1"/>
  <c r="S1274" i="484" s="1"/>
  <c r="T1274" i="484" s="1"/>
  <c r="U1274" i="484" s="1"/>
  <c r="V1274" i="484" s="1"/>
  <c r="W1274" i="484" s="1"/>
  <c r="X1274" i="484" s="1"/>
  <c r="Y1274" i="484" s="1"/>
  <c r="Z1274" i="484" s="1"/>
  <c r="AA1274" i="484" s="1"/>
  <c r="AB1274" i="484" s="1"/>
  <c r="AC1274" i="484" s="1"/>
  <c r="AD1274" i="484" s="1"/>
  <c r="AE1274" i="484" s="1"/>
  <c r="AF1274" i="484" s="1"/>
  <c r="I1274" i="484"/>
  <c r="I1269" i="484"/>
  <c r="J1269" i="484"/>
  <c r="K1269" i="484"/>
  <c r="L1269" i="484"/>
  <c r="M1269" i="484"/>
  <c r="N1269" i="484"/>
  <c r="O1269" i="484"/>
  <c r="P1269" i="484"/>
  <c r="Q1269" i="484"/>
  <c r="R1269" i="484"/>
  <c r="S1269" i="484"/>
  <c r="T1269" i="484"/>
  <c r="U1269" i="484"/>
  <c r="V1269" i="484"/>
  <c r="W1269" i="484"/>
  <c r="X1269" i="484"/>
  <c r="Y1269" i="484"/>
  <c r="Z1269" i="484"/>
  <c r="AA1269" i="484"/>
  <c r="AB1269" i="484"/>
  <c r="AC1269" i="484"/>
  <c r="AD1269" i="484"/>
  <c r="AE1269" i="484"/>
  <c r="AF1269" i="484"/>
  <c r="H1259" i="484"/>
  <c r="H1258" i="484"/>
  <c r="H1256" i="484"/>
  <c r="J1262" i="484"/>
  <c r="K1262" i="484"/>
  <c r="L1262" i="484" s="1"/>
  <c r="M1262" i="484" s="1"/>
  <c r="N1262" i="484" s="1"/>
  <c r="O1262" i="484" s="1"/>
  <c r="P1262" i="484" s="1"/>
  <c r="Q1262" i="484" s="1"/>
  <c r="R1262" i="484" s="1"/>
  <c r="S1262" i="484" s="1"/>
  <c r="T1262" i="484" s="1"/>
  <c r="U1262" i="484" s="1"/>
  <c r="V1262" i="484" s="1"/>
  <c r="W1262" i="484" s="1"/>
  <c r="X1262" i="484" s="1"/>
  <c r="Y1262" i="484" s="1"/>
  <c r="Z1262" i="484" s="1"/>
  <c r="AA1262" i="484" s="1"/>
  <c r="AB1262" i="484" s="1"/>
  <c r="AC1262" i="484" s="1"/>
  <c r="AD1262" i="484" s="1"/>
  <c r="AE1262" i="484" s="1"/>
  <c r="AF1262" i="484" s="1"/>
  <c r="I1262" i="484"/>
  <c r="J1261" i="484"/>
  <c r="K1261" i="484" s="1"/>
  <c r="L1261" i="484" s="1"/>
  <c r="M1261" i="484" s="1"/>
  <c r="N1261" i="484" s="1"/>
  <c r="O1261" i="484" s="1"/>
  <c r="P1261" i="484" s="1"/>
  <c r="Q1261" i="484" s="1"/>
  <c r="R1261" i="484" s="1"/>
  <c r="S1261" i="484" s="1"/>
  <c r="T1261" i="484" s="1"/>
  <c r="U1261" i="484" s="1"/>
  <c r="V1261" i="484" s="1"/>
  <c r="W1261" i="484" s="1"/>
  <c r="X1261" i="484" s="1"/>
  <c r="Y1261" i="484" s="1"/>
  <c r="Z1261" i="484" s="1"/>
  <c r="AA1261" i="484" s="1"/>
  <c r="AB1261" i="484" s="1"/>
  <c r="AC1261" i="484" s="1"/>
  <c r="AD1261" i="484" s="1"/>
  <c r="AE1261" i="484" s="1"/>
  <c r="AF1261" i="484" s="1"/>
  <c r="I1261" i="484"/>
  <c r="I1256" i="484"/>
  <c r="J1256" i="484"/>
  <c r="K1256" i="484"/>
  <c r="L1256" i="484"/>
  <c r="M1256" i="484"/>
  <c r="N1256" i="484"/>
  <c r="O1256" i="484"/>
  <c r="P1256" i="484"/>
  <c r="Q1256" i="484"/>
  <c r="R1256" i="484"/>
  <c r="S1256" i="484"/>
  <c r="T1256" i="484"/>
  <c r="U1256" i="484"/>
  <c r="V1256" i="484"/>
  <c r="W1256" i="484"/>
  <c r="X1256" i="484"/>
  <c r="Y1256" i="484"/>
  <c r="Z1256" i="484"/>
  <c r="AA1256" i="484"/>
  <c r="AB1256" i="484"/>
  <c r="AC1256" i="484"/>
  <c r="AD1256" i="484"/>
  <c r="AE1256" i="484"/>
  <c r="AF1256" i="484"/>
  <c r="H1246" i="484"/>
  <c r="H1245" i="484"/>
  <c r="H1243" i="484"/>
  <c r="J1249" i="484"/>
  <c r="K1249" i="484" s="1"/>
  <c r="L1249" i="484" s="1"/>
  <c r="M1249" i="484" s="1"/>
  <c r="N1249" i="484" s="1"/>
  <c r="O1249" i="484" s="1"/>
  <c r="P1249" i="484" s="1"/>
  <c r="Q1249" i="484" s="1"/>
  <c r="R1249" i="484" s="1"/>
  <c r="S1249" i="484" s="1"/>
  <c r="T1249" i="484" s="1"/>
  <c r="U1249" i="484" s="1"/>
  <c r="V1249" i="484" s="1"/>
  <c r="W1249" i="484" s="1"/>
  <c r="X1249" i="484" s="1"/>
  <c r="Y1249" i="484" s="1"/>
  <c r="Z1249" i="484" s="1"/>
  <c r="AA1249" i="484" s="1"/>
  <c r="AB1249" i="484" s="1"/>
  <c r="AC1249" i="484" s="1"/>
  <c r="AD1249" i="484" s="1"/>
  <c r="AE1249" i="484" s="1"/>
  <c r="AF1249" i="484" s="1"/>
  <c r="I1249" i="484"/>
  <c r="J1248" i="484"/>
  <c r="K1248" i="484" s="1"/>
  <c r="L1248" i="484" s="1"/>
  <c r="M1248" i="484" s="1"/>
  <c r="N1248" i="484" s="1"/>
  <c r="O1248" i="484" s="1"/>
  <c r="P1248" i="484" s="1"/>
  <c r="Q1248" i="484" s="1"/>
  <c r="R1248" i="484" s="1"/>
  <c r="S1248" i="484" s="1"/>
  <c r="T1248" i="484" s="1"/>
  <c r="U1248" i="484" s="1"/>
  <c r="V1248" i="484" s="1"/>
  <c r="W1248" i="484" s="1"/>
  <c r="X1248" i="484" s="1"/>
  <c r="Y1248" i="484" s="1"/>
  <c r="Z1248" i="484" s="1"/>
  <c r="AA1248" i="484" s="1"/>
  <c r="AB1248" i="484" s="1"/>
  <c r="AC1248" i="484" s="1"/>
  <c r="AD1248" i="484" s="1"/>
  <c r="AE1248" i="484" s="1"/>
  <c r="AF1248" i="484" s="1"/>
  <c r="I1248" i="484"/>
  <c r="I1243" i="484"/>
  <c r="J1243" i="484"/>
  <c r="K1243" i="484"/>
  <c r="L1243" i="484"/>
  <c r="M1243" i="484"/>
  <c r="N1243" i="484"/>
  <c r="O1243" i="484"/>
  <c r="P1243" i="484"/>
  <c r="Q1243" i="484"/>
  <c r="R1243" i="484"/>
  <c r="S1243" i="484"/>
  <c r="T1243" i="484"/>
  <c r="U1243" i="484"/>
  <c r="V1243" i="484"/>
  <c r="W1243" i="484"/>
  <c r="X1243" i="484"/>
  <c r="Y1243" i="484"/>
  <c r="Z1243" i="484"/>
  <c r="AA1243" i="484"/>
  <c r="AB1243" i="484"/>
  <c r="AC1243" i="484"/>
  <c r="AD1243" i="484"/>
  <c r="AE1243" i="484"/>
  <c r="AF1243" i="484"/>
  <c r="H1233" i="484"/>
  <c r="H1232" i="484"/>
  <c r="H1230" i="484"/>
  <c r="J1236" i="484"/>
  <c r="K1236" i="484"/>
  <c r="L1236" i="484" s="1"/>
  <c r="M1236" i="484" s="1"/>
  <c r="N1236" i="484" s="1"/>
  <c r="O1236" i="484" s="1"/>
  <c r="P1236" i="484" s="1"/>
  <c r="Q1236" i="484" s="1"/>
  <c r="R1236" i="484" s="1"/>
  <c r="S1236" i="484" s="1"/>
  <c r="T1236" i="484" s="1"/>
  <c r="U1236" i="484" s="1"/>
  <c r="V1236" i="484" s="1"/>
  <c r="W1236" i="484" s="1"/>
  <c r="X1236" i="484" s="1"/>
  <c r="Y1236" i="484" s="1"/>
  <c r="Z1236" i="484" s="1"/>
  <c r="AA1236" i="484" s="1"/>
  <c r="AB1236" i="484" s="1"/>
  <c r="AC1236" i="484" s="1"/>
  <c r="AD1236" i="484" s="1"/>
  <c r="AE1236" i="484" s="1"/>
  <c r="AF1236" i="484" s="1"/>
  <c r="I1236" i="484"/>
  <c r="J1235" i="484"/>
  <c r="K1235" i="484" s="1"/>
  <c r="L1235" i="484" s="1"/>
  <c r="M1235" i="484" s="1"/>
  <c r="N1235" i="484" s="1"/>
  <c r="O1235" i="484" s="1"/>
  <c r="P1235" i="484" s="1"/>
  <c r="Q1235" i="484" s="1"/>
  <c r="R1235" i="484" s="1"/>
  <c r="S1235" i="484" s="1"/>
  <c r="T1235" i="484" s="1"/>
  <c r="U1235" i="484" s="1"/>
  <c r="V1235" i="484" s="1"/>
  <c r="W1235" i="484" s="1"/>
  <c r="X1235" i="484" s="1"/>
  <c r="Y1235" i="484" s="1"/>
  <c r="Z1235" i="484" s="1"/>
  <c r="AA1235" i="484" s="1"/>
  <c r="AB1235" i="484" s="1"/>
  <c r="AC1235" i="484" s="1"/>
  <c r="AD1235" i="484" s="1"/>
  <c r="AE1235" i="484" s="1"/>
  <c r="AF1235" i="484" s="1"/>
  <c r="I1235" i="484"/>
  <c r="I1230" i="484"/>
  <c r="J1230" i="484"/>
  <c r="K1230" i="484"/>
  <c r="L1230" i="484"/>
  <c r="M1230" i="484"/>
  <c r="N1230" i="484"/>
  <c r="O1230" i="484"/>
  <c r="P1230" i="484"/>
  <c r="Q1230" i="484"/>
  <c r="R1230" i="484"/>
  <c r="S1230" i="484"/>
  <c r="T1230" i="484"/>
  <c r="U1230" i="484"/>
  <c r="V1230" i="484"/>
  <c r="W1230" i="484"/>
  <c r="X1230" i="484"/>
  <c r="Y1230" i="484"/>
  <c r="Z1230" i="484"/>
  <c r="AA1230" i="484"/>
  <c r="AB1230" i="484"/>
  <c r="AC1230" i="484"/>
  <c r="AD1230" i="484"/>
  <c r="AE1230" i="484"/>
  <c r="AF1230" i="484"/>
  <c r="H1220" i="484"/>
  <c r="H1219" i="484"/>
  <c r="H1217" i="484"/>
  <c r="J1223" i="484"/>
  <c r="K1223" i="484" s="1"/>
  <c r="L1223" i="484" s="1"/>
  <c r="M1223" i="484" s="1"/>
  <c r="N1223" i="484" s="1"/>
  <c r="O1223" i="484" s="1"/>
  <c r="P1223" i="484" s="1"/>
  <c r="Q1223" i="484" s="1"/>
  <c r="R1223" i="484" s="1"/>
  <c r="S1223" i="484" s="1"/>
  <c r="T1223" i="484" s="1"/>
  <c r="U1223" i="484" s="1"/>
  <c r="V1223" i="484" s="1"/>
  <c r="W1223" i="484" s="1"/>
  <c r="X1223" i="484" s="1"/>
  <c r="Y1223" i="484" s="1"/>
  <c r="Z1223" i="484" s="1"/>
  <c r="AA1223" i="484" s="1"/>
  <c r="AB1223" i="484" s="1"/>
  <c r="AC1223" i="484" s="1"/>
  <c r="AD1223" i="484" s="1"/>
  <c r="AE1223" i="484" s="1"/>
  <c r="AF1223" i="484" s="1"/>
  <c r="I1223" i="484"/>
  <c r="J1222" i="484"/>
  <c r="K1222" i="484"/>
  <c r="L1222" i="484" s="1"/>
  <c r="M1222" i="484" s="1"/>
  <c r="N1222" i="484" s="1"/>
  <c r="O1222" i="484" s="1"/>
  <c r="P1222" i="484" s="1"/>
  <c r="Q1222" i="484" s="1"/>
  <c r="R1222" i="484" s="1"/>
  <c r="S1222" i="484" s="1"/>
  <c r="T1222" i="484" s="1"/>
  <c r="U1222" i="484" s="1"/>
  <c r="V1222" i="484" s="1"/>
  <c r="W1222" i="484" s="1"/>
  <c r="X1222" i="484" s="1"/>
  <c r="Y1222" i="484" s="1"/>
  <c r="Z1222" i="484" s="1"/>
  <c r="AA1222" i="484" s="1"/>
  <c r="AB1222" i="484" s="1"/>
  <c r="AC1222" i="484" s="1"/>
  <c r="AD1222" i="484" s="1"/>
  <c r="AE1222" i="484" s="1"/>
  <c r="AF1222" i="484" s="1"/>
  <c r="I1222" i="484"/>
  <c r="I1217" i="484"/>
  <c r="J1217" i="484"/>
  <c r="K1217" i="484"/>
  <c r="L1217" i="484"/>
  <c r="M1217" i="484"/>
  <c r="N1217" i="484"/>
  <c r="O1217" i="484"/>
  <c r="P1217" i="484"/>
  <c r="Q1217" i="484"/>
  <c r="R1217" i="484"/>
  <c r="S1217" i="484"/>
  <c r="T1217" i="484"/>
  <c r="U1217" i="484"/>
  <c r="V1217" i="484"/>
  <c r="W1217" i="484"/>
  <c r="X1217" i="484"/>
  <c r="Y1217" i="484"/>
  <c r="Z1217" i="484"/>
  <c r="AA1217" i="484"/>
  <c r="AB1217" i="484"/>
  <c r="AC1217" i="484"/>
  <c r="AD1217" i="484"/>
  <c r="AE1217" i="484"/>
  <c r="AF1217" i="484"/>
  <c r="H1207" i="484"/>
  <c r="H1206" i="484"/>
  <c r="H1204" i="484"/>
  <c r="J1210" i="484"/>
  <c r="K1210" i="484" s="1"/>
  <c r="L1210" i="484" s="1"/>
  <c r="M1210" i="484" s="1"/>
  <c r="N1210" i="484" s="1"/>
  <c r="O1210" i="484" s="1"/>
  <c r="P1210" i="484" s="1"/>
  <c r="Q1210" i="484" s="1"/>
  <c r="R1210" i="484" s="1"/>
  <c r="S1210" i="484" s="1"/>
  <c r="T1210" i="484" s="1"/>
  <c r="U1210" i="484" s="1"/>
  <c r="V1210" i="484" s="1"/>
  <c r="W1210" i="484" s="1"/>
  <c r="X1210" i="484" s="1"/>
  <c r="Y1210" i="484" s="1"/>
  <c r="Z1210" i="484" s="1"/>
  <c r="AA1210" i="484" s="1"/>
  <c r="AB1210" i="484" s="1"/>
  <c r="AC1210" i="484" s="1"/>
  <c r="AD1210" i="484" s="1"/>
  <c r="AE1210" i="484" s="1"/>
  <c r="AF1210" i="484" s="1"/>
  <c r="I1210" i="484"/>
  <c r="J1209" i="484"/>
  <c r="K1209" i="484" s="1"/>
  <c r="L1209" i="484" s="1"/>
  <c r="M1209" i="484" s="1"/>
  <c r="N1209" i="484" s="1"/>
  <c r="O1209" i="484" s="1"/>
  <c r="P1209" i="484" s="1"/>
  <c r="Q1209" i="484" s="1"/>
  <c r="R1209" i="484" s="1"/>
  <c r="S1209" i="484" s="1"/>
  <c r="T1209" i="484" s="1"/>
  <c r="U1209" i="484" s="1"/>
  <c r="V1209" i="484" s="1"/>
  <c r="W1209" i="484" s="1"/>
  <c r="X1209" i="484" s="1"/>
  <c r="Y1209" i="484" s="1"/>
  <c r="Z1209" i="484" s="1"/>
  <c r="AA1209" i="484" s="1"/>
  <c r="AB1209" i="484" s="1"/>
  <c r="AC1209" i="484" s="1"/>
  <c r="AD1209" i="484" s="1"/>
  <c r="AE1209" i="484" s="1"/>
  <c r="AF1209" i="484" s="1"/>
  <c r="I1209" i="484"/>
  <c r="I1204" i="484"/>
  <c r="J1204" i="484"/>
  <c r="K1204" i="484"/>
  <c r="L1204" i="484"/>
  <c r="M1204" i="484"/>
  <c r="N1204" i="484"/>
  <c r="O1204" i="484"/>
  <c r="P1204" i="484"/>
  <c r="Q1204" i="484"/>
  <c r="R1204" i="484"/>
  <c r="S1204" i="484"/>
  <c r="T1204" i="484"/>
  <c r="U1204" i="484"/>
  <c r="V1204" i="484"/>
  <c r="W1204" i="484"/>
  <c r="X1204" i="484"/>
  <c r="Y1204" i="484"/>
  <c r="Z1204" i="484"/>
  <c r="AA1204" i="484"/>
  <c r="AB1204" i="484"/>
  <c r="AC1204" i="484"/>
  <c r="AD1204" i="484"/>
  <c r="AE1204" i="484"/>
  <c r="AF1204" i="484"/>
  <c r="H1194" i="484"/>
  <c r="H1193" i="484"/>
  <c r="H1191" i="484"/>
  <c r="J1197" i="484"/>
  <c r="K1197" i="484" s="1"/>
  <c r="L1197" i="484" s="1"/>
  <c r="M1197" i="484" s="1"/>
  <c r="N1197" i="484" s="1"/>
  <c r="O1197" i="484" s="1"/>
  <c r="P1197" i="484" s="1"/>
  <c r="Q1197" i="484" s="1"/>
  <c r="R1197" i="484" s="1"/>
  <c r="S1197" i="484" s="1"/>
  <c r="T1197" i="484" s="1"/>
  <c r="U1197" i="484" s="1"/>
  <c r="V1197" i="484" s="1"/>
  <c r="W1197" i="484" s="1"/>
  <c r="X1197" i="484" s="1"/>
  <c r="Y1197" i="484" s="1"/>
  <c r="Z1197" i="484" s="1"/>
  <c r="AA1197" i="484" s="1"/>
  <c r="AB1197" i="484" s="1"/>
  <c r="AC1197" i="484" s="1"/>
  <c r="AD1197" i="484" s="1"/>
  <c r="AE1197" i="484" s="1"/>
  <c r="AF1197" i="484" s="1"/>
  <c r="I1197" i="484"/>
  <c r="J1196" i="484"/>
  <c r="K1196" i="484"/>
  <c r="L1196" i="484" s="1"/>
  <c r="M1196" i="484" s="1"/>
  <c r="N1196" i="484" s="1"/>
  <c r="O1196" i="484" s="1"/>
  <c r="P1196" i="484" s="1"/>
  <c r="Q1196" i="484" s="1"/>
  <c r="R1196" i="484" s="1"/>
  <c r="S1196" i="484" s="1"/>
  <c r="T1196" i="484" s="1"/>
  <c r="U1196" i="484" s="1"/>
  <c r="V1196" i="484" s="1"/>
  <c r="W1196" i="484" s="1"/>
  <c r="X1196" i="484" s="1"/>
  <c r="Y1196" i="484" s="1"/>
  <c r="Z1196" i="484" s="1"/>
  <c r="AA1196" i="484" s="1"/>
  <c r="AB1196" i="484" s="1"/>
  <c r="AC1196" i="484" s="1"/>
  <c r="AD1196" i="484" s="1"/>
  <c r="AE1196" i="484" s="1"/>
  <c r="AF1196" i="484" s="1"/>
  <c r="I1196" i="484"/>
  <c r="I1191" i="484"/>
  <c r="J1191" i="484"/>
  <c r="K1191" i="484"/>
  <c r="L1191" i="484"/>
  <c r="M1191" i="484"/>
  <c r="N1191" i="484"/>
  <c r="O1191" i="484"/>
  <c r="P1191" i="484"/>
  <c r="Q1191" i="484"/>
  <c r="R1191" i="484"/>
  <c r="S1191" i="484"/>
  <c r="T1191" i="484"/>
  <c r="U1191" i="484"/>
  <c r="V1191" i="484"/>
  <c r="W1191" i="484"/>
  <c r="X1191" i="484"/>
  <c r="Y1191" i="484"/>
  <c r="Z1191" i="484"/>
  <c r="AA1191" i="484"/>
  <c r="AB1191" i="484"/>
  <c r="AC1191" i="484"/>
  <c r="AD1191" i="484"/>
  <c r="AE1191" i="484"/>
  <c r="AF1191" i="484"/>
  <c r="H1181" i="484"/>
  <c r="H1180" i="484"/>
  <c r="H1178" i="484"/>
  <c r="J1184" i="484"/>
  <c r="K1184" i="484"/>
  <c r="L1184" i="484" s="1"/>
  <c r="M1184" i="484" s="1"/>
  <c r="N1184" i="484" s="1"/>
  <c r="O1184" i="484" s="1"/>
  <c r="P1184" i="484" s="1"/>
  <c r="Q1184" i="484" s="1"/>
  <c r="R1184" i="484" s="1"/>
  <c r="S1184" i="484" s="1"/>
  <c r="T1184" i="484" s="1"/>
  <c r="U1184" i="484" s="1"/>
  <c r="V1184" i="484" s="1"/>
  <c r="W1184" i="484" s="1"/>
  <c r="X1184" i="484" s="1"/>
  <c r="Y1184" i="484" s="1"/>
  <c r="Z1184" i="484" s="1"/>
  <c r="AA1184" i="484" s="1"/>
  <c r="AB1184" i="484" s="1"/>
  <c r="AC1184" i="484" s="1"/>
  <c r="AD1184" i="484" s="1"/>
  <c r="AE1184" i="484" s="1"/>
  <c r="AF1184" i="484" s="1"/>
  <c r="I1184" i="484"/>
  <c r="J1183" i="484"/>
  <c r="K1183" i="484" s="1"/>
  <c r="L1183" i="484" s="1"/>
  <c r="M1183" i="484" s="1"/>
  <c r="N1183" i="484" s="1"/>
  <c r="O1183" i="484" s="1"/>
  <c r="P1183" i="484" s="1"/>
  <c r="Q1183" i="484" s="1"/>
  <c r="R1183" i="484" s="1"/>
  <c r="S1183" i="484" s="1"/>
  <c r="T1183" i="484" s="1"/>
  <c r="U1183" i="484" s="1"/>
  <c r="V1183" i="484" s="1"/>
  <c r="W1183" i="484" s="1"/>
  <c r="X1183" i="484" s="1"/>
  <c r="Y1183" i="484" s="1"/>
  <c r="Z1183" i="484" s="1"/>
  <c r="AA1183" i="484" s="1"/>
  <c r="AB1183" i="484" s="1"/>
  <c r="AC1183" i="484" s="1"/>
  <c r="AD1183" i="484" s="1"/>
  <c r="AE1183" i="484" s="1"/>
  <c r="AF1183" i="484" s="1"/>
  <c r="I1183" i="484"/>
  <c r="I1178" i="484"/>
  <c r="J1178" i="484"/>
  <c r="K1178" i="484"/>
  <c r="L1178" i="484"/>
  <c r="M1178" i="484"/>
  <c r="N1178" i="484"/>
  <c r="O1178" i="484"/>
  <c r="P1178" i="484"/>
  <c r="Q1178" i="484"/>
  <c r="R1178" i="484"/>
  <c r="S1178" i="484"/>
  <c r="T1178" i="484"/>
  <c r="U1178" i="484"/>
  <c r="V1178" i="484"/>
  <c r="W1178" i="484"/>
  <c r="X1178" i="484"/>
  <c r="Y1178" i="484"/>
  <c r="Z1178" i="484"/>
  <c r="AA1178" i="484"/>
  <c r="AB1178" i="484"/>
  <c r="AC1178" i="484"/>
  <c r="AD1178" i="484"/>
  <c r="AE1178" i="484"/>
  <c r="AF1178" i="484"/>
  <c r="H1168" i="484"/>
  <c r="H1167" i="484"/>
  <c r="H1165" i="484"/>
  <c r="J1171" i="484"/>
  <c r="K1171" i="484" s="1"/>
  <c r="L1171" i="484" s="1"/>
  <c r="M1171" i="484" s="1"/>
  <c r="N1171" i="484" s="1"/>
  <c r="O1171" i="484" s="1"/>
  <c r="P1171" i="484" s="1"/>
  <c r="Q1171" i="484" s="1"/>
  <c r="R1171" i="484" s="1"/>
  <c r="S1171" i="484" s="1"/>
  <c r="T1171" i="484" s="1"/>
  <c r="U1171" i="484" s="1"/>
  <c r="V1171" i="484" s="1"/>
  <c r="W1171" i="484" s="1"/>
  <c r="X1171" i="484" s="1"/>
  <c r="Y1171" i="484" s="1"/>
  <c r="Z1171" i="484" s="1"/>
  <c r="AA1171" i="484" s="1"/>
  <c r="AB1171" i="484" s="1"/>
  <c r="AC1171" i="484" s="1"/>
  <c r="AD1171" i="484" s="1"/>
  <c r="AE1171" i="484" s="1"/>
  <c r="AF1171" i="484" s="1"/>
  <c r="I1171" i="484"/>
  <c r="J1170" i="484"/>
  <c r="K1170" i="484"/>
  <c r="L1170" i="484" s="1"/>
  <c r="M1170" i="484" s="1"/>
  <c r="N1170" i="484" s="1"/>
  <c r="O1170" i="484" s="1"/>
  <c r="P1170" i="484" s="1"/>
  <c r="Q1170" i="484" s="1"/>
  <c r="R1170" i="484" s="1"/>
  <c r="S1170" i="484" s="1"/>
  <c r="T1170" i="484" s="1"/>
  <c r="U1170" i="484" s="1"/>
  <c r="V1170" i="484" s="1"/>
  <c r="W1170" i="484" s="1"/>
  <c r="X1170" i="484" s="1"/>
  <c r="Y1170" i="484" s="1"/>
  <c r="Z1170" i="484" s="1"/>
  <c r="AA1170" i="484" s="1"/>
  <c r="AB1170" i="484" s="1"/>
  <c r="AC1170" i="484" s="1"/>
  <c r="AD1170" i="484" s="1"/>
  <c r="AE1170" i="484" s="1"/>
  <c r="AF1170" i="484" s="1"/>
  <c r="I1170" i="484"/>
  <c r="I1165" i="484"/>
  <c r="J1165" i="484"/>
  <c r="K1165" i="484"/>
  <c r="L1165" i="484"/>
  <c r="M1165" i="484"/>
  <c r="N1165" i="484"/>
  <c r="O1165" i="484"/>
  <c r="P1165" i="484"/>
  <c r="Q1165" i="484"/>
  <c r="R1165" i="484"/>
  <c r="S1165" i="484"/>
  <c r="T1165" i="484"/>
  <c r="U1165" i="484"/>
  <c r="V1165" i="484"/>
  <c r="W1165" i="484"/>
  <c r="X1165" i="484"/>
  <c r="Y1165" i="484"/>
  <c r="Z1165" i="484"/>
  <c r="AA1165" i="484"/>
  <c r="AB1165" i="484"/>
  <c r="AC1165" i="484"/>
  <c r="AD1165" i="484"/>
  <c r="AE1165" i="484"/>
  <c r="AF1165" i="484"/>
  <c r="H1155" i="484"/>
  <c r="H1154" i="484"/>
  <c r="H1152" i="484"/>
  <c r="J1158" i="484"/>
  <c r="K1158" i="484"/>
  <c r="L1158" i="484" s="1"/>
  <c r="M1158" i="484" s="1"/>
  <c r="N1158" i="484" s="1"/>
  <c r="O1158" i="484" s="1"/>
  <c r="P1158" i="484" s="1"/>
  <c r="Q1158" i="484" s="1"/>
  <c r="R1158" i="484" s="1"/>
  <c r="S1158" i="484" s="1"/>
  <c r="T1158" i="484" s="1"/>
  <c r="U1158" i="484" s="1"/>
  <c r="V1158" i="484" s="1"/>
  <c r="W1158" i="484" s="1"/>
  <c r="X1158" i="484" s="1"/>
  <c r="Y1158" i="484" s="1"/>
  <c r="Z1158" i="484" s="1"/>
  <c r="AA1158" i="484" s="1"/>
  <c r="AB1158" i="484" s="1"/>
  <c r="AC1158" i="484" s="1"/>
  <c r="AD1158" i="484" s="1"/>
  <c r="AE1158" i="484" s="1"/>
  <c r="AF1158" i="484" s="1"/>
  <c r="I1158" i="484"/>
  <c r="J1157" i="484"/>
  <c r="K1157" i="484" s="1"/>
  <c r="L1157" i="484" s="1"/>
  <c r="M1157" i="484" s="1"/>
  <c r="N1157" i="484" s="1"/>
  <c r="O1157" i="484" s="1"/>
  <c r="P1157" i="484" s="1"/>
  <c r="Q1157" i="484" s="1"/>
  <c r="R1157" i="484" s="1"/>
  <c r="S1157" i="484" s="1"/>
  <c r="T1157" i="484" s="1"/>
  <c r="U1157" i="484" s="1"/>
  <c r="V1157" i="484" s="1"/>
  <c r="W1157" i="484" s="1"/>
  <c r="X1157" i="484" s="1"/>
  <c r="Y1157" i="484" s="1"/>
  <c r="Z1157" i="484" s="1"/>
  <c r="AA1157" i="484" s="1"/>
  <c r="AB1157" i="484" s="1"/>
  <c r="AC1157" i="484" s="1"/>
  <c r="AD1157" i="484" s="1"/>
  <c r="AE1157" i="484" s="1"/>
  <c r="AF1157" i="484" s="1"/>
  <c r="I1157" i="484"/>
  <c r="I1152" i="484"/>
  <c r="J1152" i="484"/>
  <c r="K1152" i="484"/>
  <c r="L1152" i="484"/>
  <c r="M1152" i="484"/>
  <c r="N1152" i="484"/>
  <c r="O1152" i="484"/>
  <c r="P1152" i="484"/>
  <c r="Q1152" i="484"/>
  <c r="R1152" i="484"/>
  <c r="S1152" i="484"/>
  <c r="T1152" i="484"/>
  <c r="U1152" i="484"/>
  <c r="V1152" i="484"/>
  <c r="W1152" i="484"/>
  <c r="X1152" i="484"/>
  <c r="Y1152" i="484"/>
  <c r="Z1152" i="484"/>
  <c r="AA1152" i="484"/>
  <c r="AB1152" i="484"/>
  <c r="AC1152" i="484"/>
  <c r="AD1152" i="484"/>
  <c r="AE1152" i="484"/>
  <c r="AF1152" i="484"/>
  <c r="H1142" i="484"/>
  <c r="H1141" i="484"/>
  <c r="H1139" i="484"/>
  <c r="J1145" i="484"/>
  <c r="K1145" i="484"/>
  <c r="L1145" i="484" s="1"/>
  <c r="M1145" i="484" s="1"/>
  <c r="N1145" i="484" s="1"/>
  <c r="O1145" i="484" s="1"/>
  <c r="P1145" i="484" s="1"/>
  <c r="Q1145" i="484" s="1"/>
  <c r="R1145" i="484" s="1"/>
  <c r="S1145" i="484" s="1"/>
  <c r="T1145" i="484" s="1"/>
  <c r="U1145" i="484" s="1"/>
  <c r="V1145" i="484" s="1"/>
  <c r="W1145" i="484" s="1"/>
  <c r="X1145" i="484" s="1"/>
  <c r="Y1145" i="484" s="1"/>
  <c r="Z1145" i="484" s="1"/>
  <c r="AA1145" i="484" s="1"/>
  <c r="AB1145" i="484" s="1"/>
  <c r="AC1145" i="484" s="1"/>
  <c r="AD1145" i="484" s="1"/>
  <c r="AE1145" i="484" s="1"/>
  <c r="AF1145" i="484" s="1"/>
  <c r="I1145" i="484"/>
  <c r="J1144" i="484"/>
  <c r="K1144" i="484"/>
  <c r="L1144" i="484" s="1"/>
  <c r="M1144" i="484" s="1"/>
  <c r="N1144" i="484" s="1"/>
  <c r="O1144" i="484" s="1"/>
  <c r="P1144" i="484" s="1"/>
  <c r="Q1144" i="484" s="1"/>
  <c r="R1144" i="484" s="1"/>
  <c r="S1144" i="484" s="1"/>
  <c r="T1144" i="484" s="1"/>
  <c r="U1144" i="484" s="1"/>
  <c r="V1144" i="484" s="1"/>
  <c r="W1144" i="484" s="1"/>
  <c r="X1144" i="484" s="1"/>
  <c r="Y1144" i="484" s="1"/>
  <c r="Z1144" i="484" s="1"/>
  <c r="AA1144" i="484" s="1"/>
  <c r="AB1144" i="484" s="1"/>
  <c r="AC1144" i="484" s="1"/>
  <c r="AD1144" i="484" s="1"/>
  <c r="AE1144" i="484" s="1"/>
  <c r="AF1144" i="484" s="1"/>
  <c r="I1144" i="484"/>
  <c r="I1139" i="484"/>
  <c r="J1139" i="484"/>
  <c r="K1139" i="484"/>
  <c r="L1139" i="484"/>
  <c r="M1139" i="484"/>
  <c r="N1139" i="484"/>
  <c r="O1139" i="484"/>
  <c r="P1139" i="484"/>
  <c r="Q1139" i="484"/>
  <c r="R1139" i="484"/>
  <c r="S1139" i="484"/>
  <c r="T1139" i="484"/>
  <c r="U1139" i="484"/>
  <c r="V1139" i="484"/>
  <c r="W1139" i="484"/>
  <c r="X1139" i="484"/>
  <c r="Y1139" i="484"/>
  <c r="Z1139" i="484"/>
  <c r="AA1139" i="484"/>
  <c r="AB1139" i="484"/>
  <c r="AC1139" i="484"/>
  <c r="AD1139" i="484"/>
  <c r="AE1139" i="484"/>
  <c r="AF1139" i="484"/>
  <c r="H1129" i="484"/>
  <c r="H1128" i="484"/>
  <c r="H1126" i="484"/>
  <c r="J1132" i="484"/>
  <c r="K1132" i="484"/>
  <c r="L1132" i="484" s="1"/>
  <c r="M1132" i="484" s="1"/>
  <c r="N1132" i="484" s="1"/>
  <c r="O1132" i="484" s="1"/>
  <c r="P1132" i="484" s="1"/>
  <c r="Q1132" i="484" s="1"/>
  <c r="R1132" i="484" s="1"/>
  <c r="S1132" i="484" s="1"/>
  <c r="T1132" i="484" s="1"/>
  <c r="U1132" i="484" s="1"/>
  <c r="V1132" i="484" s="1"/>
  <c r="W1132" i="484" s="1"/>
  <c r="X1132" i="484" s="1"/>
  <c r="Y1132" i="484" s="1"/>
  <c r="Z1132" i="484" s="1"/>
  <c r="AA1132" i="484" s="1"/>
  <c r="AB1132" i="484" s="1"/>
  <c r="AC1132" i="484" s="1"/>
  <c r="AD1132" i="484" s="1"/>
  <c r="AE1132" i="484" s="1"/>
  <c r="AF1132" i="484" s="1"/>
  <c r="I1132" i="484"/>
  <c r="J1131" i="484"/>
  <c r="K1131" i="484"/>
  <c r="L1131" i="484" s="1"/>
  <c r="M1131" i="484" s="1"/>
  <c r="N1131" i="484" s="1"/>
  <c r="O1131" i="484" s="1"/>
  <c r="P1131" i="484" s="1"/>
  <c r="Q1131" i="484" s="1"/>
  <c r="R1131" i="484" s="1"/>
  <c r="S1131" i="484" s="1"/>
  <c r="T1131" i="484" s="1"/>
  <c r="U1131" i="484" s="1"/>
  <c r="V1131" i="484" s="1"/>
  <c r="W1131" i="484" s="1"/>
  <c r="X1131" i="484" s="1"/>
  <c r="Y1131" i="484" s="1"/>
  <c r="Z1131" i="484" s="1"/>
  <c r="AA1131" i="484" s="1"/>
  <c r="AB1131" i="484" s="1"/>
  <c r="AC1131" i="484" s="1"/>
  <c r="AD1131" i="484" s="1"/>
  <c r="AE1131" i="484" s="1"/>
  <c r="AF1131" i="484" s="1"/>
  <c r="I1131" i="484"/>
  <c r="I1126" i="484"/>
  <c r="J1126" i="484"/>
  <c r="K1126" i="484"/>
  <c r="L1126" i="484"/>
  <c r="M1126" i="484"/>
  <c r="N1126" i="484"/>
  <c r="O1126" i="484"/>
  <c r="P1126" i="484"/>
  <c r="Q1126" i="484"/>
  <c r="R1126" i="484"/>
  <c r="S1126" i="484"/>
  <c r="T1126" i="484"/>
  <c r="U1126" i="484"/>
  <c r="V1126" i="484"/>
  <c r="W1126" i="484"/>
  <c r="X1126" i="484"/>
  <c r="Y1126" i="484"/>
  <c r="Z1126" i="484"/>
  <c r="AA1126" i="484"/>
  <c r="AB1126" i="484"/>
  <c r="AC1126" i="484"/>
  <c r="AD1126" i="484"/>
  <c r="AE1126" i="484"/>
  <c r="AF1126" i="484"/>
  <c r="H1116" i="484"/>
  <c r="H1115" i="484"/>
  <c r="H1113" i="484"/>
  <c r="J1119" i="484"/>
  <c r="K1119" i="484" s="1"/>
  <c r="L1119" i="484" s="1"/>
  <c r="M1119" i="484" s="1"/>
  <c r="N1119" i="484" s="1"/>
  <c r="O1119" i="484" s="1"/>
  <c r="P1119" i="484" s="1"/>
  <c r="Q1119" i="484" s="1"/>
  <c r="R1119" i="484" s="1"/>
  <c r="S1119" i="484" s="1"/>
  <c r="T1119" i="484" s="1"/>
  <c r="U1119" i="484" s="1"/>
  <c r="V1119" i="484" s="1"/>
  <c r="W1119" i="484" s="1"/>
  <c r="X1119" i="484" s="1"/>
  <c r="Y1119" i="484" s="1"/>
  <c r="Z1119" i="484" s="1"/>
  <c r="AA1119" i="484" s="1"/>
  <c r="AB1119" i="484" s="1"/>
  <c r="AC1119" i="484" s="1"/>
  <c r="AD1119" i="484" s="1"/>
  <c r="AE1119" i="484" s="1"/>
  <c r="AF1119" i="484" s="1"/>
  <c r="I1119" i="484"/>
  <c r="J1118" i="484"/>
  <c r="K1118" i="484"/>
  <c r="L1118" i="484"/>
  <c r="M1118" i="484" s="1"/>
  <c r="N1118" i="484" s="1"/>
  <c r="O1118" i="484" s="1"/>
  <c r="P1118" i="484" s="1"/>
  <c r="Q1118" i="484" s="1"/>
  <c r="R1118" i="484" s="1"/>
  <c r="S1118" i="484" s="1"/>
  <c r="T1118" i="484" s="1"/>
  <c r="U1118" i="484" s="1"/>
  <c r="V1118" i="484" s="1"/>
  <c r="W1118" i="484" s="1"/>
  <c r="X1118" i="484" s="1"/>
  <c r="Y1118" i="484" s="1"/>
  <c r="Z1118" i="484" s="1"/>
  <c r="AA1118" i="484" s="1"/>
  <c r="AB1118" i="484" s="1"/>
  <c r="AC1118" i="484" s="1"/>
  <c r="AD1118" i="484" s="1"/>
  <c r="AE1118" i="484" s="1"/>
  <c r="AF1118" i="484" s="1"/>
  <c r="I1118" i="484"/>
  <c r="I1113" i="484"/>
  <c r="J1113" i="484"/>
  <c r="K1113" i="484"/>
  <c r="L1113" i="484"/>
  <c r="M1113" i="484"/>
  <c r="N1113" i="484"/>
  <c r="O1113" i="484"/>
  <c r="P1113" i="484"/>
  <c r="Q1113" i="484"/>
  <c r="R1113" i="484"/>
  <c r="S1113" i="484"/>
  <c r="T1113" i="484"/>
  <c r="U1113" i="484"/>
  <c r="V1113" i="484"/>
  <c r="W1113" i="484"/>
  <c r="X1113" i="484"/>
  <c r="Y1113" i="484"/>
  <c r="Z1113" i="484"/>
  <c r="AA1113" i="484"/>
  <c r="AB1113" i="484"/>
  <c r="AC1113" i="484"/>
  <c r="AD1113" i="484"/>
  <c r="AE1113" i="484"/>
  <c r="AF1113" i="484"/>
  <c r="H1103" i="484"/>
  <c r="H1102" i="484"/>
  <c r="H1100" i="484"/>
  <c r="J1106" i="484"/>
  <c r="K1106" i="484"/>
  <c r="L1106" i="484" s="1"/>
  <c r="M1106" i="484" s="1"/>
  <c r="N1106" i="484" s="1"/>
  <c r="O1106" i="484" s="1"/>
  <c r="P1106" i="484" s="1"/>
  <c r="Q1106" i="484" s="1"/>
  <c r="R1106" i="484" s="1"/>
  <c r="S1106" i="484" s="1"/>
  <c r="T1106" i="484" s="1"/>
  <c r="U1106" i="484" s="1"/>
  <c r="V1106" i="484" s="1"/>
  <c r="W1106" i="484" s="1"/>
  <c r="X1106" i="484" s="1"/>
  <c r="Y1106" i="484" s="1"/>
  <c r="Z1106" i="484" s="1"/>
  <c r="AA1106" i="484" s="1"/>
  <c r="AB1106" i="484" s="1"/>
  <c r="AC1106" i="484" s="1"/>
  <c r="AD1106" i="484" s="1"/>
  <c r="AE1106" i="484" s="1"/>
  <c r="AF1106" i="484" s="1"/>
  <c r="I1106" i="484"/>
  <c r="J1105" i="484"/>
  <c r="K1105" i="484"/>
  <c r="L1105" i="484" s="1"/>
  <c r="M1105" i="484" s="1"/>
  <c r="N1105" i="484" s="1"/>
  <c r="O1105" i="484" s="1"/>
  <c r="P1105" i="484" s="1"/>
  <c r="Q1105" i="484" s="1"/>
  <c r="R1105" i="484" s="1"/>
  <c r="S1105" i="484" s="1"/>
  <c r="T1105" i="484" s="1"/>
  <c r="U1105" i="484" s="1"/>
  <c r="V1105" i="484" s="1"/>
  <c r="W1105" i="484" s="1"/>
  <c r="X1105" i="484" s="1"/>
  <c r="Y1105" i="484" s="1"/>
  <c r="Z1105" i="484" s="1"/>
  <c r="AA1105" i="484" s="1"/>
  <c r="AB1105" i="484" s="1"/>
  <c r="AC1105" i="484" s="1"/>
  <c r="AD1105" i="484" s="1"/>
  <c r="AE1105" i="484" s="1"/>
  <c r="AF1105" i="484" s="1"/>
  <c r="I1105" i="484"/>
  <c r="I1100" i="484"/>
  <c r="J1100" i="484"/>
  <c r="K1100" i="484"/>
  <c r="L1100" i="484"/>
  <c r="M1100" i="484"/>
  <c r="N1100" i="484"/>
  <c r="O1100" i="484"/>
  <c r="P1100" i="484"/>
  <c r="Q1100" i="484"/>
  <c r="R1100" i="484"/>
  <c r="S1100" i="484"/>
  <c r="T1100" i="484"/>
  <c r="U1100" i="484"/>
  <c r="V1100" i="484"/>
  <c r="W1100" i="484"/>
  <c r="X1100" i="484"/>
  <c r="Y1100" i="484"/>
  <c r="Z1100" i="484"/>
  <c r="AA1100" i="484"/>
  <c r="AB1100" i="484"/>
  <c r="AC1100" i="484"/>
  <c r="AD1100" i="484"/>
  <c r="AE1100" i="484"/>
  <c r="AF1100" i="484"/>
  <c r="H1090" i="484"/>
  <c r="H1089" i="484"/>
  <c r="H1087" i="484"/>
  <c r="J1093" i="484"/>
  <c r="K1093" i="484" s="1"/>
  <c r="L1093" i="484" s="1"/>
  <c r="M1093" i="484" s="1"/>
  <c r="N1093" i="484" s="1"/>
  <c r="O1093" i="484" s="1"/>
  <c r="P1093" i="484" s="1"/>
  <c r="Q1093" i="484" s="1"/>
  <c r="R1093" i="484" s="1"/>
  <c r="S1093" i="484" s="1"/>
  <c r="T1093" i="484" s="1"/>
  <c r="U1093" i="484" s="1"/>
  <c r="V1093" i="484" s="1"/>
  <c r="W1093" i="484" s="1"/>
  <c r="X1093" i="484" s="1"/>
  <c r="Y1093" i="484" s="1"/>
  <c r="Z1093" i="484" s="1"/>
  <c r="AA1093" i="484" s="1"/>
  <c r="AB1093" i="484" s="1"/>
  <c r="AC1093" i="484" s="1"/>
  <c r="AD1093" i="484" s="1"/>
  <c r="AE1093" i="484" s="1"/>
  <c r="AF1093" i="484" s="1"/>
  <c r="I1093" i="484"/>
  <c r="J1092" i="484"/>
  <c r="K1092" i="484" s="1"/>
  <c r="L1092" i="484" s="1"/>
  <c r="M1092" i="484" s="1"/>
  <c r="N1092" i="484" s="1"/>
  <c r="O1092" i="484" s="1"/>
  <c r="P1092" i="484" s="1"/>
  <c r="Q1092" i="484" s="1"/>
  <c r="R1092" i="484" s="1"/>
  <c r="S1092" i="484" s="1"/>
  <c r="T1092" i="484" s="1"/>
  <c r="U1092" i="484" s="1"/>
  <c r="V1092" i="484" s="1"/>
  <c r="W1092" i="484" s="1"/>
  <c r="X1092" i="484" s="1"/>
  <c r="Y1092" i="484" s="1"/>
  <c r="Z1092" i="484" s="1"/>
  <c r="AA1092" i="484" s="1"/>
  <c r="AB1092" i="484" s="1"/>
  <c r="AC1092" i="484" s="1"/>
  <c r="AD1092" i="484" s="1"/>
  <c r="AE1092" i="484" s="1"/>
  <c r="AF1092" i="484" s="1"/>
  <c r="I1092" i="484"/>
  <c r="I1087" i="484"/>
  <c r="J1087" i="484"/>
  <c r="K1087" i="484"/>
  <c r="L1087" i="484"/>
  <c r="M1087" i="484"/>
  <c r="N1087" i="484"/>
  <c r="O1087" i="484"/>
  <c r="P1087" i="484"/>
  <c r="Q1087" i="484"/>
  <c r="R1087" i="484"/>
  <c r="S1087" i="484"/>
  <c r="T1087" i="484"/>
  <c r="U1087" i="484"/>
  <c r="V1087" i="484"/>
  <c r="W1087" i="484"/>
  <c r="X1087" i="484"/>
  <c r="Y1087" i="484"/>
  <c r="Z1087" i="484"/>
  <c r="AA1087" i="484"/>
  <c r="AB1087" i="484"/>
  <c r="AC1087" i="484"/>
  <c r="AD1087" i="484"/>
  <c r="AE1087" i="484"/>
  <c r="AF1087" i="484"/>
  <c r="H1077" i="484"/>
  <c r="H1076" i="484"/>
  <c r="H1074" i="484"/>
  <c r="J1080" i="484"/>
  <c r="K1080" i="484"/>
  <c r="L1080" i="484" s="1"/>
  <c r="M1080" i="484" s="1"/>
  <c r="N1080" i="484" s="1"/>
  <c r="O1080" i="484" s="1"/>
  <c r="P1080" i="484" s="1"/>
  <c r="Q1080" i="484" s="1"/>
  <c r="R1080" i="484" s="1"/>
  <c r="S1080" i="484" s="1"/>
  <c r="T1080" i="484" s="1"/>
  <c r="U1080" i="484" s="1"/>
  <c r="V1080" i="484" s="1"/>
  <c r="W1080" i="484" s="1"/>
  <c r="X1080" i="484" s="1"/>
  <c r="Y1080" i="484" s="1"/>
  <c r="Z1080" i="484" s="1"/>
  <c r="AA1080" i="484" s="1"/>
  <c r="AB1080" i="484" s="1"/>
  <c r="AC1080" i="484" s="1"/>
  <c r="AD1080" i="484" s="1"/>
  <c r="AE1080" i="484" s="1"/>
  <c r="AF1080" i="484" s="1"/>
  <c r="I1080" i="484"/>
  <c r="J1079" i="484"/>
  <c r="K1079" i="484"/>
  <c r="L1079" i="484" s="1"/>
  <c r="M1079" i="484" s="1"/>
  <c r="N1079" i="484" s="1"/>
  <c r="O1079" i="484" s="1"/>
  <c r="P1079" i="484" s="1"/>
  <c r="Q1079" i="484" s="1"/>
  <c r="R1079" i="484" s="1"/>
  <c r="S1079" i="484" s="1"/>
  <c r="T1079" i="484" s="1"/>
  <c r="U1079" i="484" s="1"/>
  <c r="V1079" i="484" s="1"/>
  <c r="W1079" i="484" s="1"/>
  <c r="X1079" i="484" s="1"/>
  <c r="Y1079" i="484" s="1"/>
  <c r="Z1079" i="484" s="1"/>
  <c r="AA1079" i="484" s="1"/>
  <c r="AB1079" i="484" s="1"/>
  <c r="AC1079" i="484" s="1"/>
  <c r="AD1079" i="484" s="1"/>
  <c r="AE1079" i="484" s="1"/>
  <c r="AF1079" i="484" s="1"/>
  <c r="I1079" i="484"/>
  <c r="I1074" i="484"/>
  <c r="J1074" i="484"/>
  <c r="K1074" i="484"/>
  <c r="L1074" i="484"/>
  <c r="M1074" i="484"/>
  <c r="N1074" i="484"/>
  <c r="O1074" i="484"/>
  <c r="P1074" i="484"/>
  <c r="Q1074" i="484"/>
  <c r="R1074" i="484"/>
  <c r="S1074" i="484"/>
  <c r="T1074" i="484"/>
  <c r="U1074" i="484"/>
  <c r="V1074" i="484"/>
  <c r="W1074" i="484"/>
  <c r="X1074" i="484"/>
  <c r="Y1074" i="484"/>
  <c r="Z1074" i="484"/>
  <c r="AA1074" i="484"/>
  <c r="AB1074" i="484"/>
  <c r="AC1074" i="484"/>
  <c r="AD1074" i="484"/>
  <c r="AE1074" i="484"/>
  <c r="AF1074" i="484"/>
  <c r="H1064" i="484"/>
  <c r="H1063" i="484"/>
  <c r="H1061" i="484"/>
  <c r="J1067" i="484"/>
  <c r="K1067" i="484"/>
  <c r="L1067" i="484" s="1"/>
  <c r="M1067" i="484" s="1"/>
  <c r="N1067" i="484" s="1"/>
  <c r="O1067" i="484" s="1"/>
  <c r="P1067" i="484" s="1"/>
  <c r="Q1067" i="484" s="1"/>
  <c r="R1067" i="484" s="1"/>
  <c r="S1067" i="484" s="1"/>
  <c r="T1067" i="484" s="1"/>
  <c r="U1067" i="484" s="1"/>
  <c r="V1067" i="484" s="1"/>
  <c r="W1067" i="484" s="1"/>
  <c r="X1067" i="484" s="1"/>
  <c r="Y1067" i="484" s="1"/>
  <c r="Z1067" i="484" s="1"/>
  <c r="AA1067" i="484" s="1"/>
  <c r="AB1067" i="484" s="1"/>
  <c r="AC1067" i="484" s="1"/>
  <c r="AD1067" i="484" s="1"/>
  <c r="AE1067" i="484" s="1"/>
  <c r="AF1067" i="484" s="1"/>
  <c r="I1067" i="484"/>
  <c r="J1066" i="484"/>
  <c r="K1066" i="484"/>
  <c r="L1066" i="484"/>
  <c r="M1066" i="484"/>
  <c r="N1066" i="484" s="1"/>
  <c r="O1066" i="484" s="1"/>
  <c r="P1066" i="484" s="1"/>
  <c r="Q1066" i="484" s="1"/>
  <c r="R1066" i="484" s="1"/>
  <c r="S1066" i="484" s="1"/>
  <c r="T1066" i="484" s="1"/>
  <c r="U1066" i="484" s="1"/>
  <c r="V1066" i="484" s="1"/>
  <c r="W1066" i="484" s="1"/>
  <c r="X1066" i="484" s="1"/>
  <c r="Y1066" i="484" s="1"/>
  <c r="Z1066" i="484" s="1"/>
  <c r="AA1066" i="484" s="1"/>
  <c r="AB1066" i="484" s="1"/>
  <c r="AC1066" i="484" s="1"/>
  <c r="AD1066" i="484" s="1"/>
  <c r="AE1066" i="484" s="1"/>
  <c r="AF1066" i="484" s="1"/>
  <c r="I1066" i="484"/>
  <c r="I1061" i="484"/>
  <c r="J1061" i="484"/>
  <c r="K1061" i="484"/>
  <c r="L1061" i="484"/>
  <c r="M1061" i="484"/>
  <c r="N1061" i="484"/>
  <c r="O1061" i="484"/>
  <c r="P1061" i="484"/>
  <c r="Q1061" i="484"/>
  <c r="R1061" i="484"/>
  <c r="S1061" i="484"/>
  <c r="T1061" i="484"/>
  <c r="U1061" i="484"/>
  <c r="V1061" i="484"/>
  <c r="W1061" i="484"/>
  <c r="X1061" i="484"/>
  <c r="Y1061" i="484"/>
  <c r="Z1061" i="484"/>
  <c r="AA1061" i="484"/>
  <c r="AB1061" i="484"/>
  <c r="AC1061" i="484"/>
  <c r="AD1061" i="484"/>
  <c r="AE1061" i="484"/>
  <c r="AF1061" i="484"/>
  <c r="H1051" i="484"/>
  <c r="H1050" i="484"/>
  <c r="H1048" i="484"/>
  <c r="J1054" i="484"/>
  <c r="K1054" i="484" s="1"/>
  <c r="L1054" i="484" s="1"/>
  <c r="M1054" i="484" s="1"/>
  <c r="N1054" i="484" s="1"/>
  <c r="O1054" i="484" s="1"/>
  <c r="P1054" i="484" s="1"/>
  <c r="Q1054" i="484" s="1"/>
  <c r="R1054" i="484" s="1"/>
  <c r="S1054" i="484" s="1"/>
  <c r="T1054" i="484" s="1"/>
  <c r="U1054" i="484" s="1"/>
  <c r="V1054" i="484" s="1"/>
  <c r="W1054" i="484" s="1"/>
  <c r="X1054" i="484" s="1"/>
  <c r="Y1054" i="484" s="1"/>
  <c r="Z1054" i="484" s="1"/>
  <c r="AA1054" i="484" s="1"/>
  <c r="AB1054" i="484" s="1"/>
  <c r="AC1054" i="484" s="1"/>
  <c r="AD1054" i="484" s="1"/>
  <c r="AE1054" i="484" s="1"/>
  <c r="AF1054" i="484" s="1"/>
  <c r="I1054" i="484"/>
  <c r="J1053" i="484"/>
  <c r="K1053" i="484" s="1"/>
  <c r="L1053" i="484" s="1"/>
  <c r="M1053" i="484" s="1"/>
  <c r="N1053" i="484" s="1"/>
  <c r="O1053" i="484" s="1"/>
  <c r="P1053" i="484" s="1"/>
  <c r="Q1053" i="484" s="1"/>
  <c r="R1053" i="484" s="1"/>
  <c r="S1053" i="484" s="1"/>
  <c r="T1053" i="484" s="1"/>
  <c r="U1053" i="484" s="1"/>
  <c r="V1053" i="484" s="1"/>
  <c r="W1053" i="484" s="1"/>
  <c r="X1053" i="484" s="1"/>
  <c r="Y1053" i="484" s="1"/>
  <c r="Z1053" i="484" s="1"/>
  <c r="AA1053" i="484" s="1"/>
  <c r="AB1053" i="484" s="1"/>
  <c r="AC1053" i="484" s="1"/>
  <c r="AD1053" i="484" s="1"/>
  <c r="AE1053" i="484" s="1"/>
  <c r="AF1053" i="484" s="1"/>
  <c r="I1053" i="484"/>
  <c r="I1048" i="484"/>
  <c r="J1048" i="484"/>
  <c r="K1048" i="484"/>
  <c r="L1048" i="484"/>
  <c r="M1048" i="484"/>
  <c r="N1048" i="484"/>
  <c r="O1048" i="484"/>
  <c r="P1048" i="484"/>
  <c r="Q1048" i="484"/>
  <c r="R1048" i="484"/>
  <c r="S1048" i="484"/>
  <c r="T1048" i="484"/>
  <c r="U1048" i="484"/>
  <c r="V1048" i="484"/>
  <c r="W1048" i="484"/>
  <c r="X1048" i="484"/>
  <c r="Y1048" i="484"/>
  <c r="Z1048" i="484"/>
  <c r="AA1048" i="484"/>
  <c r="AB1048" i="484"/>
  <c r="AC1048" i="484"/>
  <c r="AD1048" i="484"/>
  <c r="AE1048" i="484"/>
  <c r="AF1048" i="484"/>
  <c r="H1038" i="484"/>
  <c r="H1037" i="484"/>
  <c r="H1035" i="484"/>
  <c r="J1041" i="484"/>
  <c r="K1041" i="484" s="1"/>
  <c r="L1041" i="484" s="1"/>
  <c r="M1041" i="484" s="1"/>
  <c r="N1041" i="484" s="1"/>
  <c r="O1041" i="484" s="1"/>
  <c r="P1041" i="484" s="1"/>
  <c r="Q1041" i="484" s="1"/>
  <c r="R1041" i="484" s="1"/>
  <c r="S1041" i="484" s="1"/>
  <c r="T1041" i="484" s="1"/>
  <c r="U1041" i="484" s="1"/>
  <c r="V1041" i="484" s="1"/>
  <c r="W1041" i="484" s="1"/>
  <c r="X1041" i="484" s="1"/>
  <c r="Y1041" i="484" s="1"/>
  <c r="Z1041" i="484" s="1"/>
  <c r="AA1041" i="484" s="1"/>
  <c r="AB1041" i="484" s="1"/>
  <c r="AC1041" i="484" s="1"/>
  <c r="AD1041" i="484" s="1"/>
  <c r="AE1041" i="484" s="1"/>
  <c r="AF1041" i="484" s="1"/>
  <c r="I1041" i="484"/>
  <c r="J1040" i="484"/>
  <c r="K1040" i="484" s="1"/>
  <c r="L1040" i="484" s="1"/>
  <c r="M1040" i="484" s="1"/>
  <c r="N1040" i="484" s="1"/>
  <c r="O1040" i="484" s="1"/>
  <c r="P1040" i="484" s="1"/>
  <c r="Q1040" i="484" s="1"/>
  <c r="R1040" i="484" s="1"/>
  <c r="S1040" i="484" s="1"/>
  <c r="T1040" i="484" s="1"/>
  <c r="U1040" i="484" s="1"/>
  <c r="V1040" i="484" s="1"/>
  <c r="W1040" i="484" s="1"/>
  <c r="X1040" i="484" s="1"/>
  <c r="Y1040" i="484" s="1"/>
  <c r="Z1040" i="484" s="1"/>
  <c r="AA1040" i="484" s="1"/>
  <c r="AB1040" i="484" s="1"/>
  <c r="AC1040" i="484" s="1"/>
  <c r="AD1040" i="484" s="1"/>
  <c r="AE1040" i="484" s="1"/>
  <c r="AF1040" i="484" s="1"/>
  <c r="I1040" i="484"/>
  <c r="I1035" i="484"/>
  <c r="J1035" i="484"/>
  <c r="K1035" i="484"/>
  <c r="L1035" i="484"/>
  <c r="M1035" i="484"/>
  <c r="N1035" i="484"/>
  <c r="O1035" i="484"/>
  <c r="P1035" i="484"/>
  <c r="Q1035" i="484"/>
  <c r="R1035" i="484"/>
  <c r="S1035" i="484"/>
  <c r="T1035" i="484"/>
  <c r="U1035" i="484"/>
  <c r="V1035" i="484"/>
  <c r="W1035" i="484"/>
  <c r="X1035" i="484"/>
  <c r="Y1035" i="484"/>
  <c r="Z1035" i="484"/>
  <c r="AA1035" i="484"/>
  <c r="AB1035" i="484"/>
  <c r="AC1035" i="484"/>
  <c r="AD1035" i="484"/>
  <c r="AE1035" i="484"/>
  <c r="AF1035" i="484"/>
  <c r="H1025" i="484"/>
  <c r="H1024" i="484"/>
  <c r="H1022" i="484"/>
  <c r="J1028" i="484"/>
  <c r="K1028" i="484" s="1"/>
  <c r="L1028" i="484" s="1"/>
  <c r="M1028" i="484" s="1"/>
  <c r="N1028" i="484" s="1"/>
  <c r="O1028" i="484" s="1"/>
  <c r="P1028" i="484" s="1"/>
  <c r="Q1028" i="484" s="1"/>
  <c r="R1028" i="484" s="1"/>
  <c r="S1028" i="484" s="1"/>
  <c r="T1028" i="484" s="1"/>
  <c r="U1028" i="484" s="1"/>
  <c r="V1028" i="484" s="1"/>
  <c r="W1028" i="484" s="1"/>
  <c r="X1028" i="484" s="1"/>
  <c r="Y1028" i="484" s="1"/>
  <c r="Z1028" i="484" s="1"/>
  <c r="AA1028" i="484" s="1"/>
  <c r="AB1028" i="484" s="1"/>
  <c r="AC1028" i="484" s="1"/>
  <c r="AD1028" i="484" s="1"/>
  <c r="AE1028" i="484" s="1"/>
  <c r="AF1028" i="484" s="1"/>
  <c r="I1028" i="484"/>
  <c r="J1027" i="484"/>
  <c r="K1027" i="484" s="1"/>
  <c r="L1027" i="484" s="1"/>
  <c r="M1027" i="484" s="1"/>
  <c r="N1027" i="484" s="1"/>
  <c r="O1027" i="484" s="1"/>
  <c r="P1027" i="484" s="1"/>
  <c r="Q1027" i="484" s="1"/>
  <c r="R1027" i="484" s="1"/>
  <c r="S1027" i="484" s="1"/>
  <c r="T1027" i="484" s="1"/>
  <c r="U1027" i="484" s="1"/>
  <c r="V1027" i="484" s="1"/>
  <c r="W1027" i="484" s="1"/>
  <c r="X1027" i="484" s="1"/>
  <c r="Y1027" i="484" s="1"/>
  <c r="Z1027" i="484" s="1"/>
  <c r="AA1027" i="484" s="1"/>
  <c r="AB1027" i="484" s="1"/>
  <c r="AC1027" i="484" s="1"/>
  <c r="AD1027" i="484" s="1"/>
  <c r="AE1027" i="484" s="1"/>
  <c r="AF1027" i="484" s="1"/>
  <c r="I1027" i="484"/>
  <c r="I1022" i="484"/>
  <c r="J1022" i="484"/>
  <c r="K1022" i="484"/>
  <c r="L1022" i="484"/>
  <c r="M1022" i="484"/>
  <c r="N1022" i="484"/>
  <c r="O1022" i="484"/>
  <c r="P1022" i="484"/>
  <c r="Q1022" i="484"/>
  <c r="R1022" i="484"/>
  <c r="S1022" i="484"/>
  <c r="T1022" i="484"/>
  <c r="U1022" i="484"/>
  <c r="V1022" i="484"/>
  <c r="W1022" i="484"/>
  <c r="X1022" i="484"/>
  <c r="Y1022" i="484"/>
  <c r="Z1022" i="484"/>
  <c r="AA1022" i="484"/>
  <c r="AB1022" i="484"/>
  <c r="AC1022" i="484"/>
  <c r="AD1022" i="484"/>
  <c r="AE1022" i="484"/>
  <c r="AF1022" i="484"/>
  <c r="H1012" i="484"/>
  <c r="H1011" i="484"/>
  <c r="H1009" i="484"/>
  <c r="J1015" i="484"/>
  <c r="K1015" i="484"/>
  <c r="L1015" i="484"/>
  <c r="M1015" i="484" s="1"/>
  <c r="N1015" i="484" s="1"/>
  <c r="O1015" i="484" s="1"/>
  <c r="P1015" i="484" s="1"/>
  <c r="Q1015" i="484" s="1"/>
  <c r="R1015" i="484" s="1"/>
  <c r="S1015" i="484" s="1"/>
  <c r="T1015" i="484" s="1"/>
  <c r="U1015" i="484" s="1"/>
  <c r="V1015" i="484" s="1"/>
  <c r="W1015" i="484" s="1"/>
  <c r="X1015" i="484" s="1"/>
  <c r="Y1015" i="484" s="1"/>
  <c r="Z1015" i="484" s="1"/>
  <c r="AA1015" i="484" s="1"/>
  <c r="AB1015" i="484" s="1"/>
  <c r="AC1015" i="484" s="1"/>
  <c r="AD1015" i="484" s="1"/>
  <c r="AE1015" i="484" s="1"/>
  <c r="AF1015" i="484" s="1"/>
  <c r="I1015" i="484"/>
  <c r="J1014" i="484"/>
  <c r="K1014" i="484" s="1"/>
  <c r="L1014" i="484" s="1"/>
  <c r="M1014" i="484" s="1"/>
  <c r="N1014" i="484" s="1"/>
  <c r="O1014" i="484" s="1"/>
  <c r="P1014" i="484" s="1"/>
  <c r="Q1014" i="484" s="1"/>
  <c r="R1014" i="484" s="1"/>
  <c r="S1014" i="484" s="1"/>
  <c r="T1014" i="484" s="1"/>
  <c r="U1014" i="484" s="1"/>
  <c r="V1014" i="484" s="1"/>
  <c r="W1014" i="484" s="1"/>
  <c r="X1014" i="484" s="1"/>
  <c r="Y1014" i="484" s="1"/>
  <c r="Z1014" i="484" s="1"/>
  <c r="AA1014" i="484" s="1"/>
  <c r="AB1014" i="484" s="1"/>
  <c r="AC1014" i="484" s="1"/>
  <c r="AD1014" i="484" s="1"/>
  <c r="AE1014" i="484" s="1"/>
  <c r="AF1014" i="484" s="1"/>
  <c r="I1014" i="484"/>
  <c r="I1009" i="484"/>
  <c r="J1009" i="484"/>
  <c r="K1009" i="484"/>
  <c r="L1009" i="484"/>
  <c r="M1009" i="484"/>
  <c r="N1009" i="484"/>
  <c r="O1009" i="484"/>
  <c r="P1009" i="484"/>
  <c r="Q1009" i="484"/>
  <c r="R1009" i="484"/>
  <c r="S1009" i="484"/>
  <c r="T1009" i="484"/>
  <c r="U1009" i="484"/>
  <c r="V1009" i="484"/>
  <c r="W1009" i="484"/>
  <c r="X1009" i="484"/>
  <c r="Y1009" i="484"/>
  <c r="Z1009" i="484"/>
  <c r="AA1009" i="484"/>
  <c r="AB1009" i="484"/>
  <c r="AC1009" i="484"/>
  <c r="AD1009" i="484"/>
  <c r="AE1009" i="484"/>
  <c r="AF1009" i="484"/>
  <c r="H999" i="484"/>
  <c r="H998" i="484"/>
  <c r="H996" i="484"/>
  <c r="J1002" i="484"/>
  <c r="K1002" i="484"/>
  <c r="L1002" i="484"/>
  <c r="M1002" i="484" s="1"/>
  <c r="N1002" i="484" s="1"/>
  <c r="O1002" i="484" s="1"/>
  <c r="P1002" i="484" s="1"/>
  <c r="Q1002" i="484" s="1"/>
  <c r="R1002" i="484" s="1"/>
  <c r="S1002" i="484" s="1"/>
  <c r="T1002" i="484" s="1"/>
  <c r="U1002" i="484" s="1"/>
  <c r="V1002" i="484" s="1"/>
  <c r="W1002" i="484" s="1"/>
  <c r="X1002" i="484" s="1"/>
  <c r="Y1002" i="484" s="1"/>
  <c r="Z1002" i="484" s="1"/>
  <c r="AA1002" i="484" s="1"/>
  <c r="AB1002" i="484" s="1"/>
  <c r="AC1002" i="484" s="1"/>
  <c r="AD1002" i="484" s="1"/>
  <c r="AE1002" i="484" s="1"/>
  <c r="AF1002" i="484" s="1"/>
  <c r="I1002" i="484"/>
  <c r="J1001" i="484"/>
  <c r="K1001" i="484"/>
  <c r="L1001" i="484" s="1"/>
  <c r="M1001" i="484" s="1"/>
  <c r="N1001" i="484" s="1"/>
  <c r="O1001" i="484" s="1"/>
  <c r="P1001" i="484" s="1"/>
  <c r="Q1001" i="484" s="1"/>
  <c r="R1001" i="484" s="1"/>
  <c r="S1001" i="484" s="1"/>
  <c r="T1001" i="484" s="1"/>
  <c r="U1001" i="484" s="1"/>
  <c r="V1001" i="484" s="1"/>
  <c r="W1001" i="484" s="1"/>
  <c r="X1001" i="484" s="1"/>
  <c r="Y1001" i="484" s="1"/>
  <c r="Z1001" i="484" s="1"/>
  <c r="AA1001" i="484" s="1"/>
  <c r="AB1001" i="484" s="1"/>
  <c r="AC1001" i="484" s="1"/>
  <c r="AD1001" i="484" s="1"/>
  <c r="AE1001" i="484" s="1"/>
  <c r="AF1001" i="484" s="1"/>
  <c r="I1001" i="484"/>
  <c r="I996" i="484"/>
  <c r="J996" i="484"/>
  <c r="K996" i="484"/>
  <c r="L996" i="484"/>
  <c r="M996" i="484"/>
  <c r="N996" i="484"/>
  <c r="O996" i="484"/>
  <c r="P996" i="484"/>
  <c r="Q996" i="484"/>
  <c r="R996" i="484"/>
  <c r="S996" i="484"/>
  <c r="T996" i="484"/>
  <c r="U996" i="484"/>
  <c r="V996" i="484"/>
  <c r="W996" i="484"/>
  <c r="X996" i="484"/>
  <c r="Y996" i="484"/>
  <c r="Z996" i="484"/>
  <c r="AA996" i="484"/>
  <c r="AB996" i="484"/>
  <c r="AC996" i="484"/>
  <c r="AD996" i="484"/>
  <c r="AE996" i="484"/>
  <c r="AF996" i="484"/>
  <c r="H986" i="484"/>
  <c r="H985" i="484"/>
  <c r="H983" i="484"/>
  <c r="J989" i="484"/>
  <c r="K989" i="484"/>
  <c r="L989" i="484" s="1"/>
  <c r="M989" i="484" s="1"/>
  <c r="N989" i="484" s="1"/>
  <c r="O989" i="484" s="1"/>
  <c r="P989" i="484" s="1"/>
  <c r="Q989" i="484" s="1"/>
  <c r="R989" i="484" s="1"/>
  <c r="S989" i="484" s="1"/>
  <c r="T989" i="484" s="1"/>
  <c r="U989" i="484" s="1"/>
  <c r="V989" i="484" s="1"/>
  <c r="W989" i="484" s="1"/>
  <c r="X989" i="484" s="1"/>
  <c r="Y989" i="484" s="1"/>
  <c r="Z989" i="484" s="1"/>
  <c r="AA989" i="484" s="1"/>
  <c r="AB989" i="484" s="1"/>
  <c r="AC989" i="484" s="1"/>
  <c r="AD989" i="484" s="1"/>
  <c r="AE989" i="484" s="1"/>
  <c r="AF989" i="484" s="1"/>
  <c r="I989" i="484"/>
  <c r="J988" i="484"/>
  <c r="K988" i="484"/>
  <c r="L988" i="484" s="1"/>
  <c r="M988" i="484" s="1"/>
  <c r="N988" i="484" s="1"/>
  <c r="O988" i="484" s="1"/>
  <c r="P988" i="484" s="1"/>
  <c r="Q988" i="484" s="1"/>
  <c r="R988" i="484" s="1"/>
  <c r="S988" i="484" s="1"/>
  <c r="T988" i="484" s="1"/>
  <c r="U988" i="484" s="1"/>
  <c r="V988" i="484" s="1"/>
  <c r="W988" i="484" s="1"/>
  <c r="X988" i="484" s="1"/>
  <c r="Y988" i="484" s="1"/>
  <c r="Z988" i="484" s="1"/>
  <c r="AA988" i="484" s="1"/>
  <c r="AB988" i="484" s="1"/>
  <c r="AC988" i="484" s="1"/>
  <c r="AD988" i="484" s="1"/>
  <c r="AE988" i="484" s="1"/>
  <c r="AF988" i="484" s="1"/>
  <c r="I988" i="484"/>
  <c r="I983" i="484"/>
  <c r="J983" i="484"/>
  <c r="K983" i="484"/>
  <c r="L983" i="484"/>
  <c r="M983" i="484"/>
  <c r="N983" i="484"/>
  <c r="O983" i="484"/>
  <c r="P983" i="484"/>
  <c r="Q983" i="484"/>
  <c r="R983" i="484"/>
  <c r="S983" i="484"/>
  <c r="T983" i="484"/>
  <c r="U983" i="484"/>
  <c r="V983" i="484"/>
  <c r="W983" i="484"/>
  <c r="X983" i="484"/>
  <c r="Y983" i="484"/>
  <c r="Z983" i="484"/>
  <c r="AA983" i="484"/>
  <c r="AB983" i="484"/>
  <c r="AC983" i="484"/>
  <c r="AD983" i="484"/>
  <c r="AE983" i="484"/>
  <c r="AF983" i="484"/>
  <c r="H973" i="484"/>
  <c r="H972" i="484"/>
  <c r="H970" i="484"/>
  <c r="J976" i="484"/>
  <c r="K976" i="484"/>
  <c r="L976" i="484"/>
  <c r="M976" i="484" s="1"/>
  <c r="N976" i="484" s="1"/>
  <c r="O976" i="484" s="1"/>
  <c r="P976" i="484" s="1"/>
  <c r="Q976" i="484" s="1"/>
  <c r="R976" i="484" s="1"/>
  <c r="S976" i="484" s="1"/>
  <c r="T976" i="484" s="1"/>
  <c r="U976" i="484" s="1"/>
  <c r="V976" i="484" s="1"/>
  <c r="W976" i="484" s="1"/>
  <c r="X976" i="484" s="1"/>
  <c r="Y976" i="484" s="1"/>
  <c r="Z976" i="484" s="1"/>
  <c r="AA976" i="484" s="1"/>
  <c r="AB976" i="484" s="1"/>
  <c r="AC976" i="484" s="1"/>
  <c r="AD976" i="484" s="1"/>
  <c r="AE976" i="484" s="1"/>
  <c r="AF976" i="484" s="1"/>
  <c r="I976" i="484"/>
  <c r="J975" i="484"/>
  <c r="K975" i="484"/>
  <c r="L975" i="484" s="1"/>
  <c r="M975" i="484" s="1"/>
  <c r="N975" i="484" s="1"/>
  <c r="O975" i="484" s="1"/>
  <c r="P975" i="484" s="1"/>
  <c r="Q975" i="484" s="1"/>
  <c r="R975" i="484" s="1"/>
  <c r="S975" i="484" s="1"/>
  <c r="T975" i="484" s="1"/>
  <c r="U975" i="484" s="1"/>
  <c r="V975" i="484" s="1"/>
  <c r="W975" i="484" s="1"/>
  <c r="X975" i="484" s="1"/>
  <c r="Y975" i="484" s="1"/>
  <c r="Z975" i="484" s="1"/>
  <c r="AA975" i="484" s="1"/>
  <c r="AB975" i="484" s="1"/>
  <c r="AC975" i="484" s="1"/>
  <c r="AD975" i="484" s="1"/>
  <c r="AE975" i="484" s="1"/>
  <c r="AF975" i="484" s="1"/>
  <c r="I975" i="484"/>
  <c r="I970" i="484"/>
  <c r="J970" i="484"/>
  <c r="K970" i="484"/>
  <c r="L970" i="484"/>
  <c r="M970" i="484"/>
  <c r="N970" i="484"/>
  <c r="O970" i="484"/>
  <c r="P970" i="484"/>
  <c r="Q970" i="484"/>
  <c r="R970" i="484"/>
  <c r="S970" i="484"/>
  <c r="T970" i="484"/>
  <c r="U970" i="484"/>
  <c r="V970" i="484"/>
  <c r="W970" i="484"/>
  <c r="X970" i="484"/>
  <c r="Y970" i="484"/>
  <c r="Z970" i="484"/>
  <c r="AA970" i="484"/>
  <c r="AB970" i="484"/>
  <c r="AC970" i="484"/>
  <c r="AD970" i="484"/>
  <c r="AE970" i="484"/>
  <c r="AF970" i="484"/>
  <c r="H960" i="484"/>
  <c r="H959" i="484"/>
  <c r="H957" i="484"/>
  <c r="J963" i="484"/>
  <c r="K963" i="484" s="1"/>
  <c r="L963" i="484" s="1"/>
  <c r="M963" i="484" s="1"/>
  <c r="N963" i="484" s="1"/>
  <c r="O963" i="484" s="1"/>
  <c r="P963" i="484" s="1"/>
  <c r="Q963" i="484" s="1"/>
  <c r="R963" i="484" s="1"/>
  <c r="S963" i="484" s="1"/>
  <c r="T963" i="484" s="1"/>
  <c r="U963" i="484" s="1"/>
  <c r="V963" i="484" s="1"/>
  <c r="W963" i="484" s="1"/>
  <c r="X963" i="484" s="1"/>
  <c r="Y963" i="484" s="1"/>
  <c r="Z963" i="484" s="1"/>
  <c r="AA963" i="484" s="1"/>
  <c r="AB963" i="484" s="1"/>
  <c r="AC963" i="484" s="1"/>
  <c r="AD963" i="484" s="1"/>
  <c r="AE963" i="484" s="1"/>
  <c r="AF963" i="484" s="1"/>
  <c r="I963" i="484"/>
  <c r="J962" i="484"/>
  <c r="K962" i="484" s="1"/>
  <c r="L962" i="484" s="1"/>
  <c r="M962" i="484" s="1"/>
  <c r="N962" i="484" s="1"/>
  <c r="O962" i="484" s="1"/>
  <c r="P962" i="484" s="1"/>
  <c r="Q962" i="484" s="1"/>
  <c r="R962" i="484" s="1"/>
  <c r="S962" i="484" s="1"/>
  <c r="T962" i="484" s="1"/>
  <c r="U962" i="484" s="1"/>
  <c r="V962" i="484" s="1"/>
  <c r="W962" i="484" s="1"/>
  <c r="X962" i="484" s="1"/>
  <c r="Y962" i="484" s="1"/>
  <c r="Z962" i="484" s="1"/>
  <c r="AA962" i="484" s="1"/>
  <c r="AB962" i="484" s="1"/>
  <c r="AC962" i="484" s="1"/>
  <c r="AD962" i="484" s="1"/>
  <c r="AE962" i="484" s="1"/>
  <c r="AF962" i="484" s="1"/>
  <c r="I962" i="484"/>
  <c r="I957" i="484"/>
  <c r="J957" i="484"/>
  <c r="K957" i="484"/>
  <c r="L957" i="484"/>
  <c r="M957" i="484"/>
  <c r="N957" i="484"/>
  <c r="O957" i="484"/>
  <c r="P957" i="484"/>
  <c r="Q957" i="484"/>
  <c r="R957" i="484"/>
  <c r="S957" i="484"/>
  <c r="T957" i="484"/>
  <c r="U957" i="484"/>
  <c r="V957" i="484"/>
  <c r="W957" i="484"/>
  <c r="X957" i="484"/>
  <c r="Y957" i="484"/>
  <c r="Z957" i="484"/>
  <c r="AA957" i="484"/>
  <c r="AB957" i="484"/>
  <c r="AC957" i="484"/>
  <c r="AD957" i="484"/>
  <c r="AE957" i="484"/>
  <c r="AF957" i="484"/>
  <c r="H947" i="484"/>
  <c r="H946" i="484"/>
  <c r="H944" i="484"/>
  <c r="J950" i="484"/>
  <c r="K950" i="484" s="1"/>
  <c r="L950" i="484" s="1"/>
  <c r="M950" i="484" s="1"/>
  <c r="N950" i="484" s="1"/>
  <c r="O950" i="484" s="1"/>
  <c r="P950" i="484" s="1"/>
  <c r="Q950" i="484" s="1"/>
  <c r="R950" i="484" s="1"/>
  <c r="S950" i="484" s="1"/>
  <c r="T950" i="484" s="1"/>
  <c r="U950" i="484" s="1"/>
  <c r="V950" i="484" s="1"/>
  <c r="W950" i="484" s="1"/>
  <c r="X950" i="484" s="1"/>
  <c r="Y950" i="484" s="1"/>
  <c r="Z950" i="484" s="1"/>
  <c r="AA950" i="484" s="1"/>
  <c r="AB950" i="484" s="1"/>
  <c r="AC950" i="484" s="1"/>
  <c r="AD950" i="484" s="1"/>
  <c r="AE950" i="484" s="1"/>
  <c r="AF950" i="484" s="1"/>
  <c r="I950" i="484"/>
  <c r="J949" i="484"/>
  <c r="K949" i="484"/>
  <c r="L949" i="484" s="1"/>
  <c r="M949" i="484" s="1"/>
  <c r="N949" i="484" s="1"/>
  <c r="O949" i="484" s="1"/>
  <c r="P949" i="484" s="1"/>
  <c r="Q949" i="484" s="1"/>
  <c r="R949" i="484" s="1"/>
  <c r="S949" i="484" s="1"/>
  <c r="T949" i="484" s="1"/>
  <c r="U949" i="484" s="1"/>
  <c r="V949" i="484" s="1"/>
  <c r="W949" i="484" s="1"/>
  <c r="X949" i="484" s="1"/>
  <c r="Y949" i="484" s="1"/>
  <c r="Z949" i="484" s="1"/>
  <c r="AA949" i="484" s="1"/>
  <c r="AB949" i="484" s="1"/>
  <c r="AC949" i="484" s="1"/>
  <c r="AD949" i="484" s="1"/>
  <c r="AE949" i="484" s="1"/>
  <c r="AF949" i="484" s="1"/>
  <c r="I949" i="484"/>
  <c r="I944" i="484"/>
  <c r="J944" i="484"/>
  <c r="K944" i="484"/>
  <c r="L944" i="484"/>
  <c r="M944" i="484"/>
  <c r="N944" i="484"/>
  <c r="O944" i="484"/>
  <c r="P944" i="484"/>
  <c r="Q944" i="484"/>
  <c r="R944" i="484"/>
  <c r="S944" i="484"/>
  <c r="T944" i="484"/>
  <c r="U944" i="484"/>
  <c r="V944" i="484"/>
  <c r="W944" i="484"/>
  <c r="X944" i="484"/>
  <c r="Y944" i="484"/>
  <c r="Z944" i="484"/>
  <c r="AA944" i="484"/>
  <c r="AB944" i="484"/>
  <c r="AC944" i="484"/>
  <c r="AD944" i="484"/>
  <c r="AE944" i="484"/>
  <c r="AF944" i="484"/>
  <c r="H934" i="484"/>
  <c r="H933" i="484"/>
  <c r="H931" i="484"/>
  <c r="J937" i="484"/>
  <c r="K937" i="484"/>
  <c r="L937" i="484"/>
  <c r="M937" i="484" s="1"/>
  <c r="N937" i="484" s="1"/>
  <c r="O937" i="484" s="1"/>
  <c r="P937" i="484" s="1"/>
  <c r="Q937" i="484" s="1"/>
  <c r="R937" i="484" s="1"/>
  <c r="S937" i="484" s="1"/>
  <c r="T937" i="484" s="1"/>
  <c r="U937" i="484" s="1"/>
  <c r="V937" i="484" s="1"/>
  <c r="W937" i="484" s="1"/>
  <c r="X937" i="484" s="1"/>
  <c r="Y937" i="484" s="1"/>
  <c r="Z937" i="484" s="1"/>
  <c r="AA937" i="484" s="1"/>
  <c r="AB937" i="484" s="1"/>
  <c r="AC937" i="484" s="1"/>
  <c r="AD937" i="484" s="1"/>
  <c r="AE937" i="484" s="1"/>
  <c r="AF937" i="484" s="1"/>
  <c r="I937" i="484"/>
  <c r="J936" i="484"/>
  <c r="K936" i="484" s="1"/>
  <c r="L936" i="484" s="1"/>
  <c r="M936" i="484" s="1"/>
  <c r="N936" i="484" s="1"/>
  <c r="O936" i="484" s="1"/>
  <c r="P936" i="484" s="1"/>
  <c r="Q936" i="484" s="1"/>
  <c r="R936" i="484" s="1"/>
  <c r="S936" i="484" s="1"/>
  <c r="T936" i="484" s="1"/>
  <c r="U936" i="484" s="1"/>
  <c r="V936" i="484" s="1"/>
  <c r="W936" i="484" s="1"/>
  <c r="X936" i="484" s="1"/>
  <c r="Y936" i="484" s="1"/>
  <c r="Z936" i="484" s="1"/>
  <c r="AA936" i="484" s="1"/>
  <c r="AB936" i="484" s="1"/>
  <c r="AC936" i="484" s="1"/>
  <c r="AD936" i="484" s="1"/>
  <c r="AE936" i="484" s="1"/>
  <c r="AF936" i="484" s="1"/>
  <c r="I936" i="484"/>
  <c r="I931" i="484"/>
  <c r="J931" i="484"/>
  <c r="K931" i="484"/>
  <c r="L931" i="484"/>
  <c r="M931" i="484"/>
  <c r="N931" i="484"/>
  <c r="O931" i="484"/>
  <c r="P931" i="484"/>
  <c r="Q931" i="484"/>
  <c r="R931" i="484"/>
  <c r="S931" i="484"/>
  <c r="T931" i="484"/>
  <c r="U931" i="484"/>
  <c r="V931" i="484"/>
  <c r="W931" i="484"/>
  <c r="X931" i="484"/>
  <c r="Y931" i="484"/>
  <c r="Z931" i="484"/>
  <c r="AA931" i="484"/>
  <c r="AB931" i="484"/>
  <c r="AC931" i="484"/>
  <c r="AD931" i="484"/>
  <c r="AE931" i="484"/>
  <c r="AF931" i="484"/>
  <c r="H921" i="484"/>
  <c r="H920" i="484"/>
  <c r="H918" i="484"/>
  <c r="J924" i="484"/>
  <c r="K924" i="484"/>
  <c r="L924" i="484" s="1"/>
  <c r="M924" i="484" s="1"/>
  <c r="N924" i="484" s="1"/>
  <c r="O924" i="484" s="1"/>
  <c r="P924" i="484" s="1"/>
  <c r="Q924" i="484" s="1"/>
  <c r="R924" i="484" s="1"/>
  <c r="S924" i="484" s="1"/>
  <c r="T924" i="484" s="1"/>
  <c r="U924" i="484" s="1"/>
  <c r="V924" i="484" s="1"/>
  <c r="W924" i="484" s="1"/>
  <c r="X924" i="484" s="1"/>
  <c r="Y924" i="484" s="1"/>
  <c r="Z924" i="484" s="1"/>
  <c r="AA924" i="484" s="1"/>
  <c r="AB924" i="484" s="1"/>
  <c r="AC924" i="484" s="1"/>
  <c r="AD924" i="484" s="1"/>
  <c r="AE924" i="484" s="1"/>
  <c r="AF924" i="484" s="1"/>
  <c r="I924" i="484"/>
  <c r="J923" i="484"/>
  <c r="K923" i="484" s="1"/>
  <c r="L923" i="484" s="1"/>
  <c r="M923" i="484" s="1"/>
  <c r="N923" i="484" s="1"/>
  <c r="O923" i="484" s="1"/>
  <c r="P923" i="484" s="1"/>
  <c r="Q923" i="484" s="1"/>
  <c r="R923" i="484" s="1"/>
  <c r="S923" i="484" s="1"/>
  <c r="T923" i="484" s="1"/>
  <c r="U923" i="484" s="1"/>
  <c r="V923" i="484" s="1"/>
  <c r="W923" i="484" s="1"/>
  <c r="X923" i="484" s="1"/>
  <c r="Y923" i="484" s="1"/>
  <c r="Z923" i="484" s="1"/>
  <c r="AA923" i="484" s="1"/>
  <c r="AB923" i="484" s="1"/>
  <c r="AC923" i="484" s="1"/>
  <c r="AD923" i="484" s="1"/>
  <c r="AE923" i="484" s="1"/>
  <c r="AF923" i="484" s="1"/>
  <c r="I923" i="484"/>
  <c r="I918" i="484"/>
  <c r="J918" i="484"/>
  <c r="K918" i="484"/>
  <c r="L918" i="484"/>
  <c r="M918" i="484"/>
  <c r="N918" i="484"/>
  <c r="O918" i="484"/>
  <c r="P918" i="484"/>
  <c r="Q918" i="484"/>
  <c r="R918" i="484"/>
  <c r="S918" i="484"/>
  <c r="T918" i="484"/>
  <c r="U918" i="484"/>
  <c r="V918" i="484"/>
  <c r="W918" i="484"/>
  <c r="X918" i="484"/>
  <c r="Y918" i="484"/>
  <c r="Z918" i="484"/>
  <c r="AA918" i="484"/>
  <c r="AB918" i="484"/>
  <c r="AC918" i="484"/>
  <c r="AD918" i="484"/>
  <c r="AE918" i="484"/>
  <c r="AF918" i="484"/>
  <c r="H908" i="484"/>
  <c r="H907" i="484"/>
  <c r="H905" i="484"/>
  <c r="J911" i="484"/>
  <c r="K911" i="484"/>
  <c r="L911" i="484" s="1"/>
  <c r="M911" i="484" s="1"/>
  <c r="N911" i="484" s="1"/>
  <c r="O911" i="484" s="1"/>
  <c r="P911" i="484" s="1"/>
  <c r="Q911" i="484" s="1"/>
  <c r="R911" i="484" s="1"/>
  <c r="S911" i="484" s="1"/>
  <c r="T911" i="484" s="1"/>
  <c r="U911" i="484" s="1"/>
  <c r="V911" i="484" s="1"/>
  <c r="W911" i="484" s="1"/>
  <c r="X911" i="484" s="1"/>
  <c r="Y911" i="484" s="1"/>
  <c r="Z911" i="484" s="1"/>
  <c r="AA911" i="484" s="1"/>
  <c r="AB911" i="484" s="1"/>
  <c r="AC911" i="484" s="1"/>
  <c r="AD911" i="484" s="1"/>
  <c r="AE911" i="484" s="1"/>
  <c r="AF911" i="484" s="1"/>
  <c r="I911" i="484"/>
  <c r="J910" i="484"/>
  <c r="K910" i="484" s="1"/>
  <c r="L910" i="484" s="1"/>
  <c r="M910" i="484" s="1"/>
  <c r="N910" i="484" s="1"/>
  <c r="O910" i="484" s="1"/>
  <c r="P910" i="484" s="1"/>
  <c r="Q910" i="484" s="1"/>
  <c r="R910" i="484" s="1"/>
  <c r="S910" i="484" s="1"/>
  <c r="T910" i="484" s="1"/>
  <c r="U910" i="484" s="1"/>
  <c r="V910" i="484" s="1"/>
  <c r="W910" i="484" s="1"/>
  <c r="X910" i="484" s="1"/>
  <c r="Y910" i="484" s="1"/>
  <c r="Z910" i="484" s="1"/>
  <c r="AA910" i="484" s="1"/>
  <c r="AB910" i="484" s="1"/>
  <c r="AC910" i="484" s="1"/>
  <c r="AD910" i="484" s="1"/>
  <c r="AE910" i="484" s="1"/>
  <c r="AF910" i="484" s="1"/>
  <c r="I910" i="484"/>
  <c r="I905" i="484"/>
  <c r="J905" i="484"/>
  <c r="K905" i="484"/>
  <c r="L905" i="484"/>
  <c r="M905" i="484"/>
  <c r="N905" i="484"/>
  <c r="O905" i="484"/>
  <c r="P905" i="484"/>
  <c r="Q905" i="484"/>
  <c r="R905" i="484"/>
  <c r="S905" i="484"/>
  <c r="T905" i="484"/>
  <c r="U905" i="484"/>
  <c r="V905" i="484"/>
  <c r="W905" i="484"/>
  <c r="X905" i="484"/>
  <c r="Y905" i="484"/>
  <c r="Z905" i="484"/>
  <c r="AA905" i="484"/>
  <c r="AB905" i="484"/>
  <c r="AC905" i="484"/>
  <c r="AD905" i="484"/>
  <c r="AE905" i="484"/>
  <c r="AF905" i="484"/>
  <c r="H895" i="484"/>
  <c r="H894" i="484"/>
  <c r="H892" i="484"/>
  <c r="J898" i="484"/>
  <c r="K898" i="484" s="1"/>
  <c r="L898" i="484" s="1"/>
  <c r="M898" i="484" s="1"/>
  <c r="N898" i="484" s="1"/>
  <c r="O898" i="484" s="1"/>
  <c r="P898" i="484" s="1"/>
  <c r="Q898" i="484" s="1"/>
  <c r="R898" i="484" s="1"/>
  <c r="S898" i="484" s="1"/>
  <c r="T898" i="484" s="1"/>
  <c r="U898" i="484" s="1"/>
  <c r="V898" i="484" s="1"/>
  <c r="W898" i="484" s="1"/>
  <c r="X898" i="484" s="1"/>
  <c r="Y898" i="484" s="1"/>
  <c r="Z898" i="484" s="1"/>
  <c r="AA898" i="484" s="1"/>
  <c r="AB898" i="484" s="1"/>
  <c r="AC898" i="484" s="1"/>
  <c r="AD898" i="484" s="1"/>
  <c r="AE898" i="484" s="1"/>
  <c r="AF898" i="484" s="1"/>
  <c r="I898" i="484"/>
  <c r="J897" i="484"/>
  <c r="K897" i="484" s="1"/>
  <c r="L897" i="484" s="1"/>
  <c r="M897" i="484" s="1"/>
  <c r="N897" i="484" s="1"/>
  <c r="O897" i="484" s="1"/>
  <c r="P897" i="484" s="1"/>
  <c r="Q897" i="484" s="1"/>
  <c r="R897" i="484" s="1"/>
  <c r="S897" i="484" s="1"/>
  <c r="T897" i="484" s="1"/>
  <c r="U897" i="484" s="1"/>
  <c r="V897" i="484" s="1"/>
  <c r="W897" i="484" s="1"/>
  <c r="X897" i="484" s="1"/>
  <c r="Y897" i="484" s="1"/>
  <c r="Z897" i="484" s="1"/>
  <c r="AA897" i="484" s="1"/>
  <c r="AB897" i="484" s="1"/>
  <c r="AC897" i="484" s="1"/>
  <c r="AD897" i="484" s="1"/>
  <c r="AE897" i="484" s="1"/>
  <c r="AF897" i="484" s="1"/>
  <c r="I897" i="484"/>
  <c r="I892" i="484"/>
  <c r="J892" i="484"/>
  <c r="K892" i="484"/>
  <c r="L892" i="484"/>
  <c r="M892" i="484"/>
  <c r="N892" i="484"/>
  <c r="O892" i="484"/>
  <c r="P892" i="484"/>
  <c r="Q892" i="484"/>
  <c r="R892" i="484"/>
  <c r="S892" i="484"/>
  <c r="T892" i="484"/>
  <c r="U892" i="484"/>
  <c r="V892" i="484"/>
  <c r="W892" i="484"/>
  <c r="X892" i="484"/>
  <c r="Y892" i="484"/>
  <c r="Z892" i="484"/>
  <c r="AA892" i="484"/>
  <c r="AB892" i="484"/>
  <c r="AC892" i="484"/>
  <c r="AD892" i="484"/>
  <c r="AE892" i="484"/>
  <c r="AF892" i="484"/>
  <c r="H882" i="484"/>
  <c r="H881" i="484"/>
  <c r="H879" i="484"/>
  <c r="J885" i="484"/>
  <c r="K885" i="484"/>
  <c r="L885" i="484" s="1"/>
  <c r="M885" i="484" s="1"/>
  <c r="N885" i="484" s="1"/>
  <c r="O885" i="484" s="1"/>
  <c r="P885" i="484" s="1"/>
  <c r="Q885" i="484" s="1"/>
  <c r="R885" i="484" s="1"/>
  <c r="S885" i="484" s="1"/>
  <c r="T885" i="484" s="1"/>
  <c r="U885" i="484" s="1"/>
  <c r="V885" i="484" s="1"/>
  <c r="W885" i="484" s="1"/>
  <c r="X885" i="484" s="1"/>
  <c r="Y885" i="484" s="1"/>
  <c r="Z885" i="484" s="1"/>
  <c r="AA885" i="484" s="1"/>
  <c r="AB885" i="484" s="1"/>
  <c r="AC885" i="484" s="1"/>
  <c r="AD885" i="484" s="1"/>
  <c r="AE885" i="484" s="1"/>
  <c r="AF885" i="484" s="1"/>
  <c r="I885" i="484"/>
  <c r="J884" i="484"/>
  <c r="K884" i="484"/>
  <c r="L884" i="484" s="1"/>
  <c r="M884" i="484" s="1"/>
  <c r="N884" i="484" s="1"/>
  <c r="O884" i="484" s="1"/>
  <c r="P884" i="484" s="1"/>
  <c r="Q884" i="484" s="1"/>
  <c r="R884" i="484" s="1"/>
  <c r="S884" i="484" s="1"/>
  <c r="T884" i="484" s="1"/>
  <c r="U884" i="484" s="1"/>
  <c r="V884" i="484" s="1"/>
  <c r="W884" i="484" s="1"/>
  <c r="X884" i="484" s="1"/>
  <c r="Y884" i="484" s="1"/>
  <c r="Z884" i="484" s="1"/>
  <c r="AA884" i="484" s="1"/>
  <c r="AB884" i="484" s="1"/>
  <c r="AC884" i="484" s="1"/>
  <c r="AD884" i="484" s="1"/>
  <c r="AE884" i="484" s="1"/>
  <c r="AF884" i="484" s="1"/>
  <c r="I884" i="484"/>
  <c r="I879" i="484"/>
  <c r="J879" i="484"/>
  <c r="K879" i="484"/>
  <c r="L879" i="484"/>
  <c r="M879" i="484"/>
  <c r="N879" i="484"/>
  <c r="O879" i="484"/>
  <c r="P879" i="484"/>
  <c r="Q879" i="484"/>
  <c r="R879" i="484"/>
  <c r="S879" i="484"/>
  <c r="T879" i="484"/>
  <c r="U879" i="484"/>
  <c r="V879" i="484"/>
  <c r="W879" i="484"/>
  <c r="X879" i="484"/>
  <c r="Y879" i="484"/>
  <c r="Z879" i="484"/>
  <c r="AA879" i="484"/>
  <c r="AB879" i="484"/>
  <c r="AC879" i="484"/>
  <c r="AD879" i="484"/>
  <c r="AE879" i="484"/>
  <c r="AF879" i="484"/>
  <c r="H869" i="484"/>
  <c r="H868" i="484"/>
  <c r="H866" i="484"/>
  <c r="J872" i="484"/>
  <c r="K872" i="484" s="1"/>
  <c r="L872" i="484" s="1"/>
  <c r="M872" i="484" s="1"/>
  <c r="N872" i="484" s="1"/>
  <c r="O872" i="484" s="1"/>
  <c r="P872" i="484" s="1"/>
  <c r="Q872" i="484" s="1"/>
  <c r="R872" i="484" s="1"/>
  <c r="S872" i="484" s="1"/>
  <c r="T872" i="484" s="1"/>
  <c r="U872" i="484" s="1"/>
  <c r="V872" i="484" s="1"/>
  <c r="W872" i="484" s="1"/>
  <c r="X872" i="484" s="1"/>
  <c r="Y872" i="484" s="1"/>
  <c r="Z872" i="484" s="1"/>
  <c r="AA872" i="484" s="1"/>
  <c r="AB872" i="484" s="1"/>
  <c r="AC872" i="484" s="1"/>
  <c r="AD872" i="484" s="1"/>
  <c r="AE872" i="484" s="1"/>
  <c r="AF872" i="484" s="1"/>
  <c r="I872" i="484"/>
  <c r="J871" i="484"/>
  <c r="K871" i="484" s="1"/>
  <c r="L871" i="484" s="1"/>
  <c r="M871" i="484" s="1"/>
  <c r="N871" i="484" s="1"/>
  <c r="O871" i="484" s="1"/>
  <c r="P871" i="484" s="1"/>
  <c r="Q871" i="484" s="1"/>
  <c r="R871" i="484" s="1"/>
  <c r="S871" i="484" s="1"/>
  <c r="T871" i="484" s="1"/>
  <c r="U871" i="484" s="1"/>
  <c r="V871" i="484" s="1"/>
  <c r="W871" i="484" s="1"/>
  <c r="X871" i="484" s="1"/>
  <c r="Y871" i="484" s="1"/>
  <c r="Z871" i="484" s="1"/>
  <c r="AA871" i="484" s="1"/>
  <c r="AB871" i="484" s="1"/>
  <c r="AC871" i="484" s="1"/>
  <c r="AD871" i="484" s="1"/>
  <c r="AE871" i="484" s="1"/>
  <c r="AF871" i="484" s="1"/>
  <c r="I871" i="484"/>
  <c r="I866" i="484"/>
  <c r="J866" i="484"/>
  <c r="K866" i="484"/>
  <c r="L866" i="484"/>
  <c r="M866" i="484"/>
  <c r="N866" i="484"/>
  <c r="O866" i="484"/>
  <c r="P866" i="484"/>
  <c r="Q866" i="484"/>
  <c r="R866" i="484"/>
  <c r="S866" i="484"/>
  <c r="T866" i="484"/>
  <c r="U866" i="484"/>
  <c r="V866" i="484"/>
  <c r="W866" i="484"/>
  <c r="X866" i="484"/>
  <c r="Y866" i="484"/>
  <c r="Z866" i="484"/>
  <c r="AA866" i="484"/>
  <c r="AB866" i="484"/>
  <c r="AC866" i="484"/>
  <c r="AD866" i="484"/>
  <c r="AE866" i="484"/>
  <c r="AF866" i="484"/>
  <c r="H856" i="484"/>
  <c r="H855" i="484"/>
  <c r="H853" i="484"/>
  <c r="J859" i="484"/>
  <c r="K859" i="484"/>
  <c r="L859" i="484" s="1"/>
  <c r="M859" i="484" s="1"/>
  <c r="N859" i="484" s="1"/>
  <c r="O859" i="484" s="1"/>
  <c r="P859" i="484" s="1"/>
  <c r="Q859" i="484" s="1"/>
  <c r="R859" i="484" s="1"/>
  <c r="S859" i="484" s="1"/>
  <c r="T859" i="484" s="1"/>
  <c r="U859" i="484" s="1"/>
  <c r="V859" i="484" s="1"/>
  <c r="W859" i="484" s="1"/>
  <c r="X859" i="484" s="1"/>
  <c r="Y859" i="484" s="1"/>
  <c r="Z859" i="484" s="1"/>
  <c r="AA859" i="484" s="1"/>
  <c r="AB859" i="484" s="1"/>
  <c r="AC859" i="484" s="1"/>
  <c r="AD859" i="484" s="1"/>
  <c r="AE859" i="484" s="1"/>
  <c r="AF859" i="484" s="1"/>
  <c r="I859" i="484"/>
  <c r="J858" i="484"/>
  <c r="K858" i="484"/>
  <c r="L858" i="484"/>
  <c r="M858" i="484" s="1"/>
  <c r="N858" i="484" s="1"/>
  <c r="O858" i="484" s="1"/>
  <c r="P858" i="484" s="1"/>
  <c r="Q858" i="484" s="1"/>
  <c r="R858" i="484" s="1"/>
  <c r="S858" i="484" s="1"/>
  <c r="T858" i="484" s="1"/>
  <c r="U858" i="484" s="1"/>
  <c r="V858" i="484" s="1"/>
  <c r="W858" i="484" s="1"/>
  <c r="X858" i="484" s="1"/>
  <c r="Y858" i="484" s="1"/>
  <c r="Z858" i="484" s="1"/>
  <c r="AA858" i="484" s="1"/>
  <c r="AB858" i="484" s="1"/>
  <c r="AC858" i="484" s="1"/>
  <c r="AD858" i="484" s="1"/>
  <c r="AE858" i="484" s="1"/>
  <c r="AF858" i="484" s="1"/>
  <c r="I858" i="484"/>
  <c r="I853" i="484"/>
  <c r="J853" i="484"/>
  <c r="K853" i="484"/>
  <c r="L853" i="484"/>
  <c r="M853" i="484"/>
  <c r="N853" i="484"/>
  <c r="O853" i="484"/>
  <c r="P853" i="484"/>
  <c r="Q853" i="484"/>
  <c r="R853" i="484"/>
  <c r="S853" i="484"/>
  <c r="T853" i="484"/>
  <c r="U853" i="484"/>
  <c r="V853" i="484"/>
  <c r="W853" i="484"/>
  <c r="X853" i="484"/>
  <c r="Y853" i="484"/>
  <c r="Z853" i="484"/>
  <c r="AA853" i="484"/>
  <c r="AB853" i="484"/>
  <c r="AC853" i="484"/>
  <c r="AD853" i="484"/>
  <c r="AE853" i="484"/>
  <c r="AF853" i="484"/>
  <c r="H843" i="484"/>
  <c r="H842" i="484"/>
  <c r="H840" i="484"/>
  <c r="J846" i="484"/>
  <c r="K846" i="484" s="1"/>
  <c r="L846" i="484" s="1"/>
  <c r="M846" i="484" s="1"/>
  <c r="N846" i="484" s="1"/>
  <c r="O846" i="484" s="1"/>
  <c r="P846" i="484" s="1"/>
  <c r="Q846" i="484" s="1"/>
  <c r="R846" i="484" s="1"/>
  <c r="S846" i="484" s="1"/>
  <c r="T846" i="484" s="1"/>
  <c r="U846" i="484" s="1"/>
  <c r="V846" i="484" s="1"/>
  <c r="W846" i="484" s="1"/>
  <c r="X846" i="484" s="1"/>
  <c r="Y846" i="484" s="1"/>
  <c r="Z846" i="484" s="1"/>
  <c r="AA846" i="484" s="1"/>
  <c r="AB846" i="484" s="1"/>
  <c r="AC846" i="484" s="1"/>
  <c r="AD846" i="484" s="1"/>
  <c r="AE846" i="484" s="1"/>
  <c r="AF846" i="484" s="1"/>
  <c r="I846" i="484"/>
  <c r="J845" i="484"/>
  <c r="K845" i="484" s="1"/>
  <c r="L845" i="484" s="1"/>
  <c r="M845" i="484" s="1"/>
  <c r="N845" i="484" s="1"/>
  <c r="O845" i="484" s="1"/>
  <c r="P845" i="484" s="1"/>
  <c r="Q845" i="484" s="1"/>
  <c r="R845" i="484" s="1"/>
  <c r="S845" i="484" s="1"/>
  <c r="T845" i="484" s="1"/>
  <c r="U845" i="484" s="1"/>
  <c r="V845" i="484" s="1"/>
  <c r="W845" i="484" s="1"/>
  <c r="X845" i="484" s="1"/>
  <c r="Y845" i="484" s="1"/>
  <c r="Z845" i="484" s="1"/>
  <c r="AA845" i="484" s="1"/>
  <c r="AB845" i="484" s="1"/>
  <c r="AC845" i="484" s="1"/>
  <c r="AD845" i="484" s="1"/>
  <c r="AE845" i="484" s="1"/>
  <c r="AF845" i="484" s="1"/>
  <c r="I845" i="484"/>
  <c r="I840" i="484"/>
  <c r="J840" i="484"/>
  <c r="K840" i="484"/>
  <c r="L840" i="484"/>
  <c r="M840" i="484"/>
  <c r="N840" i="484"/>
  <c r="O840" i="484"/>
  <c r="P840" i="484"/>
  <c r="Q840" i="484"/>
  <c r="R840" i="484"/>
  <c r="S840" i="484"/>
  <c r="T840" i="484"/>
  <c r="U840" i="484"/>
  <c r="V840" i="484"/>
  <c r="W840" i="484"/>
  <c r="X840" i="484"/>
  <c r="Y840" i="484"/>
  <c r="Z840" i="484"/>
  <c r="AA840" i="484"/>
  <c r="AB840" i="484"/>
  <c r="AC840" i="484"/>
  <c r="AD840" i="484"/>
  <c r="AE840" i="484"/>
  <c r="AF840" i="484"/>
  <c r="H830" i="484"/>
  <c r="H829" i="484"/>
  <c r="H827" i="484"/>
  <c r="J833" i="484"/>
  <c r="K833" i="484"/>
  <c r="L833" i="484" s="1"/>
  <c r="M833" i="484" s="1"/>
  <c r="N833" i="484" s="1"/>
  <c r="O833" i="484" s="1"/>
  <c r="P833" i="484" s="1"/>
  <c r="Q833" i="484" s="1"/>
  <c r="R833" i="484" s="1"/>
  <c r="S833" i="484" s="1"/>
  <c r="T833" i="484" s="1"/>
  <c r="U833" i="484" s="1"/>
  <c r="V833" i="484" s="1"/>
  <c r="W833" i="484" s="1"/>
  <c r="X833" i="484" s="1"/>
  <c r="Y833" i="484" s="1"/>
  <c r="Z833" i="484" s="1"/>
  <c r="AA833" i="484" s="1"/>
  <c r="AB833" i="484" s="1"/>
  <c r="AC833" i="484" s="1"/>
  <c r="AD833" i="484" s="1"/>
  <c r="AE833" i="484" s="1"/>
  <c r="AF833" i="484" s="1"/>
  <c r="I833" i="484"/>
  <c r="J832" i="484"/>
  <c r="K832" i="484"/>
  <c r="L832" i="484" s="1"/>
  <c r="M832" i="484" s="1"/>
  <c r="N832" i="484" s="1"/>
  <c r="O832" i="484" s="1"/>
  <c r="P832" i="484" s="1"/>
  <c r="Q832" i="484" s="1"/>
  <c r="R832" i="484" s="1"/>
  <c r="S832" i="484" s="1"/>
  <c r="T832" i="484" s="1"/>
  <c r="U832" i="484" s="1"/>
  <c r="V832" i="484" s="1"/>
  <c r="W832" i="484" s="1"/>
  <c r="X832" i="484" s="1"/>
  <c r="Y832" i="484" s="1"/>
  <c r="Z832" i="484" s="1"/>
  <c r="AA832" i="484" s="1"/>
  <c r="AB832" i="484" s="1"/>
  <c r="AC832" i="484" s="1"/>
  <c r="AD832" i="484" s="1"/>
  <c r="AE832" i="484" s="1"/>
  <c r="AF832" i="484" s="1"/>
  <c r="I832" i="484"/>
  <c r="I827" i="484"/>
  <c r="J827" i="484"/>
  <c r="K827" i="484"/>
  <c r="L827" i="484"/>
  <c r="M827" i="484"/>
  <c r="N827" i="484"/>
  <c r="O827" i="484"/>
  <c r="P827" i="484"/>
  <c r="Q827" i="484"/>
  <c r="R827" i="484"/>
  <c r="S827" i="484"/>
  <c r="T827" i="484"/>
  <c r="U827" i="484"/>
  <c r="V827" i="484"/>
  <c r="W827" i="484"/>
  <c r="X827" i="484"/>
  <c r="Y827" i="484"/>
  <c r="Z827" i="484"/>
  <c r="AA827" i="484"/>
  <c r="AB827" i="484"/>
  <c r="AC827" i="484"/>
  <c r="AD827" i="484"/>
  <c r="AE827" i="484"/>
  <c r="AF827" i="484"/>
  <c r="H817" i="484"/>
  <c r="H816" i="484"/>
  <c r="H814" i="484"/>
  <c r="J820" i="484"/>
  <c r="K820" i="484" s="1"/>
  <c r="L820" i="484" s="1"/>
  <c r="M820" i="484" s="1"/>
  <c r="N820" i="484" s="1"/>
  <c r="O820" i="484" s="1"/>
  <c r="P820" i="484" s="1"/>
  <c r="Q820" i="484" s="1"/>
  <c r="R820" i="484" s="1"/>
  <c r="S820" i="484" s="1"/>
  <c r="T820" i="484" s="1"/>
  <c r="U820" i="484" s="1"/>
  <c r="V820" i="484" s="1"/>
  <c r="W820" i="484" s="1"/>
  <c r="X820" i="484" s="1"/>
  <c r="Y820" i="484" s="1"/>
  <c r="Z820" i="484" s="1"/>
  <c r="AA820" i="484" s="1"/>
  <c r="AB820" i="484" s="1"/>
  <c r="AC820" i="484" s="1"/>
  <c r="AD820" i="484" s="1"/>
  <c r="AE820" i="484" s="1"/>
  <c r="AF820" i="484" s="1"/>
  <c r="I820" i="484"/>
  <c r="J819" i="484"/>
  <c r="K819" i="484" s="1"/>
  <c r="L819" i="484" s="1"/>
  <c r="M819" i="484" s="1"/>
  <c r="N819" i="484" s="1"/>
  <c r="O819" i="484" s="1"/>
  <c r="P819" i="484" s="1"/>
  <c r="Q819" i="484" s="1"/>
  <c r="R819" i="484" s="1"/>
  <c r="S819" i="484" s="1"/>
  <c r="T819" i="484" s="1"/>
  <c r="U819" i="484" s="1"/>
  <c r="V819" i="484" s="1"/>
  <c r="W819" i="484" s="1"/>
  <c r="X819" i="484" s="1"/>
  <c r="Y819" i="484" s="1"/>
  <c r="Z819" i="484" s="1"/>
  <c r="AA819" i="484" s="1"/>
  <c r="AB819" i="484" s="1"/>
  <c r="AC819" i="484" s="1"/>
  <c r="AD819" i="484" s="1"/>
  <c r="AE819" i="484" s="1"/>
  <c r="AF819" i="484" s="1"/>
  <c r="I819" i="484"/>
  <c r="I814" i="484"/>
  <c r="J814" i="484"/>
  <c r="K814" i="484"/>
  <c r="L814" i="484"/>
  <c r="M814" i="484"/>
  <c r="N814" i="484"/>
  <c r="O814" i="484"/>
  <c r="P814" i="484"/>
  <c r="Q814" i="484"/>
  <c r="R814" i="484"/>
  <c r="S814" i="484"/>
  <c r="T814" i="484"/>
  <c r="U814" i="484"/>
  <c r="V814" i="484"/>
  <c r="W814" i="484"/>
  <c r="X814" i="484"/>
  <c r="Y814" i="484"/>
  <c r="Z814" i="484"/>
  <c r="AA814" i="484"/>
  <c r="AB814" i="484"/>
  <c r="AC814" i="484"/>
  <c r="AD814" i="484"/>
  <c r="AE814" i="484"/>
  <c r="AF814" i="484"/>
  <c r="H804" i="484"/>
  <c r="H803" i="484"/>
  <c r="H801" i="484"/>
  <c r="J807" i="484"/>
  <c r="K807" i="484" s="1"/>
  <c r="L807" i="484" s="1"/>
  <c r="M807" i="484" s="1"/>
  <c r="N807" i="484" s="1"/>
  <c r="O807" i="484" s="1"/>
  <c r="P807" i="484" s="1"/>
  <c r="Q807" i="484" s="1"/>
  <c r="R807" i="484" s="1"/>
  <c r="S807" i="484" s="1"/>
  <c r="T807" i="484" s="1"/>
  <c r="U807" i="484" s="1"/>
  <c r="V807" i="484" s="1"/>
  <c r="W807" i="484" s="1"/>
  <c r="X807" i="484" s="1"/>
  <c r="Y807" i="484" s="1"/>
  <c r="Z807" i="484" s="1"/>
  <c r="AA807" i="484" s="1"/>
  <c r="AB807" i="484" s="1"/>
  <c r="AC807" i="484" s="1"/>
  <c r="AD807" i="484" s="1"/>
  <c r="AE807" i="484" s="1"/>
  <c r="AF807" i="484" s="1"/>
  <c r="I807" i="484"/>
  <c r="J806" i="484"/>
  <c r="K806" i="484" s="1"/>
  <c r="L806" i="484" s="1"/>
  <c r="M806" i="484" s="1"/>
  <c r="N806" i="484" s="1"/>
  <c r="O806" i="484" s="1"/>
  <c r="P806" i="484" s="1"/>
  <c r="Q806" i="484" s="1"/>
  <c r="R806" i="484" s="1"/>
  <c r="S806" i="484" s="1"/>
  <c r="T806" i="484" s="1"/>
  <c r="U806" i="484" s="1"/>
  <c r="V806" i="484" s="1"/>
  <c r="W806" i="484" s="1"/>
  <c r="X806" i="484" s="1"/>
  <c r="Y806" i="484" s="1"/>
  <c r="Z806" i="484" s="1"/>
  <c r="AA806" i="484" s="1"/>
  <c r="AB806" i="484" s="1"/>
  <c r="AC806" i="484" s="1"/>
  <c r="AD806" i="484" s="1"/>
  <c r="AE806" i="484" s="1"/>
  <c r="AF806" i="484" s="1"/>
  <c r="I806" i="484"/>
  <c r="I801" i="484"/>
  <c r="J801" i="484"/>
  <c r="K801" i="484"/>
  <c r="L801" i="484"/>
  <c r="M801" i="484"/>
  <c r="N801" i="484"/>
  <c r="O801" i="484"/>
  <c r="P801" i="484"/>
  <c r="Q801" i="484"/>
  <c r="R801" i="484"/>
  <c r="S801" i="484"/>
  <c r="T801" i="484"/>
  <c r="U801" i="484"/>
  <c r="V801" i="484"/>
  <c r="W801" i="484"/>
  <c r="X801" i="484"/>
  <c r="Y801" i="484"/>
  <c r="Z801" i="484"/>
  <c r="AA801" i="484"/>
  <c r="AB801" i="484"/>
  <c r="AC801" i="484"/>
  <c r="AD801" i="484"/>
  <c r="AE801" i="484"/>
  <c r="AF801" i="484"/>
  <c r="H791" i="484"/>
  <c r="H790" i="484"/>
  <c r="H788" i="484"/>
  <c r="J794" i="484"/>
  <c r="K794" i="484"/>
  <c r="L794" i="484" s="1"/>
  <c r="M794" i="484" s="1"/>
  <c r="N794" i="484" s="1"/>
  <c r="O794" i="484" s="1"/>
  <c r="P794" i="484" s="1"/>
  <c r="Q794" i="484" s="1"/>
  <c r="R794" i="484" s="1"/>
  <c r="S794" i="484" s="1"/>
  <c r="T794" i="484" s="1"/>
  <c r="U794" i="484" s="1"/>
  <c r="V794" i="484" s="1"/>
  <c r="W794" i="484" s="1"/>
  <c r="X794" i="484" s="1"/>
  <c r="Y794" i="484" s="1"/>
  <c r="Z794" i="484" s="1"/>
  <c r="AA794" i="484" s="1"/>
  <c r="AB794" i="484" s="1"/>
  <c r="AC794" i="484" s="1"/>
  <c r="AD794" i="484" s="1"/>
  <c r="AE794" i="484" s="1"/>
  <c r="AF794" i="484" s="1"/>
  <c r="I794" i="484"/>
  <c r="J793" i="484"/>
  <c r="K793" i="484" s="1"/>
  <c r="L793" i="484" s="1"/>
  <c r="M793" i="484" s="1"/>
  <c r="N793" i="484" s="1"/>
  <c r="O793" i="484" s="1"/>
  <c r="P793" i="484" s="1"/>
  <c r="Q793" i="484" s="1"/>
  <c r="R793" i="484" s="1"/>
  <c r="S793" i="484" s="1"/>
  <c r="T793" i="484" s="1"/>
  <c r="U793" i="484" s="1"/>
  <c r="V793" i="484" s="1"/>
  <c r="W793" i="484" s="1"/>
  <c r="X793" i="484" s="1"/>
  <c r="Y793" i="484" s="1"/>
  <c r="Z793" i="484" s="1"/>
  <c r="AA793" i="484" s="1"/>
  <c r="AB793" i="484" s="1"/>
  <c r="AC793" i="484" s="1"/>
  <c r="AD793" i="484" s="1"/>
  <c r="AE793" i="484" s="1"/>
  <c r="AF793" i="484" s="1"/>
  <c r="I793" i="484"/>
  <c r="I788" i="484"/>
  <c r="J788" i="484"/>
  <c r="K788" i="484"/>
  <c r="L788" i="484"/>
  <c r="M788" i="484"/>
  <c r="N788" i="484"/>
  <c r="O788" i="484"/>
  <c r="P788" i="484"/>
  <c r="Q788" i="484"/>
  <c r="R788" i="484"/>
  <c r="S788" i="484"/>
  <c r="T788" i="484"/>
  <c r="U788" i="484"/>
  <c r="V788" i="484"/>
  <c r="W788" i="484"/>
  <c r="X788" i="484"/>
  <c r="Y788" i="484"/>
  <c r="Z788" i="484"/>
  <c r="AA788" i="484"/>
  <c r="AB788" i="484"/>
  <c r="AC788" i="484"/>
  <c r="AD788" i="484"/>
  <c r="AE788" i="484"/>
  <c r="AF788" i="484"/>
  <c r="H778" i="484"/>
  <c r="H777" i="484"/>
  <c r="H775" i="484"/>
  <c r="J781" i="484"/>
  <c r="K781" i="484" s="1"/>
  <c r="L781" i="484" s="1"/>
  <c r="M781" i="484" s="1"/>
  <c r="N781" i="484" s="1"/>
  <c r="O781" i="484" s="1"/>
  <c r="P781" i="484" s="1"/>
  <c r="Q781" i="484" s="1"/>
  <c r="R781" i="484" s="1"/>
  <c r="S781" i="484" s="1"/>
  <c r="T781" i="484" s="1"/>
  <c r="U781" i="484" s="1"/>
  <c r="V781" i="484" s="1"/>
  <c r="W781" i="484" s="1"/>
  <c r="X781" i="484" s="1"/>
  <c r="Y781" i="484" s="1"/>
  <c r="Z781" i="484" s="1"/>
  <c r="AA781" i="484" s="1"/>
  <c r="AB781" i="484" s="1"/>
  <c r="AC781" i="484" s="1"/>
  <c r="AD781" i="484" s="1"/>
  <c r="AE781" i="484" s="1"/>
  <c r="AF781" i="484" s="1"/>
  <c r="I781" i="484"/>
  <c r="J780" i="484"/>
  <c r="K780" i="484"/>
  <c r="L780" i="484" s="1"/>
  <c r="M780" i="484" s="1"/>
  <c r="N780" i="484" s="1"/>
  <c r="O780" i="484" s="1"/>
  <c r="P780" i="484" s="1"/>
  <c r="Q780" i="484" s="1"/>
  <c r="R780" i="484" s="1"/>
  <c r="S780" i="484" s="1"/>
  <c r="T780" i="484" s="1"/>
  <c r="U780" i="484" s="1"/>
  <c r="V780" i="484" s="1"/>
  <c r="W780" i="484" s="1"/>
  <c r="X780" i="484" s="1"/>
  <c r="Y780" i="484" s="1"/>
  <c r="Z780" i="484" s="1"/>
  <c r="AA780" i="484" s="1"/>
  <c r="AB780" i="484" s="1"/>
  <c r="AC780" i="484" s="1"/>
  <c r="AD780" i="484" s="1"/>
  <c r="AE780" i="484" s="1"/>
  <c r="AF780" i="484" s="1"/>
  <c r="I780" i="484"/>
  <c r="I775" i="484"/>
  <c r="J775" i="484"/>
  <c r="K775" i="484"/>
  <c r="L775" i="484"/>
  <c r="M775" i="484"/>
  <c r="N775" i="484"/>
  <c r="O775" i="484"/>
  <c r="P775" i="484"/>
  <c r="Q775" i="484"/>
  <c r="R775" i="484"/>
  <c r="S775" i="484"/>
  <c r="T775" i="484"/>
  <c r="U775" i="484"/>
  <c r="V775" i="484"/>
  <c r="W775" i="484"/>
  <c r="X775" i="484"/>
  <c r="Y775" i="484"/>
  <c r="Z775" i="484"/>
  <c r="AA775" i="484"/>
  <c r="AB775" i="484"/>
  <c r="AC775" i="484"/>
  <c r="AD775" i="484"/>
  <c r="AE775" i="484"/>
  <c r="AF775" i="484"/>
  <c r="H765" i="484"/>
  <c r="H764" i="484"/>
  <c r="H762" i="484"/>
  <c r="J768" i="484"/>
  <c r="K768" i="484" s="1"/>
  <c r="L768" i="484" s="1"/>
  <c r="M768" i="484" s="1"/>
  <c r="N768" i="484" s="1"/>
  <c r="O768" i="484" s="1"/>
  <c r="P768" i="484" s="1"/>
  <c r="Q768" i="484" s="1"/>
  <c r="R768" i="484" s="1"/>
  <c r="S768" i="484" s="1"/>
  <c r="T768" i="484" s="1"/>
  <c r="U768" i="484" s="1"/>
  <c r="V768" i="484" s="1"/>
  <c r="W768" i="484" s="1"/>
  <c r="X768" i="484" s="1"/>
  <c r="Y768" i="484" s="1"/>
  <c r="Z768" i="484" s="1"/>
  <c r="AA768" i="484" s="1"/>
  <c r="AB768" i="484" s="1"/>
  <c r="AC768" i="484" s="1"/>
  <c r="AD768" i="484" s="1"/>
  <c r="AE768" i="484" s="1"/>
  <c r="AF768" i="484" s="1"/>
  <c r="I768" i="484"/>
  <c r="J767" i="484"/>
  <c r="K767" i="484" s="1"/>
  <c r="L767" i="484" s="1"/>
  <c r="M767" i="484" s="1"/>
  <c r="N767" i="484" s="1"/>
  <c r="O767" i="484" s="1"/>
  <c r="P767" i="484" s="1"/>
  <c r="Q767" i="484" s="1"/>
  <c r="R767" i="484" s="1"/>
  <c r="S767" i="484" s="1"/>
  <c r="T767" i="484" s="1"/>
  <c r="U767" i="484" s="1"/>
  <c r="V767" i="484" s="1"/>
  <c r="W767" i="484" s="1"/>
  <c r="X767" i="484" s="1"/>
  <c r="Y767" i="484" s="1"/>
  <c r="Z767" i="484" s="1"/>
  <c r="AA767" i="484" s="1"/>
  <c r="AB767" i="484" s="1"/>
  <c r="AC767" i="484" s="1"/>
  <c r="AD767" i="484" s="1"/>
  <c r="AE767" i="484" s="1"/>
  <c r="AF767" i="484" s="1"/>
  <c r="I767" i="484"/>
  <c r="I762" i="484"/>
  <c r="J762" i="484"/>
  <c r="K762" i="484"/>
  <c r="L762" i="484"/>
  <c r="M762" i="484"/>
  <c r="N762" i="484"/>
  <c r="O762" i="484"/>
  <c r="P762" i="484"/>
  <c r="Q762" i="484"/>
  <c r="R762" i="484"/>
  <c r="S762" i="484"/>
  <c r="T762" i="484"/>
  <c r="U762" i="484"/>
  <c r="V762" i="484"/>
  <c r="W762" i="484"/>
  <c r="X762" i="484"/>
  <c r="Y762" i="484"/>
  <c r="Z762" i="484"/>
  <c r="AA762" i="484"/>
  <c r="AB762" i="484"/>
  <c r="AC762" i="484"/>
  <c r="AD762" i="484"/>
  <c r="AE762" i="484"/>
  <c r="AF762" i="484"/>
  <c r="H752" i="484"/>
  <c r="H751" i="484"/>
  <c r="H749" i="484"/>
  <c r="J755" i="484"/>
  <c r="K755" i="484"/>
  <c r="L755" i="484" s="1"/>
  <c r="M755" i="484" s="1"/>
  <c r="N755" i="484" s="1"/>
  <c r="O755" i="484" s="1"/>
  <c r="P755" i="484" s="1"/>
  <c r="Q755" i="484" s="1"/>
  <c r="R755" i="484" s="1"/>
  <c r="S755" i="484" s="1"/>
  <c r="T755" i="484" s="1"/>
  <c r="U755" i="484" s="1"/>
  <c r="V755" i="484" s="1"/>
  <c r="W755" i="484" s="1"/>
  <c r="X755" i="484" s="1"/>
  <c r="Y755" i="484" s="1"/>
  <c r="Z755" i="484" s="1"/>
  <c r="AA755" i="484" s="1"/>
  <c r="AB755" i="484" s="1"/>
  <c r="AC755" i="484" s="1"/>
  <c r="AD755" i="484" s="1"/>
  <c r="AE755" i="484" s="1"/>
  <c r="AF755" i="484" s="1"/>
  <c r="I755" i="484"/>
  <c r="J754" i="484"/>
  <c r="K754" i="484" s="1"/>
  <c r="L754" i="484" s="1"/>
  <c r="M754" i="484" s="1"/>
  <c r="N754" i="484" s="1"/>
  <c r="O754" i="484" s="1"/>
  <c r="P754" i="484" s="1"/>
  <c r="Q754" i="484" s="1"/>
  <c r="R754" i="484" s="1"/>
  <c r="S754" i="484" s="1"/>
  <c r="T754" i="484" s="1"/>
  <c r="U754" i="484" s="1"/>
  <c r="V754" i="484" s="1"/>
  <c r="W754" i="484" s="1"/>
  <c r="X754" i="484" s="1"/>
  <c r="Y754" i="484" s="1"/>
  <c r="Z754" i="484" s="1"/>
  <c r="AA754" i="484" s="1"/>
  <c r="AB754" i="484" s="1"/>
  <c r="AC754" i="484" s="1"/>
  <c r="AD754" i="484" s="1"/>
  <c r="AE754" i="484" s="1"/>
  <c r="AF754" i="484" s="1"/>
  <c r="I754" i="484"/>
  <c r="I749" i="484"/>
  <c r="J749" i="484"/>
  <c r="K749" i="484"/>
  <c r="L749" i="484"/>
  <c r="M749" i="484"/>
  <c r="N749" i="484"/>
  <c r="O749" i="484"/>
  <c r="P749" i="484"/>
  <c r="Q749" i="484"/>
  <c r="R749" i="484"/>
  <c r="S749" i="484"/>
  <c r="T749" i="484"/>
  <c r="U749" i="484"/>
  <c r="V749" i="484"/>
  <c r="W749" i="484"/>
  <c r="X749" i="484"/>
  <c r="Y749" i="484"/>
  <c r="Z749" i="484"/>
  <c r="AA749" i="484"/>
  <c r="AB749" i="484"/>
  <c r="AC749" i="484"/>
  <c r="AD749" i="484"/>
  <c r="AE749" i="484"/>
  <c r="AF749" i="484"/>
  <c r="H739" i="484"/>
  <c r="H738" i="484"/>
  <c r="H736" i="484"/>
  <c r="J742" i="484"/>
  <c r="K742" i="484" s="1"/>
  <c r="L742" i="484" s="1"/>
  <c r="M742" i="484" s="1"/>
  <c r="N742" i="484" s="1"/>
  <c r="O742" i="484" s="1"/>
  <c r="P742" i="484" s="1"/>
  <c r="Q742" i="484" s="1"/>
  <c r="R742" i="484" s="1"/>
  <c r="S742" i="484" s="1"/>
  <c r="T742" i="484" s="1"/>
  <c r="U742" i="484" s="1"/>
  <c r="V742" i="484" s="1"/>
  <c r="W742" i="484" s="1"/>
  <c r="X742" i="484" s="1"/>
  <c r="Y742" i="484" s="1"/>
  <c r="Z742" i="484" s="1"/>
  <c r="AA742" i="484" s="1"/>
  <c r="AB742" i="484" s="1"/>
  <c r="AC742" i="484" s="1"/>
  <c r="AD742" i="484" s="1"/>
  <c r="AE742" i="484" s="1"/>
  <c r="AF742" i="484" s="1"/>
  <c r="I742" i="484"/>
  <c r="J741" i="484"/>
  <c r="K741" i="484"/>
  <c r="L741" i="484" s="1"/>
  <c r="M741" i="484" s="1"/>
  <c r="N741" i="484" s="1"/>
  <c r="O741" i="484" s="1"/>
  <c r="P741" i="484" s="1"/>
  <c r="Q741" i="484" s="1"/>
  <c r="R741" i="484" s="1"/>
  <c r="S741" i="484" s="1"/>
  <c r="T741" i="484" s="1"/>
  <c r="U741" i="484" s="1"/>
  <c r="V741" i="484" s="1"/>
  <c r="W741" i="484" s="1"/>
  <c r="X741" i="484" s="1"/>
  <c r="Y741" i="484" s="1"/>
  <c r="Z741" i="484" s="1"/>
  <c r="AA741" i="484" s="1"/>
  <c r="AB741" i="484" s="1"/>
  <c r="AC741" i="484" s="1"/>
  <c r="AD741" i="484" s="1"/>
  <c r="AE741" i="484" s="1"/>
  <c r="AF741" i="484" s="1"/>
  <c r="I741" i="484"/>
  <c r="I736" i="484"/>
  <c r="J736" i="484"/>
  <c r="K736" i="484"/>
  <c r="L736" i="484"/>
  <c r="M736" i="484"/>
  <c r="N736" i="484"/>
  <c r="O736" i="484"/>
  <c r="P736" i="484"/>
  <c r="Q736" i="484"/>
  <c r="R736" i="484"/>
  <c r="S736" i="484"/>
  <c r="T736" i="484"/>
  <c r="U736" i="484"/>
  <c r="V736" i="484"/>
  <c r="W736" i="484"/>
  <c r="X736" i="484"/>
  <c r="Y736" i="484"/>
  <c r="Z736" i="484"/>
  <c r="AA736" i="484"/>
  <c r="AB736" i="484"/>
  <c r="AC736" i="484"/>
  <c r="AD736" i="484"/>
  <c r="AE736" i="484"/>
  <c r="AF736" i="484"/>
  <c r="H726" i="484"/>
  <c r="H725" i="484"/>
  <c r="H723" i="484"/>
  <c r="J729" i="484"/>
  <c r="K729" i="484"/>
  <c r="L729" i="484" s="1"/>
  <c r="M729" i="484" s="1"/>
  <c r="N729" i="484" s="1"/>
  <c r="O729" i="484" s="1"/>
  <c r="P729" i="484" s="1"/>
  <c r="Q729" i="484" s="1"/>
  <c r="R729" i="484" s="1"/>
  <c r="S729" i="484" s="1"/>
  <c r="T729" i="484" s="1"/>
  <c r="U729" i="484" s="1"/>
  <c r="V729" i="484" s="1"/>
  <c r="W729" i="484" s="1"/>
  <c r="X729" i="484" s="1"/>
  <c r="Y729" i="484" s="1"/>
  <c r="Z729" i="484" s="1"/>
  <c r="AA729" i="484" s="1"/>
  <c r="AB729" i="484" s="1"/>
  <c r="AC729" i="484" s="1"/>
  <c r="AD729" i="484" s="1"/>
  <c r="AE729" i="484" s="1"/>
  <c r="AF729" i="484" s="1"/>
  <c r="I729" i="484"/>
  <c r="J728" i="484"/>
  <c r="K728" i="484"/>
  <c r="L728" i="484" s="1"/>
  <c r="M728" i="484" s="1"/>
  <c r="N728" i="484" s="1"/>
  <c r="O728" i="484" s="1"/>
  <c r="P728" i="484" s="1"/>
  <c r="Q728" i="484" s="1"/>
  <c r="R728" i="484" s="1"/>
  <c r="S728" i="484" s="1"/>
  <c r="T728" i="484" s="1"/>
  <c r="U728" i="484" s="1"/>
  <c r="V728" i="484" s="1"/>
  <c r="W728" i="484" s="1"/>
  <c r="X728" i="484" s="1"/>
  <c r="Y728" i="484" s="1"/>
  <c r="Z728" i="484" s="1"/>
  <c r="AA728" i="484" s="1"/>
  <c r="AB728" i="484" s="1"/>
  <c r="AC728" i="484" s="1"/>
  <c r="AD728" i="484" s="1"/>
  <c r="AE728" i="484" s="1"/>
  <c r="AF728" i="484" s="1"/>
  <c r="I728" i="484"/>
  <c r="I723" i="484"/>
  <c r="J723" i="484"/>
  <c r="K723" i="484"/>
  <c r="L723" i="484"/>
  <c r="M723" i="484"/>
  <c r="N723" i="484"/>
  <c r="O723" i="484"/>
  <c r="P723" i="484"/>
  <c r="Q723" i="484"/>
  <c r="R723" i="484"/>
  <c r="S723" i="484"/>
  <c r="T723" i="484"/>
  <c r="U723" i="484"/>
  <c r="V723" i="484"/>
  <c r="W723" i="484"/>
  <c r="X723" i="484"/>
  <c r="Y723" i="484"/>
  <c r="Z723" i="484"/>
  <c r="AA723" i="484"/>
  <c r="AB723" i="484"/>
  <c r="AC723" i="484"/>
  <c r="AD723" i="484"/>
  <c r="AE723" i="484"/>
  <c r="AF723" i="484"/>
  <c r="H713" i="484"/>
  <c r="H712" i="484"/>
  <c r="H710" i="484"/>
  <c r="J716" i="484"/>
  <c r="K716" i="484" s="1"/>
  <c r="L716" i="484" s="1"/>
  <c r="M716" i="484" s="1"/>
  <c r="N716" i="484" s="1"/>
  <c r="O716" i="484" s="1"/>
  <c r="P716" i="484" s="1"/>
  <c r="Q716" i="484" s="1"/>
  <c r="R716" i="484" s="1"/>
  <c r="S716" i="484" s="1"/>
  <c r="T716" i="484" s="1"/>
  <c r="U716" i="484" s="1"/>
  <c r="V716" i="484" s="1"/>
  <c r="W716" i="484" s="1"/>
  <c r="X716" i="484" s="1"/>
  <c r="Y716" i="484" s="1"/>
  <c r="Z716" i="484" s="1"/>
  <c r="AA716" i="484" s="1"/>
  <c r="AB716" i="484" s="1"/>
  <c r="AC716" i="484" s="1"/>
  <c r="AD716" i="484" s="1"/>
  <c r="AE716" i="484" s="1"/>
  <c r="AF716" i="484" s="1"/>
  <c r="I716" i="484"/>
  <c r="J715" i="484"/>
  <c r="K715" i="484" s="1"/>
  <c r="L715" i="484" s="1"/>
  <c r="M715" i="484" s="1"/>
  <c r="N715" i="484" s="1"/>
  <c r="O715" i="484" s="1"/>
  <c r="P715" i="484" s="1"/>
  <c r="Q715" i="484" s="1"/>
  <c r="R715" i="484" s="1"/>
  <c r="S715" i="484" s="1"/>
  <c r="T715" i="484" s="1"/>
  <c r="U715" i="484" s="1"/>
  <c r="V715" i="484" s="1"/>
  <c r="W715" i="484" s="1"/>
  <c r="X715" i="484" s="1"/>
  <c r="Y715" i="484" s="1"/>
  <c r="Z715" i="484" s="1"/>
  <c r="AA715" i="484" s="1"/>
  <c r="AB715" i="484" s="1"/>
  <c r="AC715" i="484" s="1"/>
  <c r="AD715" i="484" s="1"/>
  <c r="AE715" i="484" s="1"/>
  <c r="AF715" i="484" s="1"/>
  <c r="I715" i="484"/>
  <c r="I710" i="484"/>
  <c r="J710" i="484"/>
  <c r="K710" i="484"/>
  <c r="L710" i="484"/>
  <c r="M710" i="484"/>
  <c r="N710" i="484"/>
  <c r="O710" i="484"/>
  <c r="P710" i="484"/>
  <c r="Q710" i="484"/>
  <c r="R710" i="484"/>
  <c r="S710" i="484"/>
  <c r="T710" i="484"/>
  <c r="U710" i="484"/>
  <c r="V710" i="484"/>
  <c r="W710" i="484"/>
  <c r="X710" i="484"/>
  <c r="Y710" i="484"/>
  <c r="Z710" i="484"/>
  <c r="AA710" i="484"/>
  <c r="AB710" i="484"/>
  <c r="AC710" i="484"/>
  <c r="AD710" i="484"/>
  <c r="AE710" i="484"/>
  <c r="AF710" i="484"/>
  <c r="H700" i="484"/>
  <c r="H699" i="484"/>
  <c r="H697" i="484"/>
  <c r="J703" i="484"/>
  <c r="K703" i="484"/>
  <c r="L703" i="484" s="1"/>
  <c r="M703" i="484" s="1"/>
  <c r="N703" i="484" s="1"/>
  <c r="O703" i="484" s="1"/>
  <c r="P703" i="484" s="1"/>
  <c r="Q703" i="484" s="1"/>
  <c r="R703" i="484" s="1"/>
  <c r="S703" i="484" s="1"/>
  <c r="T703" i="484" s="1"/>
  <c r="U703" i="484" s="1"/>
  <c r="V703" i="484" s="1"/>
  <c r="W703" i="484" s="1"/>
  <c r="X703" i="484" s="1"/>
  <c r="Y703" i="484" s="1"/>
  <c r="Z703" i="484" s="1"/>
  <c r="AA703" i="484" s="1"/>
  <c r="AB703" i="484" s="1"/>
  <c r="AC703" i="484" s="1"/>
  <c r="AD703" i="484" s="1"/>
  <c r="AE703" i="484" s="1"/>
  <c r="AF703" i="484" s="1"/>
  <c r="I703" i="484"/>
  <c r="J702" i="484"/>
  <c r="K702" i="484" s="1"/>
  <c r="L702" i="484" s="1"/>
  <c r="M702" i="484" s="1"/>
  <c r="N702" i="484" s="1"/>
  <c r="O702" i="484" s="1"/>
  <c r="P702" i="484" s="1"/>
  <c r="Q702" i="484" s="1"/>
  <c r="R702" i="484" s="1"/>
  <c r="S702" i="484" s="1"/>
  <c r="T702" i="484" s="1"/>
  <c r="U702" i="484" s="1"/>
  <c r="V702" i="484" s="1"/>
  <c r="W702" i="484" s="1"/>
  <c r="X702" i="484" s="1"/>
  <c r="Y702" i="484" s="1"/>
  <c r="Z702" i="484" s="1"/>
  <c r="AA702" i="484" s="1"/>
  <c r="AB702" i="484" s="1"/>
  <c r="AC702" i="484" s="1"/>
  <c r="AD702" i="484" s="1"/>
  <c r="AE702" i="484" s="1"/>
  <c r="AF702" i="484" s="1"/>
  <c r="I702" i="484"/>
  <c r="I697" i="484"/>
  <c r="J697" i="484"/>
  <c r="K697" i="484"/>
  <c r="L697" i="484"/>
  <c r="M697" i="484"/>
  <c r="N697" i="484"/>
  <c r="O697" i="484"/>
  <c r="P697" i="484"/>
  <c r="Q697" i="484"/>
  <c r="R697" i="484"/>
  <c r="S697" i="484"/>
  <c r="T697" i="484"/>
  <c r="U697" i="484"/>
  <c r="V697" i="484"/>
  <c r="W697" i="484"/>
  <c r="X697" i="484"/>
  <c r="Y697" i="484"/>
  <c r="Z697" i="484"/>
  <c r="AA697" i="484"/>
  <c r="AB697" i="484"/>
  <c r="AC697" i="484"/>
  <c r="AD697" i="484"/>
  <c r="AE697" i="484"/>
  <c r="AF697" i="484"/>
  <c r="H687" i="484"/>
  <c r="H686" i="484"/>
  <c r="H684" i="484"/>
  <c r="J690" i="484"/>
  <c r="K690" i="484"/>
  <c r="L690" i="484"/>
  <c r="M690" i="484" s="1"/>
  <c r="N690" i="484" s="1"/>
  <c r="O690" i="484" s="1"/>
  <c r="P690" i="484" s="1"/>
  <c r="Q690" i="484" s="1"/>
  <c r="R690" i="484" s="1"/>
  <c r="S690" i="484" s="1"/>
  <c r="T690" i="484" s="1"/>
  <c r="U690" i="484" s="1"/>
  <c r="V690" i="484" s="1"/>
  <c r="W690" i="484" s="1"/>
  <c r="X690" i="484" s="1"/>
  <c r="Y690" i="484" s="1"/>
  <c r="Z690" i="484" s="1"/>
  <c r="AA690" i="484" s="1"/>
  <c r="AB690" i="484" s="1"/>
  <c r="AC690" i="484" s="1"/>
  <c r="AD690" i="484" s="1"/>
  <c r="AE690" i="484" s="1"/>
  <c r="AF690" i="484" s="1"/>
  <c r="I690" i="484"/>
  <c r="J689" i="484"/>
  <c r="K689" i="484" s="1"/>
  <c r="L689" i="484" s="1"/>
  <c r="M689" i="484" s="1"/>
  <c r="N689" i="484" s="1"/>
  <c r="O689" i="484" s="1"/>
  <c r="P689" i="484" s="1"/>
  <c r="Q689" i="484" s="1"/>
  <c r="R689" i="484" s="1"/>
  <c r="S689" i="484" s="1"/>
  <c r="T689" i="484" s="1"/>
  <c r="U689" i="484" s="1"/>
  <c r="V689" i="484" s="1"/>
  <c r="W689" i="484" s="1"/>
  <c r="X689" i="484" s="1"/>
  <c r="Y689" i="484" s="1"/>
  <c r="Z689" i="484" s="1"/>
  <c r="AA689" i="484" s="1"/>
  <c r="AB689" i="484" s="1"/>
  <c r="AC689" i="484" s="1"/>
  <c r="AD689" i="484" s="1"/>
  <c r="AE689" i="484" s="1"/>
  <c r="AF689" i="484" s="1"/>
  <c r="I689" i="484"/>
  <c r="I684" i="484"/>
  <c r="J684" i="484"/>
  <c r="K684" i="484"/>
  <c r="L684" i="484"/>
  <c r="M684" i="484"/>
  <c r="N684" i="484"/>
  <c r="O684" i="484"/>
  <c r="P684" i="484"/>
  <c r="Q684" i="484"/>
  <c r="R684" i="484"/>
  <c r="S684" i="484"/>
  <c r="T684" i="484"/>
  <c r="U684" i="484"/>
  <c r="V684" i="484"/>
  <c r="W684" i="484"/>
  <c r="X684" i="484"/>
  <c r="Y684" i="484"/>
  <c r="Z684" i="484"/>
  <c r="AA684" i="484"/>
  <c r="AB684" i="484"/>
  <c r="AC684" i="484"/>
  <c r="AD684" i="484"/>
  <c r="AE684" i="484"/>
  <c r="AF684" i="484"/>
  <c r="H674" i="484"/>
  <c r="H673" i="484"/>
  <c r="H671" i="484"/>
  <c r="J677" i="484"/>
  <c r="K677" i="484" s="1"/>
  <c r="L677" i="484" s="1"/>
  <c r="M677" i="484" s="1"/>
  <c r="N677" i="484" s="1"/>
  <c r="O677" i="484" s="1"/>
  <c r="P677" i="484" s="1"/>
  <c r="Q677" i="484" s="1"/>
  <c r="R677" i="484" s="1"/>
  <c r="S677" i="484" s="1"/>
  <c r="T677" i="484" s="1"/>
  <c r="U677" i="484" s="1"/>
  <c r="V677" i="484" s="1"/>
  <c r="W677" i="484" s="1"/>
  <c r="X677" i="484" s="1"/>
  <c r="Y677" i="484" s="1"/>
  <c r="Z677" i="484" s="1"/>
  <c r="AA677" i="484" s="1"/>
  <c r="AB677" i="484" s="1"/>
  <c r="AC677" i="484" s="1"/>
  <c r="AD677" i="484" s="1"/>
  <c r="AE677" i="484" s="1"/>
  <c r="AF677" i="484" s="1"/>
  <c r="I677" i="484"/>
  <c r="J676" i="484"/>
  <c r="K676" i="484"/>
  <c r="L676" i="484" s="1"/>
  <c r="M676" i="484" s="1"/>
  <c r="N676" i="484" s="1"/>
  <c r="O676" i="484" s="1"/>
  <c r="P676" i="484" s="1"/>
  <c r="Q676" i="484" s="1"/>
  <c r="R676" i="484" s="1"/>
  <c r="S676" i="484" s="1"/>
  <c r="T676" i="484" s="1"/>
  <c r="U676" i="484" s="1"/>
  <c r="V676" i="484" s="1"/>
  <c r="W676" i="484" s="1"/>
  <c r="X676" i="484" s="1"/>
  <c r="Y676" i="484" s="1"/>
  <c r="Z676" i="484" s="1"/>
  <c r="AA676" i="484" s="1"/>
  <c r="AB676" i="484" s="1"/>
  <c r="AC676" i="484" s="1"/>
  <c r="AD676" i="484" s="1"/>
  <c r="AE676" i="484" s="1"/>
  <c r="AF676" i="484" s="1"/>
  <c r="I676" i="484"/>
  <c r="I671" i="484"/>
  <c r="J671" i="484"/>
  <c r="K671" i="484"/>
  <c r="L671" i="484"/>
  <c r="M671" i="484"/>
  <c r="N671" i="484"/>
  <c r="O671" i="484"/>
  <c r="P671" i="484"/>
  <c r="Q671" i="484"/>
  <c r="R671" i="484"/>
  <c r="S671" i="484"/>
  <c r="T671" i="484"/>
  <c r="U671" i="484"/>
  <c r="V671" i="484"/>
  <c r="W671" i="484"/>
  <c r="X671" i="484"/>
  <c r="Y671" i="484"/>
  <c r="Z671" i="484"/>
  <c r="AA671" i="484"/>
  <c r="AB671" i="484"/>
  <c r="AC671" i="484"/>
  <c r="AD671" i="484"/>
  <c r="AE671" i="484"/>
  <c r="AF671" i="484"/>
  <c r="H661" i="484"/>
  <c r="H660" i="484"/>
  <c r="H658" i="484"/>
  <c r="J664" i="484"/>
  <c r="K664" i="484" s="1"/>
  <c r="L664" i="484" s="1"/>
  <c r="M664" i="484" s="1"/>
  <c r="N664" i="484" s="1"/>
  <c r="O664" i="484" s="1"/>
  <c r="P664" i="484" s="1"/>
  <c r="Q664" i="484" s="1"/>
  <c r="R664" i="484" s="1"/>
  <c r="S664" i="484" s="1"/>
  <c r="T664" i="484" s="1"/>
  <c r="U664" i="484" s="1"/>
  <c r="V664" i="484" s="1"/>
  <c r="W664" i="484" s="1"/>
  <c r="X664" i="484" s="1"/>
  <c r="Y664" i="484" s="1"/>
  <c r="Z664" i="484" s="1"/>
  <c r="AA664" i="484" s="1"/>
  <c r="AB664" i="484" s="1"/>
  <c r="AC664" i="484" s="1"/>
  <c r="AD664" i="484" s="1"/>
  <c r="AE664" i="484" s="1"/>
  <c r="AF664" i="484" s="1"/>
  <c r="I664" i="484"/>
  <c r="J663" i="484"/>
  <c r="K663" i="484" s="1"/>
  <c r="L663" i="484" s="1"/>
  <c r="M663" i="484" s="1"/>
  <c r="N663" i="484" s="1"/>
  <c r="O663" i="484" s="1"/>
  <c r="P663" i="484" s="1"/>
  <c r="Q663" i="484" s="1"/>
  <c r="R663" i="484" s="1"/>
  <c r="S663" i="484" s="1"/>
  <c r="T663" i="484" s="1"/>
  <c r="U663" i="484" s="1"/>
  <c r="V663" i="484" s="1"/>
  <c r="W663" i="484" s="1"/>
  <c r="X663" i="484" s="1"/>
  <c r="Y663" i="484" s="1"/>
  <c r="Z663" i="484" s="1"/>
  <c r="AA663" i="484" s="1"/>
  <c r="AB663" i="484" s="1"/>
  <c r="AC663" i="484" s="1"/>
  <c r="AD663" i="484" s="1"/>
  <c r="AE663" i="484" s="1"/>
  <c r="AF663" i="484" s="1"/>
  <c r="I663" i="484"/>
  <c r="I658" i="484"/>
  <c r="J658" i="484"/>
  <c r="K658" i="484"/>
  <c r="L658" i="484"/>
  <c r="M658" i="484"/>
  <c r="N658" i="484"/>
  <c r="O658" i="484"/>
  <c r="P658" i="484"/>
  <c r="Q658" i="484"/>
  <c r="R658" i="484"/>
  <c r="S658" i="484"/>
  <c r="T658" i="484"/>
  <c r="U658" i="484"/>
  <c r="V658" i="484"/>
  <c r="W658" i="484"/>
  <c r="X658" i="484"/>
  <c r="Y658" i="484"/>
  <c r="Z658" i="484"/>
  <c r="AA658" i="484"/>
  <c r="AB658" i="484"/>
  <c r="AC658" i="484"/>
  <c r="AD658" i="484"/>
  <c r="AE658" i="484"/>
  <c r="AF658" i="484"/>
  <c r="H648" i="484"/>
  <c r="H647" i="484"/>
  <c r="H645" i="484"/>
  <c r="J651" i="484"/>
  <c r="K651" i="484" s="1"/>
  <c r="L651" i="484" s="1"/>
  <c r="M651" i="484" s="1"/>
  <c r="N651" i="484" s="1"/>
  <c r="O651" i="484" s="1"/>
  <c r="P651" i="484" s="1"/>
  <c r="Q651" i="484" s="1"/>
  <c r="R651" i="484" s="1"/>
  <c r="S651" i="484" s="1"/>
  <c r="T651" i="484" s="1"/>
  <c r="U651" i="484" s="1"/>
  <c r="V651" i="484" s="1"/>
  <c r="W651" i="484" s="1"/>
  <c r="X651" i="484" s="1"/>
  <c r="Y651" i="484" s="1"/>
  <c r="Z651" i="484" s="1"/>
  <c r="AA651" i="484" s="1"/>
  <c r="AB651" i="484" s="1"/>
  <c r="AC651" i="484" s="1"/>
  <c r="AD651" i="484" s="1"/>
  <c r="AE651" i="484" s="1"/>
  <c r="AF651" i="484" s="1"/>
  <c r="I651" i="484"/>
  <c r="J650" i="484"/>
  <c r="K650" i="484" s="1"/>
  <c r="L650" i="484" s="1"/>
  <c r="M650" i="484" s="1"/>
  <c r="N650" i="484" s="1"/>
  <c r="O650" i="484" s="1"/>
  <c r="P650" i="484" s="1"/>
  <c r="Q650" i="484" s="1"/>
  <c r="R650" i="484" s="1"/>
  <c r="S650" i="484" s="1"/>
  <c r="T650" i="484" s="1"/>
  <c r="U650" i="484" s="1"/>
  <c r="V650" i="484" s="1"/>
  <c r="W650" i="484" s="1"/>
  <c r="X650" i="484" s="1"/>
  <c r="Y650" i="484" s="1"/>
  <c r="Z650" i="484" s="1"/>
  <c r="AA650" i="484" s="1"/>
  <c r="AB650" i="484" s="1"/>
  <c r="AC650" i="484" s="1"/>
  <c r="AD650" i="484" s="1"/>
  <c r="AE650" i="484" s="1"/>
  <c r="AF650" i="484" s="1"/>
  <c r="I650" i="484"/>
  <c r="I645" i="484"/>
  <c r="J645" i="484"/>
  <c r="K645" i="484"/>
  <c r="L645" i="484"/>
  <c r="M645" i="484"/>
  <c r="N645" i="484"/>
  <c r="O645" i="484"/>
  <c r="P645" i="484"/>
  <c r="Q645" i="484"/>
  <c r="R645" i="484"/>
  <c r="S645" i="484"/>
  <c r="T645" i="484"/>
  <c r="U645" i="484"/>
  <c r="V645" i="484"/>
  <c r="W645" i="484"/>
  <c r="X645" i="484"/>
  <c r="Y645" i="484"/>
  <c r="Z645" i="484"/>
  <c r="AA645" i="484"/>
  <c r="AB645" i="484"/>
  <c r="AC645" i="484"/>
  <c r="AD645" i="484"/>
  <c r="AE645" i="484"/>
  <c r="AF645" i="484"/>
  <c r="H635" i="484"/>
  <c r="H634" i="484"/>
  <c r="H632" i="484"/>
  <c r="J638" i="484"/>
  <c r="K638" i="484" s="1"/>
  <c r="L638" i="484" s="1"/>
  <c r="M638" i="484" s="1"/>
  <c r="N638" i="484" s="1"/>
  <c r="O638" i="484" s="1"/>
  <c r="P638" i="484" s="1"/>
  <c r="Q638" i="484" s="1"/>
  <c r="R638" i="484" s="1"/>
  <c r="S638" i="484" s="1"/>
  <c r="T638" i="484" s="1"/>
  <c r="U638" i="484" s="1"/>
  <c r="V638" i="484" s="1"/>
  <c r="W638" i="484" s="1"/>
  <c r="X638" i="484" s="1"/>
  <c r="Y638" i="484" s="1"/>
  <c r="Z638" i="484" s="1"/>
  <c r="AA638" i="484" s="1"/>
  <c r="AB638" i="484" s="1"/>
  <c r="AC638" i="484" s="1"/>
  <c r="AD638" i="484" s="1"/>
  <c r="AE638" i="484" s="1"/>
  <c r="AF638" i="484" s="1"/>
  <c r="I638" i="484"/>
  <c r="J637" i="484"/>
  <c r="K637" i="484"/>
  <c r="L637" i="484" s="1"/>
  <c r="M637" i="484" s="1"/>
  <c r="N637" i="484" s="1"/>
  <c r="O637" i="484" s="1"/>
  <c r="P637" i="484" s="1"/>
  <c r="Q637" i="484" s="1"/>
  <c r="R637" i="484" s="1"/>
  <c r="S637" i="484" s="1"/>
  <c r="T637" i="484" s="1"/>
  <c r="U637" i="484" s="1"/>
  <c r="V637" i="484" s="1"/>
  <c r="W637" i="484" s="1"/>
  <c r="X637" i="484" s="1"/>
  <c r="Y637" i="484" s="1"/>
  <c r="Z637" i="484" s="1"/>
  <c r="AA637" i="484" s="1"/>
  <c r="AB637" i="484" s="1"/>
  <c r="AC637" i="484" s="1"/>
  <c r="AD637" i="484" s="1"/>
  <c r="AE637" i="484" s="1"/>
  <c r="AF637" i="484" s="1"/>
  <c r="I637" i="484"/>
  <c r="I632" i="484"/>
  <c r="J632" i="484"/>
  <c r="K632" i="484"/>
  <c r="L632" i="484"/>
  <c r="M632" i="484"/>
  <c r="N632" i="484"/>
  <c r="O632" i="484"/>
  <c r="P632" i="484"/>
  <c r="Q632" i="484"/>
  <c r="R632" i="484"/>
  <c r="S632" i="484"/>
  <c r="T632" i="484"/>
  <c r="U632" i="484"/>
  <c r="V632" i="484"/>
  <c r="W632" i="484"/>
  <c r="X632" i="484"/>
  <c r="Y632" i="484"/>
  <c r="Z632" i="484"/>
  <c r="AA632" i="484"/>
  <c r="AB632" i="484"/>
  <c r="AC632" i="484"/>
  <c r="AD632" i="484"/>
  <c r="AE632" i="484"/>
  <c r="AF632" i="484"/>
  <c r="H622" i="484"/>
  <c r="H621" i="484"/>
  <c r="H619" i="484"/>
  <c r="J625" i="484"/>
  <c r="K625" i="484"/>
  <c r="L625" i="484" s="1"/>
  <c r="M625" i="484" s="1"/>
  <c r="N625" i="484" s="1"/>
  <c r="O625" i="484" s="1"/>
  <c r="P625" i="484" s="1"/>
  <c r="Q625" i="484" s="1"/>
  <c r="R625" i="484" s="1"/>
  <c r="S625" i="484" s="1"/>
  <c r="T625" i="484" s="1"/>
  <c r="U625" i="484" s="1"/>
  <c r="V625" i="484" s="1"/>
  <c r="W625" i="484" s="1"/>
  <c r="X625" i="484" s="1"/>
  <c r="Y625" i="484" s="1"/>
  <c r="Z625" i="484" s="1"/>
  <c r="AA625" i="484" s="1"/>
  <c r="AB625" i="484" s="1"/>
  <c r="AC625" i="484" s="1"/>
  <c r="AD625" i="484" s="1"/>
  <c r="AE625" i="484" s="1"/>
  <c r="AF625" i="484" s="1"/>
  <c r="I625" i="484"/>
  <c r="J624" i="484"/>
  <c r="K624" i="484"/>
  <c r="L624" i="484" s="1"/>
  <c r="M624" i="484" s="1"/>
  <c r="N624" i="484" s="1"/>
  <c r="O624" i="484" s="1"/>
  <c r="P624" i="484" s="1"/>
  <c r="Q624" i="484" s="1"/>
  <c r="R624" i="484" s="1"/>
  <c r="S624" i="484" s="1"/>
  <c r="T624" i="484" s="1"/>
  <c r="U624" i="484" s="1"/>
  <c r="V624" i="484" s="1"/>
  <c r="W624" i="484" s="1"/>
  <c r="X624" i="484" s="1"/>
  <c r="Y624" i="484" s="1"/>
  <c r="Z624" i="484" s="1"/>
  <c r="AA624" i="484" s="1"/>
  <c r="AB624" i="484" s="1"/>
  <c r="AC624" i="484" s="1"/>
  <c r="AD624" i="484" s="1"/>
  <c r="AE624" i="484" s="1"/>
  <c r="AF624" i="484" s="1"/>
  <c r="I624" i="484"/>
  <c r="I619" i="484"/>
  <c r="J619" i="484"/>
  <c r="K619" i="484"/>
  <c r="L619" i="484"/>
  <c r="M619" i="484"/>
  <c r="N619" i="484"/>
  <c r="O619" i="484"/>
  <c r="P619" i="484"/>
  <c r="Q619" i="484"/>
  <c r="R619" i="484"/>
  <c r="S619" i="484"/>
  <c r="T619" i="484"/>
  <c r="U619" i="484"/>
  <c r="V619" i="484"/>
  <c r="W619" i="484"/>
  <c r="X619" i="484"/>
  <c r="Y619" i="484"/>
  <c r="Z619" i="484"/>
  <c r="AA619" i="484"/>
  <c r="AB619" i="484"/>
  <c r="AC619" i="484"/>
  <c r="AD619" i="484"/>
  <c r="AE619" i="484"/>
  <c r="AF619" i="484"/>
  <c r="H609" i="484"/>
  <c r="H608" i="484"/>
  <c r="H606" i="484"/>
  <c r="J612" i="484"/>
  <c r="K612" i="484" s="1"/>
  <c r="L612" i="484" s="1"/>
  <c r="M612" i="484" s="1"/>
  <c r="N612" i="484" s="1"/>
  <c r="O612" i="484" s="1"/>
  <c r="P612" i="484" s="1"/>
  <c r="Q612" i="484" s="1"/>
  <c r="R612" i="484" s="1"/>
  <c r="S612" i="484" s="1"/>
  <c r="T612" i="484" s="1"/>
  <c r="U612" i="484" s="1"/>
  <c r="V612" i="484" s="1"/>
  <c r="W612" i="484" s="1"/>
  <c r="X612" i="484" s="1"/>
  <c r="Y612" i="484" s="1"/>
  <c r="Z612" i="484" s="1"/>
  <c r="AA612" i="484" s="1"/>
  <c r="AB612" i="484" s="1"/>
  <c r="AC612" i="484" s="1"/>
  <c r="AD612" i="484" s="1"/>
  <c r="AE612" i="484" s="1"/>
  <c r="AF612" i="484" s="1"/>
  <c r="I612" i="484"/>
  <c r="J611" i="484"/>
  <c r="K611" i="484" s="1"/>
  <c r="L611" i="484" s="1"/>
  <c r="M611" i="484" s="1"/>
  <c r="N611" i="484" s="1"/>
  <c r="O611" i="484" s="1"/>
  <c r="P611" i="484" s="1"/>
  <c r="Q611" i="484" s="1"/>
  <c r="R611" i="484" s="1"/>
  <c r="S611" i="484" s="1"/>
  <c r="T611" i="484" s="1"/>
  <c r="U611" i="484" s="1"/>
  <c r="V611" i="484" s="1"/>
  <c r="W611" i="484" s="1"/>
  <c r="X611" i="484" s="1"/>
  <c r="Y611" i="484" s="1"/>
  <c r="Z611" i="484" s="1"/>
  <c r="AA611" i="484" s="1"/>
  <c r="AB611" i="484" s="1"/>
  <c r="AC611" i="484" s="1"/>
  <c r="AD611" i="484" s="1"/>
  <c r="AE611" i="484" s="1"/>
  <c r="AF611" i="484" s="1"/>
  <c r="I611" i="484"/>
  <c r="I606" i="484"/>
  <c r="J606" i="484"/>
  <c r="K606" i="484"/>
  <c r="L606" i="484"/>
  <c r="M606" i="484"/>
  <c r="N606" i="484"/>
  <c r="O606" i="484"/>
  <c r="P606" i="484"/>
  <c r="Q606" i="484"/>
  <c r="R606" i="484"/>
  <c r="S606" i="484"/>
  <c r="T606" i="484"/>
  <c r="U606" i="484"/>
  <c r="V606" i="484"/>
  <c r="W606" i="484"/>
  <c r="X606" i="484"/>
  <c r="Y606" i="484"/>
  <c r="Z606" i="484"/>
  <c r="AA606" i="484"/>
  <c r="AB606" i="484"/>
  <c r="AC606" i="484"/>
  <c r="AD606" i="484"/>
  <c r="AE606" i="484"/>
  <c r="AF606" i="484"/>
  <c r="H596" i="484"/>
  <c r="H595" i="484"/>
  <c r="H593" i="484"/>
  <c r="J599" i="484"/>
  <c r="K599" i="484" s="1"/>
  <c r="L599" i="484" s="1"/>
  <c r="M599" i="484" s="1"/>
  <c r="N599" i="484" s="1"/>
  <c r="O599" i="484" s="1"/>
  <c r="P599" i="484" s="1"/>
  <c r="Q599" i="484" s="1"/>
  <c r="R599" i="484" s="1"/>
  <c r="S599" i="484" s="1"/>
  <c r="T599" i="484" s="1"/>
  <c r="U599" i="484" s="1"/>
  <c r="V599" i="484" s="1"/>
  <c r="W599" i="484" s="1"/>
  <c r="X599" i="484" s="1"/>
  <c r="Y599" i="484" s="1"/>
  <c r="Z599" i="484" s="1"/>
  <c r="AA599" i="484" s="1"/>
  <c r="AB599" i="484" s="1"/>
  <c r="AC599" i="484" s="1"/>
  <c r="AD599" i="484" s="1"/>
  <c r="AE599" i="484" s="1"/>
  <c r="AF599" i="484" s="1"/>
  <c r="I599" i="484"/>
  <c r="J598" i="484"/>
  <c r="K598" i="484" s="1"/>
  <c r="L598" i="484" s="1"/>
  <c r="M598" i="484" s="1"/>
  <c r="N598" i="484" s="1"/>
  <c r="O598" i="484" s="1"/>
  <c r="P598" i="484" s="1"/>
  <c r="Q598" i="484" s="1"/>
  <c r="R598" i="484" s="1"/>
  <c r="S598" i="484" s="1"/>
  <c r="T598" i="484" s="1"/>
  <c r="U598" i="484" s="1"/>
  <c r="V598" i="484" s="1"/>
  <c r="W598" i="484" s="1"/>
  <c r="X598" i="484" s="1"/>
  <c r="Y598" i="484" s="1"/>
  <c r="Z598" i="484" s="1"/>
  <c r="AA598" i="484" s="1"/>
  <c r="AB598" i="484" s="1"/>
  <c r="AC598" i="484" s="1"/>
  <c r="AD598" i="484" s="1"/>
  <c r="AE598" i="484" s="1"/>
  <c r="AF598" i="484" s="1"/>
  <c r="I598" i="484"/>
  <c r="I593" i="484"/>
  <c r="J593" i="484"/>
  <c r="K593" i="484"/>
  <c r="L593" i="484"/>
  <c r="M593" i="484"/>
  <c r="N593" i="484"/>
  <c r="O593" i="484"/>
  <c r="P593" i="484"/>
  <c r="Q593" i="484"/>
  <c r="R593" i="484"/>
  <c r="S593" i="484"/>
  <c r="T593" i="484"/>
  <c r="U593" i="484"/>
  <c r="V593" i="484"/>
  <c r="W593" i="484"/>
  <c r="X593" i="484"/>
  <c r="Y593" i="484"/>
  <c r="Z593" i="484"/>
  <c r="AA593" i="484"/>
  <c r="AB593" i="484"/>
  <c r="AC593" i="484"/>
  <c r="AD593" i="484"/>
  <c r="AE593" i="484"/>
  <c r="AF593" i="484"/>
  <c r="H583" i="484"/>
  <c r="H582" i="484"/>
  <c r="H580" i="484"/>
  <c r="J586" i="484"/>
  <c r="K586" i="484" s="1"/>
  <c r="L586" i="484" s="1"/>
  <c r="M586" i="484" s="1"/>
  <c r="N586" i="484" s="1"/>
  <c r="O586" i="484" s="1"/>
  <c r="P586" i="484" s="1"/>
  <c r="Q586" i="484" s="1"/>
  <c r="R586" i="484" s="1"/>
  <c r="S586" i="484" s="1"/>
  <c r="T586" i="484" s="1"/>
  <c r="U586" i="484" s="1"/>
  <c r="V586" i="484" s="1"/>
  <c r="W586" i="484" s="1"/>
  <c r="X586" i="484" s="1"/>
  <c r="Y586" i="484" s="1"/>
  <c r="Z586" i="484" s="1"/>
  <c r="AA586" i="484" s="1"/>
  <c r="AB586" i="484" s="1"/>
  <c r="AC586" i="484" s="1"/>
  <c r="AD586" i="484" s="1"/>
  <c r="AE586" i="484" s="1"/>
  <c r="AF586" i="484" s="1"/>
  <c r="I586" i="484"/>
  <c r="J585" i="484"/>
  <c r="K585" i="484" s="1"/>
  <c r="L585" i="484" s="1"/>
  <c r="M585" i="484" s="1"/>
  <c r="N585" i="484" s="1"/>
  <c r="O585" i="484" s="1"/>
  <c r="P585" i="484" s="1"/>
  <c r="Q585" i="484" s="1"/>
  <c r="R585" i="484" s="1"/>
  <c r="S585" i="484" s="1"/>
  <c r="T585" i="484" s="1"/>
  <c r="U585" i="484" s="1"/>
  <c r="V585" i="484" s="1"/>
  <c r="W585" i="484" s="1"/>
  <c r="X585" i="484" s="1"/>
  <c r="Y585" i="484" s="1"/>
  <c r="Z585" i="484" s="1"/>
  <c r="AA585" i="484" s="1"/>
  <c r="AB585" i="484" s="1"/>
  <c r="AC585" i="484" s="1"/>
  <c r="AD585" i="484" s="1"/>
  <c r="AE585" i="484" s="1"/>
  <c r="AF585" i="484" s="1"/>
  <c r="I585" i="484"/>
  <c r="I580" i="484"/>
  <c r="J580" i="484"/>
  <c r="K580" i="484"/>
  <c r="L580" i="484"/>
  <c r="M580" i="484"/>
  <c r="N580" i="484"/>
  <c r="O580" i="484"/>
  <c r="P580" i="484"/>
  <c r="Q580" i="484"/>
  <c r="R580" i="484"/>
  <c r="S580" i="484"/>
  <c r="T580" i="484"/>
  <c r="U580" i="484"/>
  <c r="V580" i="484"/>
  <c r="W580" i="484"/>
  <c r="X580" i="484"/>
  <c r="Y580" i="484"/>
  <c r="Z580" i="484"/>
  <c r="AA580" i="484"/>
  <c r="AB580" i="484"/>
  <c r="AC580" i="484"/>
  <c r="AD580" i="484"/>
  <c r="AE580" i="484"/>
  <c r="AF580" i="484"/>
  <c r="H570" i="484"/>
  <c r="H569" i="484"/>
  <c r="H567" i="484"/>
  <c r="J573" i="484"/>
  <c r="K573" i="484" s="1"/>
  <c r="L573" i="484" s="1"/>
  <c r="M573" i="484" s="1"/>
  <c r="N573" i="484" s="1"/>
  <c r="O573" i="484" s="1"/>
  <c r="P573" i="484" s="1"/>
  <c r="Q573" i="484" s="1"/>
  <c r="R573" i="484" s="1"/>
  <c r="S573" i="484" s="1"/>
  <c r="T573" i="484" s="1"/>
  <c r="U573" i="484" s="1"/>
  <c r="V573" i="484" s="1"/>
  <c r="W573" i="484" s="1"/>
  <c r="X573" i="484" s="1"/>
  <c r="Y573" i="484" s="1"/>
  <c r="Z573" i="484" s="1"/>
  <c r="AA573" i="484" s="1"/>
  <c r="AB573" i="484" s="1"/>
  <c r="AC573" i="484" s="1"/>
  <c r="AD573" i="484" s="1"/>
  <c r="AE573" i="484" s="1"/>
  <c r="AF573" i="484" s="1"/>
  <c r="I573" i="484"/>
  <c r="J572" i="484"/>
  <c r="K572" i="484"/>
  <c r="L572" i="484" s="1"/>
  <c r="M572" i="484" s="1"/>
  <c r="N572" i="484" s="1"/>
  <c r="O572" i="484" s="1"/>
  <c r="P572" i="484" s="1"/>
  <c r="Q572" i="484" s="1"/>
  <c r="R572" i="484" s="1"/>
  <c r="S572" i="484" s="1"/>
  <c r="T572" i="484" s="1"/>
  <c r="U572" i="484" s="1"/>
  <c r="V572" i="484" s="1"/>
  <c r="W572" i="484" s="1"/>
  <c r="X572" i="484" s="1"/>
  <c r="Y572" i="484" s="1"/>
  <c r="Z572" i="484" s="1"/>
  <c r="AA572" i="484" s="1"/>
  <c r="AB572" i="484" s="1"/>
  <c r="AC572" i="484" s="1"/>
  <c r="AD572" i="484" s="1"/>
  <c r="AE572" i="484" s="1"/>
  <c r="AF572" i="484" s="1"/>
  <c r="I572" i="484"/>
  <c r="I567" i="484"/>
  <c r="J567" i="484"/>
  <c r="K567" i="484"/>
  <c r="L567" i="484"/>
  <c r="M567" i="484"/>
  <c r="N567" i="484"/>
  <c r="O567" i="484"/>
  <c r="P567" i="484"/>
  <c r="Q567" i="484"/>
  <c r="R567" i="484"/>
  <c r="S567" i="484"/>
  <c r="T567" i="484"/>
  <c r="U567" i="484"/>
  <c r="V567" i="484"/>
  <c r="W567" i="484"/>
  <c r="X567" i="484"/>
  <c r="Y567" i="484"/>
  <c r="Z567" i="484"/>
  <c r="AA567" i="484"/>
  <c r="AB567" i="484"/>
  <c r="AC567" i="484"/>
  <c r="AD567" i="484"/>
  <c r="AE567" i="484"/>
  <c r="AF567" i="484"/>
  <c r="H557" i="484"/>
  <c r="H556" i="484"/>
  <c r="H554" i="484"/>
  <c r="J560" i="484"/>
  <c r="K560" i="484"/>
  <c r="L560" i="484"/>
  <c r="M560" i="484" s="1"/>
  <c r="N560" i="484" s="1"/>
  <c r="O560" i="484" s="1"/>
  <c r="P560" i="484" s="1"/>
  <c r="Q560" i="484" s="1"/>
  <c r="R560" i="484" s="1"/>
  <c r="S560" i="484" s="1"/>
  <c r="T560" i="484" s="1"/>
  <c r="U560" i="484" s="1"/>
  <c r="V560" i="484" s="1"/>
  <c r="W560" i="484" s="1"/>
  <c r="X560" i="484" s="1"/>
  <c r="Y560" i="484" s="1"/>
  <c r="Z560" i="484" s="1"/>
  <c r="AA560" i="484" s="1"/>
  <c r="AB560" i="484" s="1"/>
  <c r="AC560" i="484" s="1"/>
  <c r="AD560" i="484" s="1"/>
  <c r="AE560" i="484" s="1"/>
  <c r="AF560" i="484" s="1"/>
  <c r="I560" i="484"/>
  <c r="J559" i="484"/>
  <c r="K559" i="484"/>
  <c r="L559" i="484" s="1"/>
  <c r="M559" i="484" s="1"/>
  <c r="N559" i="484" s="1"/>
  <c r="O559" i="484" s="1"/>
  <c r="P559" i="484" s="1"/>
  <c r="Q559" i="484" s="1"/>
  <c r="R559" i="484" s="1"/>
  <c r="S559" i="484" s="1"/>
  <c r="T559" i="484" s="1"/>
  <c r="U559" i="484" s="1"/>
  <c r="V559" i="484" s="1"/>
  <c r="W559" i="484" s="1"/>
  <c r="X559" i="484" s="1"/>
  <c r="Y559" i="484" s="1"/>
  <c r="Z559" i="484" s="1"/>
  <c r="AA559" i="484" s="1"/>
  <c r="AB559" i="484" s="1"/>
  <c r="AC559" i="484" s="1"/>
  <c r="AD559" i="484" s="1"/>
  <c r="AE559" i="484" s="1"/>
  <c r="AF559" i="484" s="1"/>
  <c r="I559" i="484"/>
  <c r="I554" i="484"/>
  <c r="J554" i="484"/>
  <c r="K554" i="484"/>
  <c r="L554" i="484"/>
  <c r="M554" i="484"/>
  <c r="N554" i="484"/>
  <c r="O554" i="484"/>
  <c r="P554" i="484"/>
  <c r="Q554" i="484"/>
  <c r="R554" i="484"/>
  <c r="S554" i="484"/>
  <c r="T554" i="484"/>
  <c r="U554" i="484"/>
  <c r="V554" i="484"/>
  <c r="W554" i="484"/>
  <c r="X554" i="484"/>
  <c r="Y554" i="484"/>
  <c r="Z554" i="484"/>
  <c r="AA554" i="484"/>
  <c r="AB554" i="484"/>
  <c r="AC554" i="484"/>
  <c r="AD554" i="484"/>
  <c r="AE554" i="484"/>
  <c r="AF554" i="484"/>
  <c r="H544" i="484"/>
  <c r="H543" i="484"/>
  <c r="H541" i="484"/>
  <c r="J547" i="484"/>
  <c r="K547" i="484" s="1"/>
  <c r="L547" i="484" s="1"/>
  <c r="M547" i="484" s="1"/>
  <c r="N547" i="484" s="1"/>
  <c r="O547" i="484" s="1"/>
  <c r="P547" i="484" s="1"/>
  <c r="Q547" i="484" s="1"/>
  <c r="R547" i="484" s="1"/>
  <c r="S547" i="484" s="1"/>
  <c r="T547" i="484" s="1"/>
  <c r="U547" i="484" s="1"/>
  <c r="V547" i="484" s="1"/>
  <c r="W547" i="484" s="1"/>
  <c r="X547" i="484" s="1"/>
  <c r="Y547" i="484" s="1"/>
  <c r="Z547" i="484" s="1"/>
  <c r="AA547" i="484" s="1"/>
  <c r="AB547" i="484" s="1"/>
  <c r="AC547" i="484" s="1"/>
  <c r="AD547" i="484" s="1"/>
  <c r="AE547" i="484" s="1"/>
  <c r="AF547" i="484" s="1"/>
  <c r="I547" i="484"/>
  <c r="J546" i="484"/>
  <c r="K546" i="484" s="1"/>
  <c r="L546" i="484" s="1"/>
  <c r="M546" i="484" s="1"/>
  <c r="N546" i="484" s="1"/>
  <c r="O546" i="484" s="1"/>
  <c r="P546" i="484" s="1"/>
  <c r="Q546" i="484" s="1"/>
  <c r="R546" i="484" s="1"/>
  <c r="S546" i="484" s="1"/>
  <c r="T546" i="484" s="1"/>
  <c r="U546" i="484" s="1"/>
  <c r="V546" i="484" s="1"/>
  <c r="W546" i="484" s="1"/>
  <c r="X546" i="484" s="1"/>
  <c r="Y546" i="484" s="1"/>
  <c r="Z546" i="484" s="1"/>
  <c r="AA546" i="484" s="1"/>
  <c r="AB546" i="484" s="1"/>
  <c r="AC546" i="484" s="1"/>
  <c r="AD546" i="484" s="1"/>
  <c r="AE546" i="484" s="1"/>
  <c r="AF546" i="484" s="1"/>
  <c r="I546" i="484"/>
  <c r="I541" i="484"/>
  <c r="J541" i="484"/>
  <c r="K541" i="484"/>
  <c r="L541" i="484"/>
  <c r="M541" i="484"/>
  <c r="N541" i="484"/>
  <c r="O541" i="484"/>
  <c r="P541" i="484"/>
  <c r="Q541" i="484"/>
  <c r="R541" i="484"/>
  <c r="S541" i="484"/>
  <c r="T541" i="484"/>
  <c r="U541" i="484"/>
  <c r="V541" i="484"/>
  <c r="W541" i="484"/>
  <c r="X541" i="484"/>
  <c r="Y541" i="484"/>
  <c r="Z541" i="484"/>
  <c r="AA541" i="484"/>
  <c r="AB541" i="484"/>
  <c r="AC541" i="484"/>
  <c r="AD541" i="484"/>
  <c r="AE541" i="484"/>
  <c r="AF541" i="484"/>
  <c r="H531" i="484"/>
  <c r="H530" i="484"/>
  <c r="H528" i="484"/>
  <c r="J534" i="484"/>
  <c r="K534" i="484" s="1"/>
  <c r="L534" i="484" s="1"/>
  <c r="M534" i="484" s="1"/>
  <c r="N534" i="484" s="1"/>
  <c r="O534" i="484" s="1"/>
  <c r="P534" i="484" s="1"/>
  <c r="Q534" i="484" s="1"/>
  <c r="R534" i="484" s="1"/>
  <c r="S534" i="484" s="1"/>
  <c r="T534" i="484" s="1"/>
  <c r="U534" i="484" s="1"/>
  <c r="V534" i="484" s="1"/>
  <c r="W534" i="484" s="1"/>
  <c r="X534" i="484" s="1"/>
  <c r="Y534" i="484" s="1"/>
  <c r="Z534" i="484" s="1"/>
  <c r="AA534" i="484" s="1"/>
  <c r="AB534" i="484" s="1"/>
  <c r="AC534" i="484" s="1"/>
  <c r="AD534" i="484" s="1"/>
  <c r="AE534" i="484" s="1"/>
  <c r="AF534" i="484" s="1"/>
  <c r="I534" i="484"/>
  <c r="J533" i="484"/>
  <c r="K533" i="484"/>
  <c r="L533" i="484" s="1"/>
  <c r="M533" i="484" s="1"/>
  <c r="N533" i="484" s="1"/>
  <c r="O533" i="484" s="1"/>
  <c r="P533" i="484" s="1"/>
  <c r="Q533" i="484" s="1"/>
  <c r="R533" i="484" s="1"/>
  <c r="S533" i="484" s="1"/>
  <c r="T533" i="484" s="1"/>
  <c r="U533" i="484" s="1"/>
  <c r="V533" i="484" s="1"/>
  <c r="W533" i="484" s="1"/>
  <c r="X533" i="484" s="1"/>
  <c r="Y533" i="484" s="1"/>
  <c r="Z533" i="484" s="1"/>
  <c r="AA533" i="484" s="1"/>
  <c r="AB533" i="484" s="1"/>
  <c r="AC533" i="484" s="1"/>
  <c r="AD533" i="484" s="1"/>
  <c r="AE533" i="484" s="1"/>
  <c r="AF533" i="484" s="1"/>
  <c r="I533" i="484"/>
  <c r="I528" i="484"/>
  <c r="J528" i="484"/>
  <c r="K528" i="484"/>
  <c r="L528" i="484"/>
  <c r="M528" i="484"/>
  <c r="N528" i="484"/>
  <c r="O528" i="484"/>
  <c r="P528" i="484"/>
  <c r="Q528" i="484"/>
  <c r="R528" i="484"/>
  <c r="S528" i="484"/>
  <c r="T528" i="484"/>
  <c r="U528" i="484"/>
  <c r="V528" i="484"/>
  <c r="W528" i="484"/>
  <c r="X528" i="484"/>
  <c r="Y528" i="484"/>
  <c r="Z528" i="484"/>
  <c r="AA528" i="484"/>
  <c r="AB528" i="484"/>
  <c r="AC528" i="484"/>
  <c r="AD528" i="484"/>
  <c r="AE528" i="484"/>
  <c r="AF528" i="484"/>
  <c r="H518" i="484"/>
  <c r="H517" i="484"/>
  <c r="H515" i="484"/>
  <c r="J521" i="484"/>
  <c r="K521" i="484" s="1"/>
  <c r="L521" i="484" s="1"/>
  <c r="M521" i="484" s="1"/>
  <c r="N521" i="484" s="1"/>
  <c r="O521" i="484" s="1"/>
  <c r="P521" i="484" s="1"/>
  <c r="Q521" i="484" s="1"/>
  <c r="R521" i="484" s="1"/>
  <c r="S521" i="484" s="1"/>
  <c r="T521" i="484" s="1"/>
  <c r="U521" i="484" s="1"/>
  <c r="V521" i="484" s="1"/>
  <c r="W521" i="484" s="1"/>
  <c r="X521" i="484" s="1"/>
  <c r="Y521" i="484" s="1"/>
  <c r="Z521" i="484" s="1"/>
  <c r="AA521" i="484" s="1"/>
  <c r="AB521" i="484" s="1"/>
  <c r="AC521" i="484" s="1"/>
  <c r="AD521" i="484" s="1"/>
  <c r="AE521" i="484" s="1"/>
  <c r="AF521" i="484" s="1"/>
  <c r="I521" i="484"/>
  <c r="J520" i="484"/>
  <c r="K520" i="484" s="1"/>
  <c r="L520" i="484" s="1"/>
  <c r="M520" i="484" s="1"/>
  <c r="N520" i="484" s="1"/>
  <c r="O520" i="484" s="1"/>
  <c r="P520" i="484" s="1"/>
  <c r="Q520" i="484" s="1"/>
  <c r="R520" i="484" s="1"/>
  <c r="S520" i="484" s="1"/>
  <c r="T520" i="484" s="1"/>
  <c r="U520" i="484" s="1"/>
  <c r="V520" i="484" s="1"/>
  <c r="W520" i="484" s="1"/>
  <c r="X520" i="484" s="1"/>
  <c r="Y520" i="484" s="1"/>
  <c r="Z520" i="484" s="1"/>
  <c r="AA520" i="484" s="1"/>
  <c r="AB520" i="484" s="1"/>
  <c r="AC520" i="484" s="1"/>
  <c r="AD520" i="484" s="1"/>
  <c r="AE520" i="484" s="1"/>
  <c r="AF520" i="484" s="1"/>
  <c r="I520" i="484"/>
  <c r="I515" i="484"/>
  <c r="J515" i="484"/>
  <c r="K515" i="484"/>
  <c r="L515" i="484"/>
  <c r="M515" i="484"/>
  <c r="N515" i="484"/>
  <c r="O515" i="484"/>
  <c r="P515" i="484"/>
  <c r="Q515" i="484"/>
  <c r="R515" i="484"/>
  <c r="S515" i="484"/>
  <c r="T515" i="484"/>
  <c r="U515" i="484"/>
  <c r="V515" i="484"/>
  <c r="W515" i="484"/>
  <c r="X515" i="484"/>
  <c r="Y515" i="484"/>
  <c r="Z515" i="484"/>
  <c r="AA515" i="484"/>
  <c r="AB515" i="484"/>
  <c r="AC515" i="484"/>
  <c r="AD515" i="484"/>
  <c r="AE515" i="484"/>
  <c r="AF515" i="484"/>
  <c r="H505" i="484"/>
  <c r="H504" i="484"/>
  <c r="H502" i="484"/>
  <c r="J508" i="484"/>
  <c r="K508" i="484" s="1"/>
  <c r="L508" i="484" s="1"/>
  <c r="M508" i="484" s="1"/>
  <c r="N508" i="484" s="1"/>
  <c r="O508" i="484" s="1"/>
  <c r="P508" i="484" s="1"/>
  <c r="Q508" i="484" s="1"/>
  <c r="R508" i="484" s="1"/>
  <c r="S508" i="484" s="1"/>
  <c r="T508" i="484" s="1"/>
  <c r="U508" i="484" s="1"/>
  <c r="V508" i="484" s="1"/>
  <c r="W508" i="484" s="1"/>
  <c r="X508" i="484" s="1"/>
  <c r="Y508" i="484" s="1"/>
  <c r="Z508" i="484" s="1"/>
  <c r="AA508" i="484" s="1"/>
  <c r="AB508" i="484" s="1"/>
  <c r="AC508" i="484" s="1"/>
  <c r="AD508" i="484" s="1"/>
  <c r="AE508" i="484" s="1"/>
  <c r="AF508" i="484" s="1"/>
  <c r="I508" i="484"/>
  <c r="J507" i="484"/>
  <c r="K507" i="484" s="1"/>
  <c r="L507" i="484" s="1"/>
  <c r="M507" i="484" s="1"/>
  <c r="N507" i="484" s="1"/>
  <c r="O507" i="484" s="1"/>
  <c r="P507" i="484" s="1"/>
  <c r="Q507" i="484" s="1"/>
  <c r="R507" i="484" s="1"/>
  <c r="S507" i="484" s="1"/>
  <c r="T507" i="484" s="1"/>
  <c r="U507" i="484" s="1"/>
  <c r="V507" i="484" s="1"/>
  <c r="W507" i="484" s="1"/>
  <c r="X507" i="484" s="1"/>
  <c r="Y507" i="484" s="1"/>
  <c r="Z507" i="484" s="1"/>
  <c r="AA507" i="484" s="1"/>
  <c r="AB507" i="484" s="1"/>
  <c r="AC507" i="484" s="1"/>
  <c r="AD507" i="484" s="1"/>
  <c r="AE507" i="484" s="1"/>
  <c r="AF507" i="484" s="1"/>
  <c r="I507" i="484"/>
  <c r="I502" i="484"/>
  <c r="J502" i="484"/>
  <c r="K502" i="484"/>
  <c r="L502" i="484"/>
  <c r="M502" i="484"/>
  <c r="N502" i="484"/>
  <c r="O502" i="484"/>
  <c r="P502" i="484"/>
  <c r="Q502" i="484"/>
  <c r="R502" i="484"/>
  <c r="S502" i="484"/>
  <c r="T502" i="484"/>
  <c r="U502" i="484"/>
  <c r="V502" i="484"/>
  <c r="W502" i="484"/>
  <c r="X502" i="484"/>
  <c r="Y502" i="484"/>
  <c r="Z502" i="484"/>
  <c r="AA502" i="484"/>
  <c r="AB502" i="484"/>
  <c r="AC502" i="484"/>
  <c r="AD502" i="484"/>
  <c r="AE502" i="484"/>
  <c r="AF502" i="484"/>
  <c r="H492" i="484"/>
  <c r="H491" i="484"/>
  <c r="H489" i="484"/>
  <c r="J495" i="484"/>
  <c r="K495" i="484" s="1"/>
  <c r="L495" i="484" s="1"/>
  <c r="M495" i="484" s="1"/>
  <c r="N495" i="484" s="1"/>
  <c r="O495" i="484" s="1"/>
  <c r="P495" i="484" s="1"/>
  <c r="Q495" i="484" s="1"/>
  <c r="R495" i="484" s="1"/>
  <c r="S495" i="484" s="1"/>
  <c r="T495" i="484" s="1"/>
  <c r="U495" i="484" s="1"/>
  <c r="V495" i="484" s="1"/>
  <c r="W495" i="484" s="1"/>
  <c r="X495" i="484" s="1"/>
  <c r="Y495" i="484" s="1"/>
  <c r="Z495" i="484" s="1"/>
  <c r="AA495" i="484" s="1"/>
  <c r="AB495" i="484" s="1"/>
  <c r="AC495" i="484" s="1"/>
  <c r="AD495" i="484" s="1"/>
  <c r="AE495" i="484" s="1"/>
  <c r="AF495" i="484" s="1"/>
  <c r="I495" i="484"/>
  <c r="J494" i="484"/>
  <c r="K494" i="484"/>
  <c r="L494" i="484" s="1"/>
  <c r="M494" i="484" s="1"/>
  <c r="N494" i="484" s="1"/>
  <c r="O494" i="484" s="1"/>
  <c r="P494" i="484" s="1"/>
  <c r="Q494" i="484" s="1"/>
  <c r="R494" i="484" s="1"/>
  <c r="S494" i="484" s="1"/>
  <c r="T494" i="484" s="1"/>
  <c r="U494" i="484" s="1"/>
  <c r="V494" i="484" s="1"/>
  <c r="W494" i="484" s="1"/>
  <c r="X494" i="484" s="1"/>
  <c r="Y494" i="484" s="1"/>
  <c r="Z494" i="484" s="1"/>
  <c r="AA494" i="484" s="1"/>
  <c r="AB494" i="484" s="1"/>
  <c r="AC494" i="484" s="1"/>
  <c r="AD494" i="484" s="1"/>
  <c r="AE494" i="484" s="1"/>
  <c r="AF494" i="484" s="1"/>
  <c r="I494" i="484"/>
  <c r="I489" i="484"/>
  <c r="J489" i="484"/>
  <c r="K489" i="484"/>
  <c r="L489" i="484"/>
  <c r="M489" i="484"/>
  <c r="N489" i="484"/>
  <c r="O489" i="484"/>
  <c r="P489" i="484"/>
  <c r="Q489" i="484"/>
  <c r="R489" i="484"/>
  <c r="S489" i="484"/>
  <c r="T489" i="484"/>
  <c r="U489" i="484"/>
  <c r="V489" i="484"/>
  <c r="W489" i="484"/>
  <c r="X489" i="484"/>
  <c r="Y489" i="484"/>
  <c r="Z489" i="484"/>
  <c r="AA489" i="484"/>
  <c r="AB489" i="484"/>
  <c r="AC489" i="484"/>
  <c r="AD489" i="484"/>
  <c r="AE489" i="484"/>
  <c r="AF489" i="484"/>
  <c r="H479" i="484"/>
  <c r="H478" i="484"/>
  <c r="H476" i="484"/>
  <c r="J482" i="484"/>
  <c r="K482" i="484" s="1"/>
  <c r="L482" i="484" s="1"/>
  <c r="M482" i="484" s="1"/>
  <c r="N482" i="484" s="1"/>
  <c r="O482" i="484" s="1"/>
  <c r="P482" i="484" s="1"/>
  <c r="Q482" i="484" s="1"/>
  <c r="R482" i="484" s="1"/>
  <c r="S482" i="484" s="1"/>
  <c r="T482" i="484" s="1"/>
  <c r="U482" i="484" s="1"/>
  <c r="V482" i="484" s="1"/>
  <c r="W482" i="484" s="1"/>
  <c r="X482" i="484" s="1"/>
  <c r="Y482" i="484" s="1"/>
  <c r="Z482" i="484" s="1"/>
  <c r="AA482" i="484" s="1"/>
  <c r="AB482" i="484" s="1"/>
  <c r="AC482" i="484" s="1"/>
  <c r="AD482" i="484" s="1"/>
  <c r="AE482" i="484" s="1"/>
  <c r="AF482" i="484" s="1"/>
  <c r="I482" i="484"/>
  <c r="J481" i="484"/>
  <c r="K481" i="484" s="1"/>
  <c r="L481" i="484" s="1"/>
  <c r="M481" i="484" s="1"/>
  <c r="N481" i="484" s="1"/>
  <c r="O481" i="484" s="1"/>
  <c r="P481" i="484" s="1"/>
  <c r="Q481" i="484" s="1"/>
  <c r="R481" i="484" s="1"/>
  <c r="S481" i="484" s="1"/>
  <c r="T481" i="484" s="1"/>
  <c r="U481" i="484" s="1"/>
  <c r="V481" i="484" s="1"/>
  <c r="W481" i="484" s="1"/>
  <c r="X481" i="484" s="1"/>
  <c r="Y481" i="484" s="1"/>
  <c r="Z481" i="484" s="1"/>
  <c r="AA481" i="484" s="1"/>
  <c r="AB481" i="484" s="1"/>
  <c r="AC481" i="484" s="1"/>
  <c r="AD481" i="484" s="1"/>
  <c r="AE481" i="484" s="1"/>
  <c r="AF481" i="484" s="1"/>
  <c r="I481" i="484"/>
  <c r="I476" i="484"/>
  <c r="J476" i="484"/>
  <c r="K476" i="484"/>
  <c r="L476" i="484"/>
  <c r="M476" i="484"/>
  <c r="N476" i="484"/>
  <c r="O476" i="484"/>
  <c r="P476" i="484"/>
  <c r="Q476" i="484"/>
  <c r="R476" i="484"/>
  <c r="S476" i="484"/>
  <c r="T476" i="484"/>
  <c r="U476" i="484"/>
  <c r="V476" i="484"/>
  <c r="W476" i="484"/>
  <c r="X476" i="484"/>
  <c r="Y476" i="484"/>
  <c r="Z476" i="484"/>
  <c r="AA476" i="484"/>
  <c r="AB476" i="484"/>
  <c r="AC476" i="484"/>
  <c r="AD476" i="484"/>
  <c r="AE476" i="484"/>
  <c r="AF476" i="484"/>
  <c r="H466" i="484"/>
  <c r="H465" i="484"/>
  <c r="H463" i="484"/>
  <c r="J469" i="484"/>
  <c r="K469" i="484" s="1"/>
  <c r="L469" i="484" s="1"/>
  <c r="M469" i="484" s="1"/>
  <c r="N469" i="484" s="1"/>
  <c r="O469" i="484" s="1"/>
  <c r="P469" i="484" s="1"/>
  <c r="Q469" i="484" s="1"/>
  <c r="R469" i="484" s="1"/>
  <c r="S469" i="484" s="1"/>
  <c r="T469" i="484" s="1"/>
  <c r="U469" i="484" s="1"/>
  <c r="V469" i="484" s="1"/>
  <c r="W469" i="484" s="1"/>
  <c r="X469" i="484" s="1"/>
  <c r="Y469" i="484" s="1"/>
  <c r="Z469" i="484" s="1"/>
  <c r="AA469" i="484" s="1"/>
  <c r="AB469" i="484" s="1"/>
  <c r="AC469" i="484" s="1"/>
  <c r="AD469" i="484" s="1"/>
  <c r="AE469" i="484" s="1"/>
  <c r="AF469" i="484" s="1"/>
  <c r="I469" i="484"/>
  <c r="J468" i="484"/>
  <c r="K468" i="484" s="1"/>
  <c r="L468" i="484" s="1"/>
  <c r="M468" i="484" s="1"/>
  <c r="N468" i="484" s="1"/>
  <c r="O468" i="484" s="1"/>
  <c r="P468" i="484" s="1"/>
  <c r="Q468" i="484" s="1"/>
  <c r="R468" i="484" s="1"/>
  <c r="S468" i="484" s="1"/>
  <c r="T468" i="484" s="1"/>
  <c r="U468" i="484" s="1"/>
  <c r="V468" i="484" s="1"/>
  <c r="W468" i="484" s="1"/>
  <c r="X468" i="484" s="1"/>
  <c r="Y468" i="484" s="1"/>
  <c r="Z468" i="484" s="1"/>
  <c r="AA468" i="484" s="1"/>
  <c r="AB468" i="484" s="1"/>
  <c r="AC468" i="484" s="1"/>
  <c r="AD468" i="484" s="1"/>
  <c r="AE468" i="484" s="1"/>
  <c r="AF468" i="484" s="1"/>
  <c r="I468" i="484"/>
  <c r="I463" i="484"/>
  <c r="J463" i="484"/>
  <c r="K463" i="484"/>
  <c r="L463" i="484"/>
  <c r="M463" i="484"/>
  <c r="N463" i="484"/>
  <c r="O463" i="484"/>
  <c r="P463" i="484"/>
  <c r="Q463" i="484"/>
  <c r="R463" i="484"/>
  <c r="S463" i="484"/>
  <c r="T463" i="484"/>
  <c r="U463" i="484"/>
  <c r="V463" i="484"/>
  <c r="W463" i="484"/>
  <c r="X463" i="484"/>
  <c r="Y463" i="484"/>
  <c r="Z463" i="484"/>
  <c r="AA463" i="484"/>
  <c r="AB463" i="484"/>
  <c r="AC463" i="484"/>
  <c r="AD463" i="484"/>
  <c r="AE463" i="484"/>
  <c r="AF463" i="484"/>
  <c r="H453" i="484"/>
  <c r="H452" i="484"/>
  <c r="H450" i="484"/>
  <c r="J456" i="484"/>
  <c r="K456" i="484" s="1"/>
  <c r="L456" i="484" s="1"/>
  <c r="M456" i="484" s="1"/>
  <c r="N456" i="484" s="1"/>
  <c r="O456" i="484" s="1"/>
  <c r="P456" i="484" s="1"/>
  <c r="Q456" i="484" s="1"/>
  <c r="R456" i="484" s="1"/>
  <c r="S456" i="484" s="1"/>
  <c r="T456" i="484" s="1"/>
  <c r="U456" i="484" s="1"/>
  <c r="V456" i="484" s="1"/>
  <c r="W456" i="484" s="1"/>
  <c r="X456" i="484" s="1"/>
  <c r="Y456" i="484" s="1"/>
  <c r="Z456" i="484" s="1"/>
  <c r="AA456" i="484" s="1"/>
  <c r="AB456" i="484" s="1"/>
  <c r="AC456" i="484" s="1"/>
  <c r="AD456" i="484" s="1"/>
  <c r="AE456" i="484" s="1"/>
  <c r="AF456" i="484" s="1"/>
  <c r="I456" i="484"/>
  <c r="J455" i="484"/>
  <c r="K455" i="484"/>
  <c r="L455" i="484" s="1"/>
  <c r="M455" i="484" s="1"/>
  <c r="N455" i="484" s="1"/>
  <c r="O455" i="484" s="1"/>
  <c r="P455" i="484" s="1"/>
  <c r="Q455" i="484" s="1"/>
  <c r="R455" i="484" s="1"/>
  <c r="S455" i="484" s="1"/>
  <c r="T455" i="484" s="1"/>
  <c r="U455" i="484" s="1"/>
  <c r="V455" i="484" s="1"/>
  <c r="W455" i="484" s="1"/>
  <c r="X455" i="484" s="1"/>
  <c r="Y455" i="484" s="1"/>
  <c r="Z455" i="484" s="1"/>
  <c r="AA455" i="484" s="1"/>
  <c r="AB455" i="484" s="1"/>
  <c r="AC455" i="484" s="1"/>
  <c r="AD455" i="484" s="1"/>
  <c r="AE455" i="484" s="1"/>
  <c r="AF455" i="484" s="1"/>
  <c r="I455" i="484"/>
  <c r="I450" i="484"/>
  <c r="J450" i="484"/>
  <c r="K450" i="484"/>
  <c r="L450" i="484"/>
  <c r="M450" i="484"/>
  <c r="N450" i="484"/>
  <c r="O450" i="484"/>
  <c r="P450" i="484"/>
  <c r="Q450" i="484"/>
  <c r="R450" i="484"/>
  <c r="S450" i="484"/>
  <c r="T450" i="484"/>
  <c r="U450" i="484"/>
  <c r="V450" i="484"/>
  <c r="W450" i="484"/>
  <c r="X450" i="484"/>
  <c r="Y450" i="484"/>
  <c r="Z450" i="484"/>
  <c r="AA450" i="484"/>
  <c r="AB450" i="484"/>
  <c r="AC450" i="484"/>
  <c r="AD450" i="484"/>
  <c r="AE450" i="484"/>
  <c r="AF450" i="484"/>
  <c r="H440" i="484"/>
  <c r="H439" i="484"/>
  <c r="H437" i="484"/>
  <c r="J443" i="484"/>
  <c r="K443" i="484" s="1"/>
  <c r="L443" i="484" s="1"/>
  <c r="M443" i="484" s="1"/>
  <c r="N443" i="484" s="1"/>
  <c r="O443" i="484" s="1"/>
  <c r="P443" i="484" s="1"/>
  <c r="Q443" i="484" s="1"/>
  <c r="R443" i="484" s="1"/>
  <c r="S443" i="484" s="1"/>
  <c r="T443" i="484" s="1"/>
  <c r="U443" i="484" s="1"/>
  <c r="V443" i="484" s="1"/>
  <c r="W443" i="484" s="1"/>
  <c r="X443" i="484" s="1"/>
  <c r="Y443" i="484" s="1"/>
  <c r="Z443" i="484" s="1"/>
  <c r="AA443" i="484" s="1"/>
  <c r="AB443" i="484" s="1"/>
  <c r="AC443" i="484" s="1"/>
  <c r="AD443" i="484" s="1"/>
  <c r="AE443" i="484" s="1"/>
  <c r="AF443" i="484" s="1"/>
  <c r="I443" i="484"/>
  <c r="J442" i="484"/>
  <c r="K442" i="484"/>
  <c r="L442" i="484" s="1"/>
  <c r="M442" i="484" s="1"/>
  <c r="N442" i="484" s="1"/>
  <c r="O442" i="484" s="1"/>
  <c r="P442" i="484" s="1"/>
  <c r="Q442" i="484" s="1"/>
  <c r="R442" i="484" s="1"/>
  <c r="S442" i="484" s="1"/>
  <c r="T442" i="484" s="1"/>
  <c r="U442" i="484" s="1"/>
  <c r="V442" i="484" s="1"/>
  <c r="W442" i="484" s="1"/>
  <c r="X442" i="484" s="1"/>
  <c r="Y442" i="484" s="1"/>
  <c r="Z442" i="484" s="1"/>
  <c r="AA442" i="484" s="1"/>
  <c r="AB442" i="484" s="1"/>
  <c r="AC442" i="484" s="1"/>
  <c r="AD442" i="484" s="1"/>
  <c r="AE442" i="484" s="1"/>
  <c r="AF442" i="484" s="1"/>
  <c r="I442" i="484"/>
  <c r="I437" i="484"/>
  <c r="J437" i="484"/>
  <c r="K437" i="484"/>
  <c r="L437" i="484"/>
  <c r="M437" i="484"/>
  <c r="N437" i="484"/>
  <c r="O437" i="484"/>
  <c r="P437" i="484"/>
  <c r="Q437" i="484"/>
  <c r="R437" i="484"/>
  <c r="S437" i="484"/>
  <c r="T437" i="484"/>
  <c r="U437" i="484"/>
  <c r="V437" i="484"/>
  <c r="W437" i="484"/>
  <c r="X437" i="484"/>
  <c r="Y437" i="484"/>
  <c r="Z437" i="484"/>
  <c r="AA437" i="484"/>
  <c r="AB437" i="484"/>
  <c r="AC437" i="484"/>
  <c r="AD437" i="484"/>
  <c r="AE437" i="484"/>
  <c r="AF437" i="484"/>
  <c r="H427" i="484"/>
  <c r="H426" i="484"/>
  <c r="H424" i="484"/>
  <c r="J430" i="484"/>
  <c r="K430" i="484" s="1"/>
  <c r="L430" i="484" s="1"/>
  <c r="M430" i="484" s="1"/>
  <c r="N430" i="484" s="1"/>
  <c r="O430" i="484" s="1"/>
  <c r="P430" i="484" s="1"/>
  <c r="Q430" i="484" s="1"/>
  <c r="R430" i="484" s="1"/>
  <c r="S430" i="484" s="1"/>
  <c r="T430" i="484" s="1"/>
  <c r="U430" i="484" s="1"/>
  <c r="V430" i="484" s="1"/>
  <c r="W430" i="484" s="1"/>
  <c r="X430" i="484" s="1"/>
  <c r="Y430" i="484" s="1"/>
  <c r="Z430" i="484" s="1"/>
  <c r="AA430" i="484" s="1"/>
  <c r="AB430" i="484" s="1"/>
  <c r="AC430" i="484" s="1"/>
  <c r="AD430" i="484" s="1"/>
  <c r="AE430" i="484" s="1"/>
  <c r="AF430" i="484" s="1"/>
  <c r="I430" i="484"/>
  <c r="J429" i="484"/>
  <c r="K429" i="484"/>
  <c r="L429" i="484" s="1"/>
  <c r="M429" i="484" s="1"/>
  <c r="N429" i="484" s="1"/>
  <c r="O429" i="484" s="1"/>
  <c r="P429" i="484" s="1"/>
  <c r="Q429" i="484" s="1"/>
  <c r="R429" i="484" s="1"/>
  <c r="S429" i="484" s="1"/>
  <c r="T429" i="484" s="1"/>
  <c r="U429" i="484" s="1"/>
  <c r="V429" i="484" s="1"/>
  <c r="W429" i="484" s="1"/>
  <c r="X429" i="484" s="1"/>
  <c r="Y429" i="484" s="1"/>
  <c r="Z429" i="484" s="1"/>
  <c r="AA429" i="484" s="1"/>
  <c r="AB429" i="484" s="1"/>
  <c r="AC429" i="484" s="1"/>
  <c r="AD429" i="484" s="1"/>
  <c r="AE429" i="484" s="1"/>
  <c r="AF429" i="484" s="1"/>
  <c r="I429" i="484"/>
  <c r="I424" i="484"/>
  <c r="J424" i="484"/>
  <c r="K424" i="484"/>
  <c r="L424" i="484"/>
  <c r="M424" i="484"/>
  <c r="N424" i="484"/>
  <c r="O424" i="484"/>
  <c r="P424" i="484"/>
  <c r="Q424" i="484"/>
  <c r="R424" i="484"/>
  <c r="S424" i="484"/>
  <c r="T424" i="484"/>
  <c r="U424" i="484"/>
  <c r="V424" i="484"/>
  <c r="W424" i="484"/>
  <c r="X424" i="484"/>
  <c r="Y424" i="484"/>
  <c r="Z424" i="484"/>
  <c r="AA424" i="484"/>
  <c r="AB424" i="484"/>
  <c r="AC424" i="484"/>
  <c r="AD424" i="484"/>
  <c r="AE424" i="484"/>
  <c r="AF424" i="484"/>
  <c r="H414" i="484"/>
  <c r="H413" i="484"/>
  <c r="H411" i="484"/>
  <c r="J417" i="484"/>
  <c r="K417" i="484"/>
  <c r="L417" i="484"/>
  <c r="M417" i="484" s="1"/>
  <c r="N417" i="484" s="1"/>
  <c r="O417" i="484" s="1"/>
  <c r="P417" i="484" s="1"/>
  <c r="Q417" i="484" s="1"/>
  <c r="R417" i="484" s="1"/>
  <c r="S417" i="484" s="1"/>
  <c r="T417" i="484" s="1"/>
  <c r="U417" i="484" s="1"/>
  <c r="V417" i="484" s="1"/>
  <c r="W417" i="484" s="1"/>
  <c r="X417" i="484" s="1"/>
  <c r="Y417" i="484" s="1"/>
  <c r="Z417" i="484" s="1"/>
  <c r="AA417" i="484" s="1"/>
  <c r="AB417" i="484" s="1"/>
  <c r="AC417" i="484" s="1"/>
  <c r="AD417" i="484" s="1"/>
  <c r="AE417" i="484" s="1"/>
  <c r="AF417" i="484" s="1"/>
  <c r="I417" i="484"/>
  <c r="J416" i="484"/>
  <c r="K416" i="484"/>
  <c r="L416" i="484"/>
  <c r="M416" i="484" s="1"/>
  <c r="N416" i="484" s="1"/>
  <c r="O416" i="484" s="1"/>
  <c r="P416" i="484" s="1"/>
  <c r="Q416" i="484" s="1"/>
  <c r="R416" i="484" s="1"/>
  <c r="S416" i="484" s="1"/>
  <c r="T416" i="484" s="1"/>
  <c r="U416" i="484" s="1"/>
  <c r="V416" i="484" s="1"/>
  <c r="W416" i="484" s="1"/>
  <c r="X416" i="484" s="1"/>
  <c r="Y416" i="484" s="1"/>
  <c r="Z416" i="484" s="1"/>
  <c r="AA416" i="484" s="1"/>
  <c r="AB416" i="484" s="1"/>
  <c r="AC416" i="484" s="1"/>
  <c r="AD416" i="484" s="1"/>
  <c r="AE416" i="484" s="1"/>
  <c r="AF416" i="484" s="1"/>
  <c r="I416" i="484"/>
  <c r="I411" i="484"/>
  <c r="J411" i="484"/>
  <c r="K411" i="484"/>
  <c r="L411" i="484"/>
  <c r="M411" i="484"/>
  <c r="N411" i="484"/>
  <c r="O411" i="484"/>
  <c r="P411" i="484"/>
  <c r="Q411" i="484"/>
  <c r="R411" i="484"/>
  <c r="S411" i="484"/>
  <c r="T411" i="484"/>
  <c r="U411" i="484"/>
  <c r="V411" i="484"/>
  <c r="W411" i="484"/>
  <c r="X411" i="484"/>
  <c r="Y411" i="484"/>
  <c r="Z411" i="484"/>
  <c r="AA411" i="484"/>
  <c r="AB411" i="484"/>
  <c r="AC411" i="484"/>
  <c r="AD411" i="484"/>
  <c r="AE411" i="484"/>
  <c r="AF411" i="484"/>
  <c r="H401" i="484"/>
  <c r="H400" i="484"/>
  <c r="H398" i="484"/>
  <c r="J404" i="484"/>
  <c r="K404" i="484" s="1"/>
  <c r="L404" i="484" s="1"/>
  <c r="M404" i="484" s="1"/>
  <c r="N404" i="484" s="1"/>
  <c r="O404" i="484" s="1"/>
  <c r="P404" i="484" s="1"/>
  <c r="Q404" i="484" s="1"/>
  <c r="R404" i="484" s="1"/>
  <c r="S404" i="484" s="1"/>
  <c r="T404" i="484" s="1"/>
  <c r="U404" i="484" s="1"/>
  <c r="V404" i="484" s="1"/>
  <c r="W404" i="484" s="1"/>
  <c r="X404" i="484" s="1"/>
  <c r="Y404" i="484" s="1"/>
  <c r="Z404" i="484" s="1"/>
  <c r="AA404" i="484" s="1"/>
  <c r="AB404" i="484" s="1"/>
  <c r="AC404" i="484" s="1"/>
  <c r="AD404" i="484" s="1"/>
  <c r="AE404" i="484" s="1"/>
  <c r="AF404" i="484" s="1"/>
  <c r="I404" i="484"/>
  <c r="J403" i="484"/>
  <c r="K403" i="484" s="1"/>
  <c r="L403" i="484" s="1"/>
  <c r="M403" i="484" s="1"/>
  <c r="N403" i="484" s="1"/>
  <c r="O403" i="484" s="1"/>
  <c r="P403" i="484" s="1"/>
  <c r="Q403" i="484" s="1"/>
  <c r="R403" i="484" s="1"/>
  <c r="S403" i="484" s="1"/>
  <c r="T403" i="484" s="1"/>
  <c r="U403" i="484" s="1"/>
  <c r="V403" i="484" s="1"/>
  <c r="W403" i="484" s="1"/>
  <c r="X403" i="484" s="1"/>
  <c r="Y403" i="484" s="1"/>
  <c r="Z403" i="484" s="1"/>
  <c r="AA403" i="484" s="1"/>
  <c r="AB403" i="484" s="1"/>
  <c r="AC403" i="484" s="1"/>
  <c r="AD403" i="484" s="1"/>
  <c r="AE403" i="484" s="1"/>
  <c r="AF403" i="484" s="1"/>
  <c r="I403" i="484"/>
  <c r="I398" i="484"/>
  <c r="J398" i="484"/>
  <c r="K398" i="484"/>
  <c r="L398" i="484"/>
  <c r="M398" i="484"/>
  <c r="N398" i="484"/>
  <c r="O398" i="484"/>
  <c r="P398" i="484"/>
  <c r="Q398" i="484"/>
  <c r="R398" i="484"/>
  <c r="S398" i="484"/>
  <c r="T398" i="484"/>
  <c r="U398" i="484"/>
  <c r="V398" i="484"/>
  <c r="W398" i="484"/>
  <c r="X398" i="484"/>
  <c r="Y398" i="484"/>
  <c r="Z398" i="484"/>
  <c r="AA398" i="484"/>
  <c r="AB398" i="484"/>
  <c r="AC398" i="484"/>
  <c r="AD398" i="484"/>
  <c r="AE398" i="484"/>
  <c r="AF398" i="484"/>
  <c r="H388" i="484"/>
  <c r="H387" i="484"/>
  <c r="H385" i="484"/>
  <c r="J391" i="484"/>
  <c r="K391" i="484" s="1"/>
  <c r="L391" i="484" s="1"/>
  <c r="M391" i="484" s="1"/>
  <c r="N391" i="484" s="1"/>
  <c r="O391" i="484" s="1"/>
  <c r="P391" i="484" s="1"/>
  <c r="Q391" i="484" s="1"/>
  <c r="R391" i="484" s="1"/>
  <c r="S391" i="484" s="1"/>
  <c r="T391" i="484" s="1"/>
  <c r="U391" i="484" s="1"/>
  <c r="V391" i="484" s="1"/>
  <c r="W391" i="484" s="1"/>
  <c r="X391" i="484" s="1"/>
  <c r="Y391" i="484" s="1"/>
  <c r="Z391" i="484" s="1"/>
  <c r="AA391" i="484" s="1"/>
  <c r="AB391" i="484" s="1"/>
  <c r="AC391" i="484" s="1"/>
  <c r="AD391" i="484" s="1"/>
  <c r="AE391" i="484" s="1"/>
  <c r="AF391" i="484" s="1"/>
  <c r="I391" i="484"/>
  <c r="J390" i="484"/>
  <c r="K390" i="484"/>
  <c r="L390" i="484" s="1"/>
  <c r="M390" i="484" s="1"/>
  <c r="N390" i="484" s="1"/>
  <c r="O390" i="484" s="1"/>
  <c r="P390" i="484" s="1"/>
  <c r="Q390" i="484" s="1"/>
  <c r="R390" i="484" s="1"/>
  <c r="S390" i="484" s="1"/>
  <c r="T390" i="484" s="1"/>
  <c r="U390" i="484" s="1"/>
  <c r="V390" i="484" s="1"/>
  <c r="W390" i="484" s="1"/>
  <c r="X390" i="484" s="1"/>
  <c r="Y390" i="484" s="1"/>
  <c r="Z390" i="484" s="1"/>
  <c r="AA390" i="484" s="1"/>
  <c r="AB390" i="484" s="1"/>
  <c r="AC390" i="484" s="1"/>
  <c r="AD390" i="484" s="1"/>
  <c r="AE390" i="484" s="1"/>
  <c r="AF390" i="484" s="1"/>
  <c r="I390" i="484"/>
  <c r="I385" i="484"/>
  <c r="J385" i="484"/>
  <c r="K385" i="484"/>
  <c r="L385" i="484"/>
  <c r="M385" i="484"/>
  <c r="N385" i="484"/>
  <c r="O385" i="484"/>
  <c r="P385" i="484"/>
  <c r="Q385" i="484"/>
  <c r="R385" i="484"/>
  <c r="S385" i="484"/>
  <c r="T385" i="484"/>
  <c r="U385" i="484"/>
  <c r="V385" i="484"/>
  <c r="W385" i="484"/>
  <c r="X385" i="484"/>
  <c r="Y385" i="484"/>
  <c r="Z385" i="484"/>
  <c r="AA385" i="484"/>
  <c r="AB385" i="484"/>
  <c r="AC385" i="484"/>
  <c r="AD385" i="484"/>
  <c r="AE385" i="484"/>
  <c r="AF385" i="484"/>
  <c r="H375" i="484"/>
  <c r="H374" i="484"/>
  <c r="H372" i="484"/>
  <c r="J378" i="484"/>
  <c r="K378" i="484" s="1"/>
  <c r="L378" i="484" s="1"/>
  <c r="M378" i="484" s="1"/>
  <c r="N378" i="484" s="1"/>
  <c r="O378" i="484" s="1"/>
  <c r="P378" i="484" s="1"/>
  <c r="Q378" i="484" s="1"/>
  <c r="R378" i="484" s="1"/>
  <c r="S378" i="484" s="1"/>
  <c r="T378" i="484" s="1"/>
  <c r="U378" i="484" s="1"/>
  <c r="V378" i="484" s="1"/>
  <c r="W378" i="484" s="1"/>
  <c r="X378" i="484" s="1"/>
  <c r="Y378" i="484" s="1"/>
  <c r="Z378" i="484" s="1"/>
  <c r="AA378" i="484" s="1"/>
  <c r="AB378" i="484" s="1"/>
  <c r="AC378" i="484" s="1"/>
  <c r="AD378" i="484" s="1"/>
  <c r="AE378" i="484" s="1"/>
  <c r="AF378" i="484" s="1"/>
  <c r="I378" i="484"/>
  <c r="J377" i="484"/>
  <c r="K377" i="484" s="1"/>
  <c r="L377" i="484" s="1"/>
  <c r="M377" i="484" s="1"/>
  <c r="N377" i="484" s="1"/>
  <c r="O377" i="484" s="1"/>
  <c r="P377" i="484" s="1"/>
  <c r="Q377" i="484" s="1"/>
  <c r="R377" i="484" s="1"/>
  <c r="S377" i="484" s="1"/>
  <c r="T377" i="484" s="1"/>
  <c r="U377" i="484" s="1"/>
  <c r="V377" i="484" s="1"/>
  <c r="W377" i="484" s="1"/>
  <c r="X377" i="484" s="1"/>
  <c r="Y377" i="484" s="1"/>
  <c r="Z377" i="484" s="1"/>
  <c r="AA377" i="484" s="1"/>
  <c r="AB377" i="484" s="1"/>
  <c r="AC377" i="484" s="1"/>
  <c r="AD377" i="484" s="1"/>
  <c r="AE377" i="484" s="1"/>
  <c r="AF377" i="484" s="1"/>
  <c r="I377" i="484"/>
  <c r="I372" i="484"/>
  <c r="J372" i="484"/>
  <c r="K372" i="484"/>
  <c r="L372" i="484"/>
  <c r="M372" i="484"/>
  <c r="N372" i="484"/>
  <c r="O372" i="484"/>
  <c r="P372" i="484"/>
  <c r="Q372" i="484"/>
  <c r="R372" i="484"/>
  <c r="S372" i="484"/>
  <c r="T372" i="484"/>
  <c r="U372" i="484"/>
  <c r="V372" i="484"/>
  <c r="W372" i="484"/>
  <c r="X372" i="484"/>
  <c r="Y372" i="484"/>
  <c r="Z372" i="484"/>
  <c r="AA372" i="484"/>
  <c r="AB372" i="484"/>
  <c r="AC372" i="484"/>
  <c r="AD372" i="484"/>
  <c r="AE372" i="484"/>
  <c r="AF372" i="484"/>
  <c r="H362" i="484"/>
  <c r="H361" i="484"/>
  <c r="H359" i="484"/>
  <c r="J365" i="484"/>
  <c r="K365" i="484"/>
  <c r="L365" i="484" s="1"/>
  <c r="M365" i="484" s="1"/>
  <c r="N365" i="484" s="1"/>
  <c r="O365" i="484" s="1"/>
  <c r="P365" i="484" s="1"/>
  <c r="Q365" i="484" s="1"/>
  <c r="R365" i="484" s="1"/>
  <c r="S365" i="484" s="1"/>
  <c r="T365" i="484" s="1"/>
  <c r="U365" i="484" s="1"/>
  <c r="V365" i="484" s="1"/>
  <c r="W365" i="484" s="1"/>
  <c r="X365" i="484" s="1"/>
  <c r="Y365" i="484" s="1"/>
  <c r="Z365" i="484" s="1"/>
  <c r="AA365" i="484" s="1"/>
  <c r="AB365" i="484" s="1"/>
  <c r="AC365" i="484" s="1"/>
  <c r="AD365" i="484" s="1"/>
  <c r="AE365" i="484" s="1"/>
  <c r="AF365" i="484" s="1"/>
  <c r="I365" i="484"/>
  <c r="J364" i="484"/>
  <c r="K364" i="484" s="1"/>
  <c r="L364" i="484" s="1"/>
  <c r="M364" i="484" s="1"/>
  <c r="N364" i="484" s="1"/>
  <c r="O364" i="484" s="1"/>
  <c r="P364" i="484" s="1"/>
  <c r="Q364" i="484" s="1"/>
  <c r="R364" i="484" s="1"/>
  <c r="S364" i="484" s="1"/>
  <c r="T364" i="484" s="1"/>
  <c r="U364" i="484" s="1"/>
  <c r="V364" i="484" s="1"/>
  <c r="W364" i="484" s="1"/>
  <c r="X364" i="484" s="1"/>
  <c r="Y364" i="484" s="1"/>
  <c r="Z364" i="484" s="1"/>
  <c r="AA364" i="484" s="1"/>
  <c r="AB364" i="484" s="1"/>
  <c r="AC364" i="484" s="1"/>
  <c r="AD364" i="484" s="1"/>
  <c r="AE364" i="484" s="1"/>
  <c r="AF364" i="484" s="1"/>
  <c r="I364" i="484"/>
  <c r="I359" i="484"/>
  <c r="J359" i="484"/>
  <c r="K359" i="484"/>
  <c r="L359" i="484"/>
  <c r="M359" i="484"/>
  <c r="N359" i="484"/>
  <c r="O359" i="484"/>
  <c r="P359" i="484"/>
  <c r="Q359" i="484"/>
  <c r="R359" i="484"/>
  <c r="S359" i="484"/>
  <c r="T359" i="484"/>
  <c r="U359" i="484"/>
  <c r="V359" i="484"/>
  <c r="W359" i="484"/>
  <c r="X359" i="484"/>
  <c r="Y359" i="484"/>
  <c r="Z359" i="484"/>
  <c r="AA359" i="484"/>
  <c r="AB359" i="484"/>
  <c r="AC359" i="484"/>
  <c r="AD359" i="484"/>
  <c r="AE359" i="484"/>
  <c r="AF359" i="484"/>
  <c r="H349" i="484"/>
  <c r="H348" i="484"/>
  <c r="H346" i="484"/>
  <c r="J352" i="484"/>
  <c r="K352" i="484" s="1"/>
  <c r="L352" i="484" s="1"/>
  <c r="M352" i="484" s="1"/>
  <c r="N352" i="484" s="1"/>
  <c r="O352" i="484" s="1"/>
  <c r="P352" i="484" s="1"/>
  <c r="Q352" i="484" s="1"/>
  <c r="R352" i="484" s="1"/>
  <c r="S352" i="484" s="1"/>
  <c r="T352" i="484" s="1"/>
  <c r="U352" i="484" s="1"/>
  <c r="V352" i="484" s="1"/>
  <c r="W352" i="484" s="1"/>
  <c r="X352" i="484" s="1"/>
  <c r="Y352" i="484" s="1"/>
  <c r="Z352" i="484" s="1"/>
  <c r="AA352" i="484" s="1"/>
  <c r="AB352" i="484" s="1"/>
  <c r="AC352" i="484" s="1"/>
  <c r="AD352" i="484" s="1"/>
  <c r="AE352" i="484" s="1"/>
  <c r="AF352" i="484" s="1"/>
  <c r="I352" i="484"/>
  <c r="J351" i="484"/>
  <c r="K351" i="484" s="1"/>
  <c r="L351" i="484" s="1"/>
  <c r="M351" i="484" s="1"/>
  <c r="N351" i="484" s="1"/>
  <c r="O351" i="484" s="1"/>
  <c r="P351" i="484" s="1"/>
  <c r="Q351" i="484" s="1"/>
  <c r="R351" i="484" s="1"/>
  <c r="S351" i="484" s="1"/>
  <c r="T351" i="484" s="1"/>
  <c r="U351" i="484" s="1"/>
  <c r="V351" i="484" s="1"/>
  <c r="W351" i="484" s="1"/>
  <c r="X351" i="484" s="1"/>
  <c r="Y351" i="484" s="1"/>
  <c r="Z351" i="484" s="1"/>
  <c r="AA351" i="484" s="1"/>
  <c r="AB351" i="484" s="1"/>
  <c r="AC351" i="484" s="1"/>
  <c r="AD351" i="484" s="1"/>
  <c r="AE351" i="484" s="1"/>
  <c r="AF351" i="484" s="1"/>
  <c r="I351" i="484"/>
  <c r="I346" i="484"/>
  <c r="J346" i="484"/>
  <c r="K346" i="484"/>
  <c r="L346" i="484"/>
  <c r="M346" i="484"/>
  <c r="N346" i="484"/>
  <c r="O346" i="484"/>
  <c r="P346" i="484"/>
  <c r="Q346" i="484"/>
  <c r="R346" i="484"/>
  <c r="S346" i="484"/>
  <c r="T346" i="484"/>
  <c r="U346" i="484"/>
  <c r="V346" i="484"/>
  <c r="W346" i="484"/>
  <c r="X346" i="484"/>
  <c r="Y346" i="484"/>
  <c r="Z346" i="484"/>
  <c r="AA346" i="484"/>
  <c r="AB346" i="484"/>
  <c r="AC346" i="484"/>
  <c r="AD346" i="484"/>
  <c r="AE346" i="484"/>
  <c r="AF346" i="484"/>
  <c r="H336" i="484"/>
  <c r="H335" i="484"/>
  <c r="H333" i="484"/>
  <c r="J339" i="484"/>
  <c r="K339" i="484" s="1"/>
  <c r="L339" i="484" s="1"/>
  <c r="M339" i="484" s="1"/>
  <c r="N339" i="484" s="1"/>
  <c r="O339" i="484" s="1"/>
  <c r="P339" i="484" s="1"/>
  <c r="Q339" i="484" s="1"/>
  <c r="R339" i="484" s="1"/>
  <c r="S339" i="484" s="1"/>
  <c r="T339" i="484" s="1"/>
  <c r="U339" i="484" s="1"/>
  <c r="V339" i="484" s="1"/>
  <c r="W339" i="484" s="1"/>
  <c r="X339" i="484" s="1"/>
  <c r="Y339" i="484" s="1"/>
  <c r="Z339" i="484" s="1"/>
  <c r="AA339" i="484" s="1"/>
  <c r="AB339" i="484" s="1"/>
  <c r="AC339" i="484" s="1"/>
  <c r="AD339" i="484" s="1"/>
  <c r="AE339" i="484" s="1"/>
  <c r="AF339" i="484" s="1"/>
  <c r="I339" i="484"/>
  <c r="J338" i="484"/>
  <c r="K338" i="484" s="1"/>
  <c r="L338" i="484" s="1"/>
  <c r="M338" i="484" s="1"/>
  <c r="N338" i="484" s="1"/>
  <c r="O338" i="484" s="1"/>
  <c r="P338" i="484" s="1"/>
  <c r="Q338" i="484" s="1"/>
  <c r="R338" i="484" s="1"/>
  <c r="S338" i="484" s="1"/>
  <c r="T338" i="484" s="1"/>
  <c r="U338" i="484" s="1"/>
  <c r="V338" i="484" s="1"/>
  <c r="W338" i="484" s="1"/>
  <c r="X338" i="484" s="1"/>
  <c r="Y338" i="484" s="1"/>
  <c r="Z338" i="484" s="1"/>
  <c r="AA338" i="484" s="1"/>
  <c r="AB338" i="484" s="1"/>
  <c r="AC338" i="484" s="1"/>
  <c r="AD338" i="484" s="1"/>
  <c r="AE338" i="484" s="1"/>
  <c r="AF338" i="484" s="1"/>
  <c r="I338" i="484"/>
  <c r="I333" i="484"/>
  <c r="J333" i="484"/>
  <c r="K333" i="484"/>
  <c r="L333" i="484"/>
  <c r="M333" i="484"/>
  <c r="N333" i="484"/>
  <c r="O333" i="484"/>
  <c r="P333" i="484"/>
  <c r="Q333" i="484"/>
  <c r="R333" i="484"/>
  <c r="S333" i="484"/>
  <c r="T333" i="484"/>
  <c r="U333" i="484"/>
  <c r="V333" i="484"/>
  <c r="W333" i="484"/>
  <c r="X333" i="484"/>
  <c r="Y333" i="484"/>
  <c r="Z333" i="484"/>
  <c r="AA333" i="484"/>
  <c r="AB333" i="484"/>
  <c r="AC333" i="484"/>
  <c r="AD333" i="484"/>
  <c r="AE333" i="484"/>
  <c r="AF333" i="484"/>
  <c r="H323" i="484"/>
  <c r="H322" i="484"/>
  <c r="H320" i="484"/>
  <c r="J326" i="484"/>
  <c r="K326" i="484" s="1"/>
  <c r="L326" i="484" s="1"/>
  <c r="M326" i="484" s="1"/>
  <c r="N326" i="484" s="1"/>
  <c r="O326" i="484" s="1"/>
  <c r="P326" i="484" s="1"/>
  <c r="Q326" i="484" s="1"/>
  <c r="R326" i="484" s="1"/>
  <c r="S326" i="484" s="1"/>
  <c r="T326" i="484" s="1"/>
  <c r="U326" i="484" s="1"/>
  <c r="V326" i="484" s="1"/>
  <c r="W326" i="484" s="1"/>
  <c r="X326" i="484" s="1"/>
  <c r="Y326" i="484" s="1"/>
  <c r="Z326" i="484" s="1"/>
  <c r="AA326" i="484" s="1"/>
  <c r="AB326" i="484" s="1"/>
  <c r="AC326" i="484" s="1"/>
  <c r="AD326" i="484" s="1"/>
  <c r="AE326" i="484" s="1"/>
  <c r="AF326" i="484" s="1"/>
  <c r="I326" i="484"/>
  <c r="J325" i="484"/>
  <c r="K325" i="484" s="1"/>
  <c r="L325" i="484" s="1"/>
  <c r="M325" i="484" s="1"/>
  <c r="N325" i="484" s="1"/>
  <c r="O325" i="484" s="1"/>
  <c r="P325" i="484" s="1"/>
  <c r="Q325" i="484" s="1"/>
  <c r="R325" i="484" s="1"/>
  <c r="S325" i="484" s="1"/>
  <c r="T325" i="484" s="1"/>
  <c r="U325" i="484" s="1"/>
  <c r="V325" i="484" s="1"/>
  <c r="W325" i="484" s="1"/>
  <c r="X325" i="484" s="1"/>
  <c r="Y325" i="484" s="1"/>
  <c r="Z325" i="484" s="1"/>
  <c r="AA325" i="484" s="1"/>
  <c r="AB325" i="484" s="1"/>
  <c r="AC325" i="484" s="1"/>
  <c r="AD325" i="484" s="1"/>
  <c r="AE325" i="484" s="1"/>
  <c r="AF325" i="484" s="1"/>
  <c r="I325" i="484"/>
  <c r="I320" i="484"/>
  <c r="J320" i="484"/>
  <c r="K320" i="484"/>
  <c r="L320" i="484"/>
  <c r="M320" i="484"/>
  <c r="N320" i="484"/>
  <c r="O320" i="484"/>
  <c r="P320" i="484"/>
  <c r="Q320" i="484"/>
  <c r="R320" i="484"/>
  <c r="S320" i="484"/>
  <c r="T320" i="484"/>
  <c r="U320" i="484"/>
  <c r="V320" i="484"/>
  <c r="W320" i="484"/>
  <c r="X320" i="484"/>
  <c r="Y320" i="484"/>
  <c r="Z320" i="484"/>
  <c r="AA320" i="484"/>
  <c r="AB320" i="484"/>
  <c r="AC320" i="484"/>
  <c r="AD320" i="484"/>
  <c r="AE320" i="484"/>
  <c r="AF320" i="484"/>
  <c r="H310" i="484"/>
  <c r="H309" i="484"/>
  <c r="H307" i="484"/>
  <c r="J313" i="484"/>
  <c r="K313" i="484"/>
  <c r="L313" i="484" s="1"/>
  <c r="M313" i="484" s="1"/>
  <c r="N313" i="484" s="1"/>
  <c r="O313" i="484" s="1"/>
  <c r="P313" i="484" s="1"/>
  <c r="Q313" i="484" s="1"/>
  <c r="R313" i="484" s="1"/>
  <c r="S313" i="484" s="1"/>
  <c r="T313" i="484" s="1"/>
  <c r="U313" i="484" s="1"/>
  <c r="V313" i="484" s="1"/>
  <c r="W313" i="484" s="1"/>
  <c r="X313" i="484" s="1"/>
  <c r="Y313" i="484" s="1"/>
  <c r="Z313" i="484" s="1"/>
  <c r="AA313" i="484" s="1"/>
  <c r="AB313" i="484" s="1"/>
  <c r="AC313" i="484" s="1"/>
  <c r="AD313" i="484" s="1"/>
  <c r="AE313" i="484" s="1"/>
  <c r="AF313" i="484" s="1"/>
  <c r="I313" i="484"/>
  <c r="J312" i="484"/>
  <c r="K312" i="484"/>
  <c r="L312" i="484" s="1"/>
  <c r="M312" i="484" s="1"/>
  <c r="N312" i="484" s="1"/>
  <c r="O312" i="484" s="1"/>
  <c r="P312" i="484" s="1"/>
  <c r="Q312" i="484" s="1"/>
  <c r="R312" i="484" s="1"/>
  <c r="S312" i="484" s="1"/>
  <c r="T312" i="484" s="1"/>
  <c r="U312" i="484" s="1"/>
  <c r="V312" i="484" s="1"/>
  <c r="W312" i="484" s="1"/>
  <c r="X312" i="484" s="1"/>
  <c r="Y312" i="484" s="1"/>
  <c r="Z312" i="484" s="1"/>
  <c r="AA312" i="484" s="1"/>
  <c r="AB312" i="484" s="1"/>
  <c r="AC312" i="484" s="1"/>
  <c r="AD312" i="484" s="1"/>
  <c r="AE312" i="484" s="1"/>
  <c r="AF312" i="484" s="1"/>
  <c r="I312" i="484"/>
  <c r="I307" i="484"/>
  <c r="J307" i="484"/>
  <c r="K307" i="484"/>
  <c r="L307" i="484"/>
  <c r="M307" i="484"/>
  <c r="N307" i="484"/>
  <c r="O307" i="484"/>
  <c r="P307" i="484"/>
  <c r="Q307" i="484"/>
  <c r="R307" i="484"/>
  <c r="S307" i="484"/>
  <c r="T307" i="484"/>
  <c r="U307" i="484"/>
  <c r="V307" i="484"/>
  <c r="W307" i="484"/>
  <c r="X307" i="484"/>
  <c r="Y307" i="484"/>
  <c r="Z307" i="484"/>
  <c r="AA307" i="484"/>
  <c r="AB307" i="484"/>
  <c r="AC307" i="484"/>
  <c r="AD307" i="484"/>
  <c r="AE307" i="484"/>
  <c r="AF307" i="484"/>
  <c r="H297" i="484"/>
  <c r="H296" i="484"/>
  <c r="H294" i="484"/>
  <c r="J300" i="484"/>
  <c r="K300" i="484" s="1"/>
  <c r="L300" i="484" s="1"/>
  <c r="M300" i="484" s="1"/>
  <c r="N300" i="484" s="1"/>
  <c r="O300" i="484" s="1"/>
  <c r="P300" i="484" s="1"/>
  <c r="Q300" i="484" s="1"/>
  <c r="R300" i="484" s="1"/>
  <c r="S300" i="484" s="1"/>
  <c r="T300" i="484" s="1"/>
  <c r="U300" i="484" s="1"/>
  <c r="V300" i="484" s="1"/>
  <c r="W300" i="484" s="1"/>
  <c r="X300" i="484" s="1"/>
  <c r="Y300" i="484" s="1"/>
  <c r="Z300" i="484" s="1"/>
  <c r="AA300" i="484" s="1"/>
  <c r="AB300" i="484" s="1"/>
  <c r="AC300" i="484" s="1"/>
  <c r="AD300" i="484" s="1"/>
  <c r="AE300" i="484" s="1"/>
  <c r="AF300" i="484" s="1"/>
  <c r="I300" i="484"/>
  <c r="J299" i="484"/>
  <c r="K299" i="484" s="1"/>
  <c r="L299" i="484" s="1"/>
  <c r="M299" i="484" s="1"/>
  <c r="N299" i="484" s="1"/>
  <c r="O299" i="484" s="1"/>
  <c r="P299" i="484" s="1"/>
  <c r="Q299" i="484" s="1"/>
  <c r="R299" i="484" s="1"/>
  <c r="S299" i="484" s="1"/>
  <c r="T299" i="484" s="1"/>
  <c r="U299" i="484" s="1"/>
  <c r="V299" i="484" s="1"/>
  <c r="W299" i="484" s="1"/>
  <c r="X299" i="484" s="1"/>
  <c r="Y299" i="484" s="1"/>
  <c r="Z299" i="484" s="1"/>
  <c r="AA299" i="484" s="1"/>
  <c r="AB299" i="484" s="1"/>
  <c r="AC299" i="484" s="1"/>
  <c r="AD299" i="484" s="1"/>
  <c r="AE299" i="484" s="1"/>
  <c r="AF299" i="484" s="1"/>
  <c r="I299" i="484"/>
  <c r="I294" i="484"/>
  <c r="J294" i="484"/>
  <c r="K294" i="484"/>
  <c r="L294" i="484"/>
  <c r="M294" i="484"/>
  <c r="N294" i="484"/>
  <c r="O294" i="484"/>
  <c r="P294" i="484"/>
  <c r="Q294" i="484"/>
  <c r="R294" i="484"/>
  <c r="S294" i="484"/>
  <c r="T294" i="484"/>
  <c r="U294" i="484"/>
  <c r="V294" i="484"/>
  <c r="W294" i="484"/>
  <c r="X294" i="484"/>
  <c r="Y294" i="484"/>
  <c r="Z294" i="484"/>
  <c r="AA294" i="484"/>
  <c r="AB294" i="484"/>
  <c r="AC294" i="484"/>
  <c r="AD294" i="484"/>
  <c r="AE294" i="484"/>
  <c r="AF294" i="484"/>
  <c r="H284" i="484"/>
  <c r="H283" i="484"/>
  <c r="H281" i="484"/>
  <c r="J287" i="484"/>
  <c r="K287" i="484" s="1"/>
  <c r="L287" i="484" s="1"/>
  <c r="M287" i="484" s="1"/>
  <c r="N287" i="484" s="1"/>
  <c r="O287" i="484" s="1"/>
  <c r="P287" i="484" s="1"/>
  <c r="Q287" i="484" s="1"/>
  <c r="R287" i="484" s="1"/>
  <c r="S287" i="484" s="1"/>
  <c r="T287" i="484" s="1"/>
  <c r="U287" i="484" s="1"/>
  <c r="V287" i="484" s="1"/>
  <c r="W287" i="484" s="1"/>
  <c r="X287" i="484" s="1"/>
  <c r="Y287" i="484" s="1"/>
  <c r="Z287" i="484" s="1"/>
  <c r="AA287" i="484" s="1"/>
  <c r="AB287" i="484" s="1"/>
  <c r="AC287" i="484" s="1"/>
  <c r="AD287" i="484" s="1"/>
  <c r="AE287" i="484" s="1"/>
  <c r="AF287" i="484" s="1"/>
  <c r="I287" i="484"/>
  <c r="J286" i="484"/>
  <c r="K286" i="484" s="1"/>
  <c r="L286" i="484" s="1"/>
  <c r="M286" i="484" s="1"/>
  <c r="N286" i="484" s="1"/>
  <c r="O286" i="484" s="1"/>
  <c r="P286" i="484" s="1"/>
  <c r="Q286" i="484" s="1"/>
  <c r="R286" i="484" s="1"/>
  <c r="S286" i="484" s="1"/>
  <c r="T286" i="484" s="1"/>
  <c r="U286" i="484" s="1"/>
  <c r="V286" i="484" s="1"/>
  <c r="W286" i="484" s="1"/>
  <c r="X286" i="484" s="1"/>
  <c r="Y286" i="484" s="1"/>
  <c r="Z286" i="484" s="1"/>
  <c r="AA286" i="484" s="1"/>
  <c r="AB286" i="484" s="1"/>
  <c r="AC286" i="484" s="1"/>
  <c r="AD286" i="484" s="1"/>
  <c r="AE286" i="484" s="1"/>
  <c r="AF286" i="484" s="1"/>
  <c r="I286" i="484"/>
  <c r="I281" i="484"/>
  <c r="J281" i="484"/>
  <c r="K281" i="484"/>
  <c r="L281" i="484"/>
  <c r="M281" i="484"/>
  <c r="N281" i="484"/>
  <c r="O281" i="484"/>
  <c r="P281" i="484"/>
  <c r="Q281" i="484"/>
  <c r="R281" i="484"/>
  <c r="S281" i="484"/>
  <c r="T281" i="484"/>
  <c r="U281" i="484"/>
  <c r="V281" i="484"/>
  <c r="W281" i="484"/>
  <c r="X281" i="484"/>
  <c r="Y281" i="484"/>
  <c r="Z281" i="484"/>
  <c r="AA281" i="484"/>
  <c r="AB281" i="484"/>
  <c r="AC281" i="484"/>
  <c r="AD281" i="484"/>
  <c r="AE281" i="484"/>
  <c r="AF281" i="484"/>
  <c r="H271" i="484"/>
  <c r="H270" i="484"/>
  <c r="H268" i="484"/>
  <c r="J274" i="484"/>
  <c r="K274" i="484" s="1"/>
  <c r="L274" i="484" s="1"/>
  <c r="M274" i="484" s="1"/>
  <c r="N274" i="484" s="1"/>
  <c r="O274" i="484" s="1"/>
  <c r="P274" i="484" s="1"/>
  <c r="Q274" i="484" s="1"/>
  <c r="R274" i="484" s="1"/>
  <c r="S274" i="484" s="1"/>
  <c r="T274" i="484" s="1"/>
  <c r="U274" i="484" s="1"/>
  <c r="V274" i="484" s="1"/>
  <c r="W274" i="484" s="1"/>
  <c r="X274" i="484" s="1"/>
  <c r="Y274" i="484" s="1"/>
  <c r="Z274" i="484" s="1"/>
  <c r="AA274" i="484" s="1"/>
  <c r="AB274" i="484" s="1"/>
  <c r="AC274" i="484" s="1"/>
  <c r="AD274" i="484" s="1"/>
  <c r="AE274" i="484" s="1"/>
  <c r="AF274" i="484" s="1"/>
  <c r="I274" i="484"/>
  <c r="J273" i="484"/>
  <c r="K273" i="484"/>
  <c r="L273" i="484"/>
  <c r="M273" i="484"/>
  <c r="N273" i="484"/>
  <c r="O273" i="484" s="1"/>
  <c r="P273" i="484" s="1"/>
  <c r="Q273" i="484" s="1"/>
  <c r="R273" i="484" s="1"/>
  <c r="S273" i="484" s="1"/>
  <c r="T273" i="484" s="1"/>
  <c r="U273" i="484" s="1"/>
  <c r="V273" i="484" s="1"/>
  <c r="W273" i="484" s="1"/>
  <c r="X273" i="484" s="1"/>
  <c r="Y273" i="484" s="1"/>
  <c r="Z273" i="484" s="1"/>
  <c r="AA273" i="484" s="1"/>
  <c r="AB273" i="484" s="1"/>
  <c r="AC273" i="484" s="1"/>
  <c r="AD273" i="484" s="1"/>
  <c r="AE273" i="484" s="1"/>
  <c r="AF273" i="484" s="1"/>
  <c r="I273" i="484"/>
  <c r="I268" i="484"/>
  <c r="J268" i="484"/>
  <c r="K268" i="484"/>
  <c r="L268" i="484"/>
  <c r="M268" i="484"/>
  <c r="N268" i="484"/>
  <c r="O268" i="484"/>
  <c r="P268" i="484"/>
  <c r="Q268" i="484"/>
  <c r="R268" i="484"/>
  <c r="S268" i="484"/>
  <c r="T268" i="484"/>
  <c r="U268" i="484"/>
  <c r="V268" i="484"/>
  <c r="W268" i="484"/>
  <c r="X268" i="484"/>
  <c r="Y268" i="484"/>
  <c r="Z268" i="484"/>
  <c r="AA268" i="484"/>
  <c r="AB268" i="484"/>
  <c r="AC268" i="484"/>
  <c r="AD268" i="484"/>
  <c r="AE268" i="484"/>
  <c r="AF268" i="484"/>
  <c r="H258" i="484"/>
  <c r="H257" i="484"/>
  <c r="H255" i="484"/>
  <c r="J261" i="484"/>
  <c r="K261" i="484"/>
  <c r="L261" i="484"/>
  <c r="M261" i="484" s="1"/>
  <c r="N261" i="484" s="1"/>
  <c r="O261" i="484" s="1"/>
  <c r="P261" i="484" s="1"/>
  <c r="Q261" i="484" s="1"/>
  <c r="R261" i="484" s="1"/>
  <c r="S261" i="484" s="1"/>
  <c r="T261" i="484" s="1"/>
  <c r="U261" i="484" s="1"/>
  <c r="V261" i="484" s="1"/>
  <c r="W261" i="484" s="1"/>
  <c r="X261" i="484" s="1"/>
  <c r="Y261" i="484" s="1"/>
  <c r="Z261" i="484" s="1"/>
  <c r="AA261" i="484" s="1"/>
  <c r="AB261" i="484" s="1"/>
  <c r="AC261" i="484" s="1"/>
  <c r="AD261" i="484" s="1"/>
  <c r="AE261" i="484" s="1"/>
  <c r="AF261" i="484" s="1"/>
  <c r="I261" i="484"/>
  <c r="J260" i="484"/>
  <c r="K260" i="484"/>
  <c r="L260" i="484"/>
  <c r="M260" i="484" s="1"/>
  <c r="N260" i="484" s="1"/>
  <c r="O260" i="484" s="1"/>
  <c r="P260" i="484" s="1"/>
  <c r="Q260" i="484" s="1"/>
  <c r="R260" i="484" s="1"/>
  <c r="S260" i="484" s="1"/>
  <c r="T260" i="484" s="1"/>
  <c r="U260" i="484" s="1"/>
  <c r="V260" i="484" s="1"/>
  <c r="W260" i="484" s="1"/>
  <c r="X260" i="484" s="1"/>
  <c r="Y260" i="484" s="1"/>
  <c r="Z260" i="484" s="1"/>
  <c r="AA260" i="484" s="1"/>
  <c r="AB260" i="484" s="1"/>
  <c r="AC260" i="484" s="1"/>
  <c r="AD260" i="484" s="1"/>
  <c r="AE260" i="484" s="1"/>
  <c r="AF260" i="484" s="1"/>
  <c r="I260" i="484"/>
  <c r="I255" i="484"/>
  <c r="J255" i="484"/>
  <c r="K255" i="484"/>
  <c r="L255" i="484"/>
  <c r="M255" i="484"/>
  <c r="N255" i="484"/>
  <c r="O255" i="484"/>
  <c r="P255" i="484"/>
  <c r="Q255" i="484"/>
  <c r="R255" i="484"/>
  <c r="S255" i="484"/>
  <c r="T255" i="484"/>
  <c r="U255" i="484"/>
  <c r="V255" i="484"/>
  <c r="W255" i="484"/>
  <c r="X255" i="484"/>
  <c r="Y255" i="484"/>
  <c r="Z255" i="484"/>
  <c r="AA255" i="484"/>
  <c r="AB255" i="484"/>
  <c r="AC255" i="484"/>
  <c r="AD255" i="484"/>
  <c r="AE255" i="484"/>
  <c r="AF255" i="484"/>
  <c r="H245" i="484"/>
  <c r="H244" i="484"/>
  <c r="H242" i="484"/>
  <c r="J248" i="484"/>
  <c r="K248" i="484" s="1"/>
  <c r="L248" i="484" s="1"/>
  <c r="M248" i="484" s="1"/>
  <c r="N248" i="484" s="1"/>
  <c r="O248" i="484" s="1"/>
  <c r="P248" i="484" s="1"/>
  <c r="Q248" i="484" s="1"/>
  <c r="R248" i="484" s="1"/>
  <c r="S248" i="484" s="1"/>
  <c r="T248" i="484" s="1"/>
  <c r="U248" i="484" s="1"/>
  <c r="V248" i="484" s="1"/>
  <c r="W248" i="484" s="1"/>
  <c r="X248" i="484" s="1"/>
  <c r="Y248" i="484" s="1"/>
  <c r="Z248" i="484" s="1"/>
  <c r="AA248" i="484" s="1"/>
  <c r="AB248" i="484" s="1"/>
  <c r="AC248" i="484" s="1"/>
  <c r="AD248" i="484" s="1"/>
  <c r="AE248" i="484" s="1"/>
  <c r="AF248" i="484" s="1"/>
  <c r="I248" i="484"/>
  <c r="J247" i="484"/>
  <c r="K247" i="484" s="1"/>
  <c r="L247" i="484" s="1"/>
  <c r="M247" i="484" s="1"/>
  <c r="N247" i="484" s="1"/>
  <c r="O247" i="484" s="1"/>
  <c r="P247" i="484" s="1"/>
  <c r="Q247" i="484" s="1"/>
  <c r="R247" i="484" s="1"/>
  <c r="S247" i="484" s="1"/>
  <c r="T247" i="484" s="1"/>
  <c r="U247" i="484" s="1"/>
  <c r="V247" i="484" s="1"/>
  <c r="W247" i="484" s="1"/>
  <c r="X247" i="484" s="1"/>
  <c r="Y247" i="484" s="1"/>
  <c r="Z247" i="484" s="1"/>
  <c r="AA247" i="484" s="1"/>
  <c r="AB247" i="484" s="1"/>
  <c r="AC247" i="484" s="1"/>
  <c r="AD247" i="484" s="1"/>
  <c r="AE247" i="484" s="1"/>
  <c r="AF247" i="484" s="1"/>
  <c r="I247" i="484"/>
  <c r="I242" i="484"/>
  <c r="J242" i="484"/>
  <c r="K242" i="484"/>
  <c r="L242" i="484"/>
  <c r="M242" i="484"/>
  <c r="N242" i="484"/>
  <c r="O242" i="484"/>
  <c r="P242" i="484"/>
  <c r="Q242" i="484"/>
  <c r="R242" i="484"/>
  <c r="S242" i="484"/>
  <c r="T242" i="484"/>
  <c r="U242" i="484"/>
  <c r="V242" i="484"/>
  <c r="W242" i="484"/>
  <c r="X242" i="484"/>
  <c r="Y242" i="484"/>
  <c r="Z242" i="484"/>
  <c r="AA242" i="484"/>
  <c r="AB242" i="484"/>
  <c r="AC242" i="484"/>
  <c r="AD242" i="484"/>
  <c r="AE242" i="484"/>
  <c r="AF242" i="484"/>
  <c r="H232" i="484"/>
  <c r="H231" i="484"/>
  <c r="H229" i="484"/>
  <c r="J235" i="484"/>
  <c r="K235" i="484" s="1"/>
  <c r="L235" i="484" s="1"/>
  <c r="M235" i="484" s="1"/>
  <c r="N235" i="484" s="1"/>
  <c r="O235" i="484" s="1"/>
  <c r="P235" i="484" s="1"/>
  <c r="Q235" i="484" s="1"/>
  <c r="R235" i="484" s="1"/>
  <c r="S235" i="484" s="1"/>
  <c r="T235" i="484" s="1"/>
  <c r="U235" i="484" s="1"/>
  <c r="V235" i="484" s="1"/>
  <c r="W235" i="484" s="1"/>
  <c r="X235" i="484" s="1"/>
  <c r="Y235" i="484" s="1"/>
  <c r="Z235" i="484" s="1"/>
  <c r="AA235" i="484" s="1"/>
  <c r="AB235" i="484" s="1"/>
  <c r="AC235" i="484" s="1"/>
  <c r="AD235" i="484" s="1"/>
  <c r="AE235" i="484" s="1"/>
  <c r="AF235" i="484" s="1"/>
  <c r="I235" i="484"/>
  <c r="J234" i="484"/>
  <c r="K234" i="484" s="1"/>
  <c r="L234" i="484" s="1"/>
  <c r="M234" i="484" s="1"/>
  <c r="N234" i="484" s="1"/>
  <c r="O234" i="484" s="1"/>
  <c r="P234" i="484" s="1"/>
  <c r="Q234" i="484" s="1"/>
  <c r="R234" i="484" s="1"/>
  <c r="S234" i="484" s="1"/>
  <c r="T234" i="484" s="1"/>
  <c r="U234" i="484" s="1"/>
  <c r="V234" i="484" s="1"/>
  <c r="W234" i="484" s="1"/>
  <c r="X234" i="484" s="1"/>
  <c r="Y234" i="484" s="1"/>
  <c r="Z234" i="484" s="1"/>
  <c r="AA234" i="484" s="1"/>
  <c r="AB234" i="484" s="1"/>
  <c r="AC234" i="484" s="1"/>
  <c r="AD234" i="484" s="1"/>
  <c r="AE234" i="484" s="1"/>
  <c r="AF234" i="484" s="1"/>
  <c r="I234" i="484"/>
  <c r="I229" i="484"/>
  <c r="J229" i="484"/>
  <c r="K229" i="484"/>
  <c r="L229" i="484"/>
  <c r="M229" i="484"/>
  <c r="N229" i="484"/>
  <c r="O229" i="484"/>
  <c r="P229" i="484"/>
  <c r="Q229" i="484"/>
  <c r="R229" i="484"/>
  <c r="S229" i="484"/>
  <c r="T229" i="484"/>
  <c r="U229" i="484"/>
  <c r="V229" i="484"/>
  <c r="W229" i="484"/>
  <c r="X229" i="484"/>
  <c r="Y229" i="484"/>
  <c r="Z229" i="484"/>
  <c r="AA229" i="484"/>
  <c r="AB229" i="484"/>
  <c r="AC229" i="484"/>
  <c r="AD229" i="484"/>
  <c r="AE229" i="484"/>
  <c r="AF229" i="484"/>
  <c r="H219" i="484"/>
  <c r="H218" i="484"/>
  <c r="H216" i="484"/>
  <c r="J222" i="484"/>
  <c r="K222" i="484" s="1"/>
  <c r="L222" i="484" s="1"/>
  <c r="M222" i="484" s="1"/>
  <c r="N222" i="484" s="1"/>
  <c r="O222" i="484" s="1"/>
  <c r="P222" i="484" s="1"/>
  <c r="Q222" i="484" s="1"/>
  <c r="R222" i="484" s="1"/>
  <c r="S222" i="484" s="1"/>
  <c r="T222" i="484" s="1"/>
  <c r="U222" i="484" s="1"/>
  <c r="V222" i="484" s="1"/>
  <c r="W222" i="484" s="1"/>
  <c r="X222" i="484" s="1"/>
  <c r="Y222" i="484" s="1"/>
  <c r="Z222" i="484" s="1"/>
  <c r="AA222" i="484" s="1"/>
  <c r="AB222" i="484" s="1"/>
  <c r="AC222" i="484" s="1"/>
  <c r="AD222" i="484" s="1"/>
  <c r="AE222" i="484" s="1"/>
  <c r="AF222" i="484" s="1"/>
  <c r="I222" i="484"/>
  <c r="J221" i="484"/>
  <c r="K221" i="484"/>
  <c r="L221" i="484" s="1"/>
  <c r="M221" i="484" s="1"/>
  <c r="N221" i="484" s="1"/>
  <c r="O221" i="484" s="1"/>
  <c r="P221" i="484" s="1"/>
  <c r="Q221" i="484" s="1"/>
  <c r="R221" i="484" s="1"/>
  <c r="S221" i="484" s="1"/>
  <c r="T221" i="484" s="1"/>
  <c r="U221" i="484" s="1"/>
  <c r="V221" i="484" s="1"/>
  <c r="W221" i="484" s="1"/>
  <c r="X221" i="484" s="1"/>
  <c r="Y221" i="484" s="1"/>
  <c r="Z221" i="484" s="1"/>
  <c r="AA221" i="484" s="1"/>
  <c r="AB221" i="484" s="1"/>
  <c r="AC221" i="484" s="1"/>
  <c r="AD221" i="484" s="1"/>
  <c r="AE221" i="484" s="1"/>
  <c r="AF221" i="484" s="1"/>
  <c r="I221" i="484"/>
  <c r="I216" i="484"/>
  <c r="J216" i="484"/>
  <c r="K216" i="484"/>
  <c r="L216" i="484"/>
  <c r="M216" i="484"/>
  <c r="N216" i="484"/>
  <c r="O216" i="484"/>
  <c r="P216" i="484"/>
  <c r="Q216" i="484"/>
  <c r="R216" i="484"/>
  <c r="S216" i="484"/>
  <c r="T216" i="484"/>
  <c r="U216" i="484"/>
  <c r="V216" i="484"/>
  <c r="W216" i="484"/>
  <c r="X216" i="484"/>
  <c r="Y216" i="484"/>
  <c r="Z216" i="484"/>
  <c r="AA216" i="484"/>
  <c r="AB216" i="484"/>
  <c r="AC216" i="484"/>
  <c r="AD216" i="484"/>
  <c r="AE216" i="484"/>
  <c r="AF216" i="484"/>
  <c r="H206" i="484"/>
  <c r="H205" i="484"/>
  <c r="H203" i="484"/>
  <c r="J209" i="484"/>
  <c r="K209" i="484" s="1"/>
  <c r="L209" i="484" s="1"/>
  <c r="M209" i="484" s="1"/>
  <c r="N209" i="484" s="1"/>
  <c r="O209" i="484" s="1"/>
  <c r="P209" i="484" s="1"/>
  <c r="Q209" i="484" s="1"/>
  <c r="R209" i="484" s="1"/>
  <c r="S209" i="484" s="1"/>
  <c r="T209" i="484" s="1"/>
  <c r="U209" i="484" s="1"/>
  <c r="V209" i="484" s="1"/>
  <c r="W209" i="484" s="1"/>
  <c r="X209" i="484" s="1"/>
  <c r="Y209" i="484" s="1"/>
  <c r="Z209" i="484" s="1"/>
  <c r="AA209" i="484" s="1"/>
  <c r="AB209" i="484" s="1"/>
  <c r="AC209" i="484" s="1"/>
  <c r="AD209" i="484" s="1"/>
  <c r="AE209" i="484" s="1"/>
  <c r="AF209" i="484" s="1"/>
  <c r="I209" i="484"/>
  <c r="J208" i="484"/>
  <c r="K208" i="484" s="1"/>
  <c r="L208" i="484" s="1"/>
  <c r="M208" i="484" s="1"/>
  <c r="N208" i="484" s="1"/>
  <c r="O208" i="484" s="1"/>
  <c r="P208" i="484" s="1"/>
  <c r="Q208" i="484" s="1"/>
  <c r="R208" i="484" s="1"/>
  <c r="S208" i="484" s="1"/>
  <c r="T208" i="484" s="1"/>
  <c r="U208" i="484" s="1"/>
  <c r="V208" i="484" s="1"/>
  <c r="W208" i="484" s="1"/>
  <c r="X208" i="484" s="1"/>
  <c r="Y208" i="484" s="1"/>
  <c r="Z208" i="484" s="1"/>
  <c r="AA208" i="484" s="1"/>
  <c r="AB208" i="484" s="1"/>
  <c r="AC208" i="484" s="1"/>
  <c r="AD208" i="484" s="1"/>
  <c r="AE208" i="484" s="1"/>
  <c r="AF208" i="484" s="1"/>
  <c r="I208" i="484"/>
  <c r="I203" i="484"/>
  <c r="J203" i="484"/>
  <c r="K203" i="484"/>
  <c r="L203" i="484"/>
  <c r="M203" i="484"/>
  <c r="N203" i="484"/>
  <c r="O203" i="484"/>
  <c r="P203" i="484"/>
  <c r="Q203" i="484"/>
  <c r="R203" i="484"/>
  <c r="S203" i="484"/>
  <c r="T203" i="484"/>
  <c r="U203" i="484"/>
  <c r="V203" i="484"/>
  <c r="W203" i="484"/>
  <c r="X203" i="484"/>
  <c r="Y203" i="484"/>
  <c r="Z203" i="484"/>
  <c r="AA203" i="484"/>
  <c r="AB203" i="484"/>
  <c r="AC203" i="484"/>
  <c r="AD203" i="484"/>
  <c r="AE203" i="484"/>
  <c r="AF203" i="484"/>
  <c r="H193" i="484"/>
  <c r="H192" i="484"/>
  <c r="H190" i="484"/>
  <c r="J196" i="484"/>
  <c r="K196" i="484" s="1"/>
  <c r="L196" i="484" s="1"/>
  <c r="M196" i="484" s="1"/>
  <c r="N196" i="484" s="1"/>
  <c r="O196" i="484" s="1"/>
  <c r="P196" i="484" s="1"/>
  <c r="Q196" i="484" s="1"/>
  <c r="R196" i="484" s="1"/>
  <c r="S196" i="484" s="1"/>
  <c r="T196" i="484" s="1"/>
  <c r="U196" i="484" s="1"/>
  <c r="V196" i="484" s="1"/>
  <c r="W196" i="484" s="1"/>
  <c r="X196" i="484" s="1"/>
  <c r="Y196" i="484" s="1"/>
  <c r="Z196" i="484" s="1"/>
  <c r="AA196" i="484" s="1"/>
  <c r="AB196" i="484" s="1"/>
  <c r="AC196" i="484" s="1"/>
  <c r="AD196" i="484" s="1"/>
  <c r="AE196" i="484" s="1"/>
  <c r="AF196" i="484" s="1"/>
  <c r="I196" i="484"/>
  <c r="J195" i="484"/>
  <c r="K195" i="484"/>
  <c r="L195" i="484"/>
  <c r="M195" i="484" s="1"/>
  <c r="N195" i="484" s="1"/>
  <c r="O195" i="484" s="1"/>
  <c r="P195" i="484" s="1"/>
  <c r="Q195" i="484" s="1"/>
  <c r="R195" i="484" s="1"/>
  <c r="S195" i="484" s="1"/>
  <c r="T195" i="484" s="1"/>
  <c r="U195" i="484" s="1"/>
  <c r="V195" i="484" s="1"/>
  <c r="W195" i="484" s="1"/>
  <c r="X195" i="484" s="1"/>
  <c r="Y195" i="484" s="1"/>
  <c r="Z195" i="484" s="1"/>
  <c r="AA195" i="484" s="1"/>
  <c r="AB195" i="484" s="1"/>
  <c r="AC195" i="484" s="1"/>
  <c r="AD195" i="484" s="1"/>
  <c r="AE195" i="484" s="1"/>
  <c r="AF195" i="484" s="1"/>
  <c r="I195" i="484"/>
  <c r="I190" i="484"/>
  <c r="J190" i="484"/>
  <c r="K190" i="484"/>
  <c r="L190" i="484"/>
  <c r="M190" i="484"/>
  <c r="N190" i="484"/>
  <c r="O190" i="484"/>
  <c r="P190" i="484"/>
  <c r="Q190" i="484"/>
  <c r="R190" i="484"/>
  <c r="S190" i="484"/>
  <c r="T190" i="484"/>
  <c r="U190" i="484"/>
  <c r="V190" i="484"/>
  <c r="W190" i="484"/>
  <c r="X190" i="484"/>
  <c r="Y190" i="484"/>
  <c r="Z190" i="484"/>
  <c r="AA190" i="484"/>
  <c r="AB190" i="484"/>
  <c r="AC190" i="484"/>
  <c r="AD190" i="484"/>
  <c r="AE190" i="484"/>
  <c r="AF190" i="484"/>
  <c r="H180" i="484"/>
  <c r="H179" i="484"/>
  <c r="H177" i="484"/>
  <c r="J183" i="484"/>
  <c r="K183" i="484" s="1"/>
  <c r="L183" i="484" s="1"/>
  <c r="M183" i="484" s="1"/>
  <c r="N183" i="484" s="1"/>
  <c r="O183" i="484" s="1"/>
  <c r="P183" i="484" s="1"/>
  <c r="Q183" i="484" s="1"/>
  <c r="R183" i="484" s="1"/>
  <c r="S183" i="484" s="1"/>
  <c r="T183" i="484" s="1"/>
  <c r="U183" i="484" s="1"/>
  <c r="V183" i="484" s="1"/>
  <c r="W183" i="484" s="1"/>
  <c r="X183" i="484" s="1"/>
  <c r="Y183" i="484" s="1"/>
  <c r="Z183" i="484" s="1"/>
  <c r="AA183" i="484" s="1"/>
  <c r="AB183" i="484" s="1"/>
  <c r="AC183" i="484" s="1"/>
  <c r="AD183" i="484" s="1"/>
  <c r="AE183" i="484" s="1"/>
  <c r="AF183" i="484" s="1"/>
  <c r="I183" i="484"/>
  <c r="J182" i="484"/>
  <c r="K182" i="484"/>
  <c r="L182" i="484"/>
  <c r="M182" i="484"/>
  <c r="N182" i="484" s="1"/>
  <c r="O182" i="484" s="1"/>
  <c r="P182" i="484" s="1"/>
  <c r="Q182" i="484" s="1"/>
  <c r="R182" i="484" s="1"/>
  <c r="S182" i="484" s="1"/>
  <c r="T182" i="484" s="1"/>
  <c r="U182" i="484" s="1"/>
  <c r="V182" i="484" s="1"/>
  <c r="W182" i="484" s="1"/>
  <c r="X182" i="484" s="1"/>
  <c r="Y182" i="484" s="1"/>
  <c r="Z182" i="484" s="1"/>
  <c r="AA182" i="484" s="1"/>
  <c r="AB182" i="484" s="1"/>
  <c r="AC182" i="484" s="1"/>
  <c r="AD182" i="484" s="1"/>
  <c r="AE182" i="484" s="1"/>
  <c r="AF182" i="484" s="1"/>
  <c r="I182" i="484"/>
  <c r="I177" i="484"/>
  <c r="J177" i="484"/>
  <c r="K177" i="484"/>
  <c r="L177" i="484"/>
  <c r="M177" i="484"/>
  <c r="N177" i="484"/>
  <c r="O177" i="484"/>
  <c r="P177" i="484"/>
  <c r="Q177" i="484"/>
  <c r="R177" i="484"/>
  <c r="S177" i="484"/>
  <c r="T177" i="484"/>
  <c r="U177" i="484"/>
  <c r="V177" i="484"/>
  <c r="W177" i="484"/>
  <c r="X177" i="484"/>
  <c r="Y177" i="484"/>
  <c r="Z177" i="484"/>
  <c r="AA177" i="484"/>
  <c r="AB177" i="484"/>
  <c r="AC177" i="484"/>
  <c r="AD177" i="484"/>
  <c r="AE177" i="484"/>
  <c r="AF177" i="484"/>
  <c r="H167" i="484"/>
  <c r="H166" i="484"/>
  <c r="H164" i="484"/>
  <c r="J170" i="484"/>
  <c r="K170" i="484"/>
  <c r="L170" i="484" s="1"/>
  <c r="M170" i="484" s="1"/>
  <c r="N170" i="484" s="1"/>
  <c r="O170" i="484" s="1"/>
  <c r="P170" i="484" s="1"/>
  <c r="Q170" i="484" s="1"/>
  <c r="R170" i="484" s="1"/>
  <c r="S170" i="484" s="1"/>
  <c r="T170" i="484" s="1"/>
  <c r="U170" i="484" s="1"/>
  <c r="V170" i="484" s="1"/>
  <c r="W170" i="484" s="1"/>
  <c r="X170" i="484" s="1"/>
  <c r="Y170" i="484" s="1"/>
  <c r="Z170" i="484" s="1"/>
  <c r="AA170" i="484" s="1"/>
  <c r="AB170" i="484" s="1"/>
  <c r="AC170" i="484" s="1"/>
  <c r="AD170" i="484" s="1"/>
  <c r="AE170" i="484" s="1"/>
  <c r="AF170" i="484" s="1"/>
  <c r="I170" i="484"/>
  <c r="J169" i="484"/>
  <c r="K169" i="484"/>
  <c r="L169" i="484" s="1"/>
  <c r="M169" i="484" s="1"/>
  <c r="N169" i="484" s="1"/>
  <c r="O169" i="484" s="1"/>
  <c r="P169" i="484" s="1"/>
  <c r="Q169" i="484" s="1"/>
  <c r="R169" i="484" s="1"/>
  <c r="S169" i="484" s="1"/>
  <c r="T169" i="484" s="1"/>
  <c r="U169" i="484" s="1"/>
  <c r="V169" i="484" s="1"/>
  <c r="W169" i="484" s="1"/>
  <c r="X169" i="484" s="1"/>
  <c r="Y169" i="484" s="1"/>
  <c r="Z169" i="484" s="1"/>
  <c r="AA169" i="484" s="1"/>
  <c r="AB169" i="484" s="1"/>
  <c r="AC169" i="484" s="1"/>
  <c r="AD169" i="484" s="1"/>
  <c r="AE169" i="484" s="1"/>
  <c r="AF169" i="484" s="1"/>
  <c r="I169" i="484"/>
  <c r="I164" i="484"/>
  <c r="J164" i="484"/>
  <c r="K164" i="484"/>
  <c r="L164" i="484"/>
  <c r="M164" i="484"/>
  <c r="N164" i="484"/>
  <c r="O164" i="484"/>
  <c r="P164" i="484"/>
  <c r="Q164" i="484"/>
  <c r="R164" i="484"/>
  <c r="S164" i="484"/>
  <c r="T164" i="484"/>
  <c r="U164" i="484"/>
  <c r="V164" i="484"/>
  <c r="W164" i="484"/>
  <c r="X164" i="484"/>
  <c r="Y164" i="484"/>
  <c r="Z164" i="484"/>
  <c r="AA164" i="484"/>
  <c r="AB164" i="484"/>
  <c r="AC164" i="484"/>
  <c r="AD164" i="484"/>
  <c r="AE164" i="484"/>
  <c r="AF164" i="484"/>
  <c r="H154" i="484"/>
  <c r="H153" i="484"/>
  <c r="H151" i="484"/>
  <c r="J157" i="484"/>
  <c r="K157" i="484" s="1"/>
  <c r="L157" i="484" s="1"/>
  <c r="M157" i="484" s="1"/>
  <c r="N157" i="484" s="1"/>
  <c r="O157" i="484" s="1"/>
  <c r="P157" i="484" s="1"/>
  <c r="Q157" i="484" s="1"/>
  <c r="R157" i="484" s="1"/>
  <c r="S157" i="484" s="1"/>
  <c r="T157" i="484" s="1"/>
  <c r="U157" i="484" s="1"/>
  <c r="V157" i="484" s="1"/>
  <c r="W157" i="484" s="1"/>
  <c r="X157" i="484" s="1"/>
  <c r="Y157" i="484" s="1"/>
  <c r="Z157" i="484" s="1"/>
  <c r="AA157" i="484" s="1"/>
  <c r="AB157" i="484" s="1"/>
  <c r="AC157" i="484" s="1"/>
  <c r="AD157" i="484" s="1"/>
  <c r="AE157" i="484" s="1"/>
  <c r="AF157" i="484" s="1"/>
  <c r="I157" i="484"/>
  <c r="J156" i="484"/>
  <c r="K156" i="484" s="1"/>
  <c r="L156" i="484" s="1"/>
  <c r="M156" i="484" s="1"/>
  <c r="N156" i="484" s="1"/>
  <c r="O156" i="484" s="1"/>
  <c r="P156" i="484" s="1"/>
  <c r="Q156" i="484" s="1"/>
  <c r="R156" i="484" s="1"/>
  <c r="S156" i="484" s="1"/>
  <c r="T156" i="484" s="1"/>
  <c r="U156" i="484" s="1"/>
  <c r="V156" i="484" s="1"/>
  <c r="W156" i="484" s="1"/>
  <c r="X156" i="484" s="1"/>
  <c r="Y156" i="484" s="1"/>
  <c r="Z156" i="484" s="1"/>
  <c r="AA156" i="484" s="1"/>
  <c r="AB156" i="484" s="1"/>
  <c r="AC156" i="484" s="1"/>
  <c r="AD156" i="484" s="1"/>
  <c r="AE156" i="484" s="1"/>
  <c r="AF156" i="484" s="1"/>
  <c r="I156" i="484"/>
  <c r="I151" i="484"/>
  <c r="J151" i="484"/>
  <c r="K151" i="484"/>
  <c r="L151" i="484"/>
  <c r="M151" i="484"/>
  <c r="N151" i="484"/>
  <c r="O151" i="484"/>
  <c r="P151" i="484"/>
  <c r="Q151" i="484"/>
  <c r="R151" i="484"/>
  <c r="S151" i="484"/>
  <c r="T151" i="484"/>
  <c r="U151" i="484"/>
  <c r="V151" i="484"/>
  <c r="W151" i="484"/>
  <c r="X151" i="484"/>
  <c r="Y151" i="484"/>
  <c r="Z151" i="484"/>
  <c r="AA151" i="484"/>
  <c r="AB151" i="484"/>
  <c r="AC151" i="484"/>
  <c r="AD151" i="484"/>
  <c r="AE151" i="484"/>
  <c r="AF151" i="484"/>
  <c r="H141" i="484"/>
  <c r="H140" i="484"/>
  <c r="H138" i="484"/>
  <c r="J144" i="484"/>
  <c r="K144" i="484" s="1"/>
  <c r="L144" i="484" s="1"/>
  <c r="M144" i="484" s="1"/>
  <c r="N144" i="484" s="1"/>
  <c r="O144" i="484" s="1"/>
  <c r="P144" i="484" s="1"/>
  <c r="Q144" i="484" s="1"/>
  <c r="R144" i="484" s="1"/>
  <c r="S144" i="484" s="1"/>
  <c r="T144" i="484" s="1"/>
  <c r="U144" i="484" s="1"/>
  <c r="V144" i="484" s="1"/>
  <c r="W144" i="484" s="1"/>
  <c r="X144" i="484" s="1"/>
  <c r="Y144" i="484" s="1"/>
  <c r="Z144" i="484" s="1"/>
  <c r="AA144" i="484" s="1"/>
  <c r="AB144" i="484" s="1"/>
  <c r="AC144" i="484" s="1"/>
  <c r="AD144" i="484" s="1"/>
  <c r="AE144" i="484" s="1"/>
  <c r="AF144" i="484" s="1"/>
  <c r="I144" i="484"/>
  <c r="J143" i="484"/>
  <c r="K143" i="484" s="1"/>
  <c r="L143" i="484" s="1"/>
  <c r="M143" i="484" s="1"/>
  <c r="N143" i="484" s="1"/>
  <c r="O143" i="484" s="1"/>
  <c r="P143" i="484" s="1"/>
  <c r="Q143" i="484" s="1"/>
  <c r="R143" i="484" s="1"/>
  <c r="S143" i="484" s="1"/>
  <c r="T143" i="484" s="1"/>
  <c r="U143" i="484" s="1"/>
  <c r="V143" i="484" s="1"/>
  <c r="W143" i="484" s="1"/>
  <c r="X143" i="484" s="1"/>
  <c r="Y143" i="484" s="1"/>
  <c r="Z143" i="484" s="1"/>
  <c r="AA143" i="484" s="1"/>
  <c r="AB143" i="484" s="1"/>
  <c r="AC143" i="484" s="1"/>
  <c r="AD143" i="484" s="1"/>
  <c r="AE143" i="484" s="1"/>
  <c r="AF143" i="484" s="1"/>
  <c r="I143" i="484"/>
  <c r="I138" i="484"/>
  <c r="J138" i="484"/>
  <c r="K138" i="484"/>
  <c r="L138" i="484"/>
  <c r="M138" i="484"/>
  <c r="N138" i="484"/>
  <c r="O138" i="484"/>
  <c r="P138" i="484"/>
  <c r="Q138" i="484"/>
  <c r="R138" i="484"/>
  <c r="S138" i="484"/>
  <c r="T138" i="484"/>
  <c r="U138" i="484"/>
  <c r="V138" i="484"/>
  <c r="W138" i="484"/>
  <c r="X138" i="484"/>
  <c r="Y138" i="484"/>
  <c r="Z138" i="484"/>
  <c r="AA138" i="484"/>
  <c r="AB138" i="484"/>
  <c r="AC138" i="484"/>
  <c r="AD138" i="484"/>
  <c r="AE138" i="484"/>
  <c r="AF138" i="484"/>
  <c r="H128" i="484"/>
  <c r="H127" i="484"/>
  <c r="H125" i="484"/>
  <c r="J131" i="484"/>
  <c r="K131" i="484" s="1"/>
  <c r="L131" i="484" s="1"/>
  <c r="M131" i="484" s="1"/>
  <c r="N131" i="484" s="1"/>
  <c r="O131" i="484" s="1"/>
  <c r="P131" i="484" s="1"/>
  <c r="Q131" i="484" s="1"/>
  <c r="R131" i="484" s="1"/>
  <c r="S131" i="484" s="1"/>
  <c r="T131" i="484" s="1"/>
  <c r="U131" i="484" s="1"/>
  <c r="V131" i="484" s="1"/>
  <c r="W131" i="484" s="1"/>
  <c r="X131" i="484" s="1"/>
  <c r="Y131" i="484" s="1"/>
  <c r="Z131" i="484" s="1"/>
  <c r="AA131" i="484" s="1"/>
  <c r="AB131" i="484" s="1"/>
  <c r="AC131" i="484" s="1"/>
  <c r="AD131" i="484" s="1"/>
  <c r="AE131" i="484" s="1"/>
  <c r="AF131" i="484" s="1"/>
  <c r="I131" i="484"/>
  <c r="J130" i="484"/>
  <c r="K130" i="484" s="1"/>
  <c r="L130" i="484" s="1"/>
  <c r="M130" i="484" s="1"/>
  <c r="N130" i="484" s="1"/>
  <c r="O130" i="484" s="1"/>
  <c r="P130" i="484" s="1"/>
  <c r="Q130" i="484" s="1"/>
  <c r="R130" i="484" s="1"/>
  <c r="S130" i="484" s="1"/>
  <c r="T130" i="484" s="1"/>
  <c r="U130" i="484" s="1"/>
  <c r="V130" i="484" s="1"/>
  <c r="W130" i="484" s="1"/>
  <c r="X130" i="484" s="1"/>
  <c r="Y130" i="484" s="1"/>
  <c r="Z130" i="484" s="1"/>
  <c r="AA130" i="484" s="1"/>
  <c r="AB130" i="484" s="1"/>
  <c r="AC130" i="484" s="1"/>
  <c r="AD130" i="484" s="1"/>
  <c r="AE130" i="484" s="1"/>
  <c r="AF130" i="484" s="1"/>
  <c r="I130" i="484"/>
  <c r="I125" i="484"/>
  <c r="J125" i="484"/>
  <c r="K125" i="484"/>
  <c r="L125" i="484"/>
  <c r="M125" i="484"/>
  <c r="N125" i="484"/>
  <c r="O125" i="484"/>
  <c r="P125" i="484"/>
  <c r="Q125" i="484"/>
  <c r="R125" i="484"/>
  <c r="S125" i="484"/>
  <c r="T125" i="484"/>
  <c r="U125" i="484"/>
  <c r="V125" i="484"/>
  <c r="W125" i="484"/>
  <c r="X125" i="484"/>
  <c r="Y125" i="484"/>
  <c r="Z125" i="484"/>
  <c r="AA125" i="484"/>
  <c r="AB125" i="484"/>
  <c r="AC125" i="484"/>
  <c r="AD125" i="484"/>
  <c r="AE125" i="484"/>
  <c r="AF125" i="484"/>
  <c r="H115" i="484"/>
  <c r="H114" i="484"/>
  <c r="H112" i="484"/>
  <c r="J118" i="484"/>
  <c r="K118" i="484" s="1"/>
  <c r="L118" i="484" s="1"/>
  <c r="M118" i="484" s="1"/>
  <c r="N118" i="484" s="1"/>
  <c r="O118" i="484" s="1"/>
  <c r="P118" i="484" s="1"/>
  <c r="Q118" i="484" s="1"/>
  <c r="R118" i="484" s="1"/>
  <c r="S118" i="484" s="1"/>
  <c r="T118" i="484" s="1"/>
  <c r="U118" i="484" s="1"/>
  <c r="V118" i="484" s="1"/>
  <c r="W118" i="484" s="1"/>
  <c r="X118" i="484" s="1"/>
  <c r="Y118" i="484" s="1"/>
  <c r="Z118" i="484" s="1"/>
  <c r="AA118" i="484" s="1"/>
  <c r="AB118" i="484" s="1"/>
  <c r="AC118" i="484" s="1"/>
  <c r="AD118" i="484" s="1"/>
  <c r="AE118" i="484" s="1"/>
  <c r="AF118" i="484" s="1"/>
  <c r="I118" i="484"/>
  <c r="J117" i="484"/>
  <c r="K117" i="484"/>
  <c r="L117" i="484"/>
  <c r="M117" i="484" s="1"/>
  <c r="N117" i="484" s="1"/>
  <c r="O117" i="484" s="1"/>
  <c r="P117" i="484" s="1"/>
  <c r="Q117" i="484" s="1"/>
  <c r="R117" i="484" s="1"/>
  <c r="S117" i="484" s="1"/>
  <c r="T117" i="484" s="1"/>
  <c r="U117" i="484" s="1"/>
  <c r="V117" i="484" s="1"/>
  <c r="W117" i="484" s="1"/>
  <c r="X117" i="484" s="1"/>
  <c r="Y117" i="484" s="1"/>
  <c r="Z117" i="484" s="1"/>
  <c r="AA117" i="484" s="1"/>
  <c r="AB117" i="484" s="1"/>
  <c r="AC117" i="484" s="1"/>
  <c r="AD117" i="484" s="1"/>
  <c r="AE117" i="484" s="1"/>
  <c r="AF117" i="484" s="1"/>
  <c r="I117" i="484"/>
  <c r="I112" i="484"/>
  <c r="J112" i="484"/>
  <c r="K112" i="484"/>
  <c r="L112" i="484"/>
  <c r="M112" i="484"/>
  <c r="N112" i="484"/>
  <c r="O112" i="484"/>
  <c r="P112" i="484"/>
  <c r="Q112" i="484"/>
  <c r="R112" i="484"/>
  <c r="S112" i="484"/>
  <c r="T112" i="484"/>
  <c r="U112" i="484"/>
  <c r="V112" i="484"/>
  <c r="W112" i="484"/>
  <c r="X112" i="484"/>
  <c r="Y112" i="484"/>
  <c r="Z112" i="484"/>
  <c r="AA112" i="484"/>
  <c r="AB112" i="484"/>
  <c r="AC112" i="484"/>
  <c r="AD112" i="484"/>
  <c r="AE112" i="484"/>
  <c r="AF112" i="484"/>
  <c r="H102" i="484"/>
  <c r="H101" i="484"/>
  <c r="H99" i="484"/>
  <c r="J105" i="484"/>
  <c r="K105" i="484" s="1"/>
  <c r="L105" i="484" s="1"/>
  <c r="M105" i="484" s="1"/>
  <c r="N105" i="484" s="1"/>
  <c r="O105" i="484" s="1"/>
  <c r="P105" i="484" s="1"/>
  <c r="Q105" i="484" s="1"/>
  <c r="R105" i="484" s="1"/>
  <c r="S105" i="484" s="1"/>
  <c r="T105" i="484" s="1"/>
  <c r="U105" i="484" s="1"/>
  <c r="V105" i="484" s="1"/>
  <c r="W105" i="484" s="1"/>
  <c r="X105" i="484" s="1"/>
  <c r="Y105" i="484" s="1"/>
  <c r="Z105" i="484" s="1"/>
  <c r="AA105" i="484" s="1"/>
  <c r="AB105" i="484" s="1"/>
  <c r="AC105" i="484" s="1"/>
  <c r="AD105" i="484" s="1"/>
  <c r="AE105" i="484" s="1"/>
  <c r="AF105" i="484" s="1"/>
  <c r="I105" i="484"/>
  <c r="J104" i="484"/>
  <c r="K104" i="484" s="1"/>
  <c r="L104" i="484" s="1"/>
  <c r="M104" i="484" s="1"/>
  <c r="N104" i="484" s="1"/>
  <c r="O104" i="484" s="1"/>
  <c r="P104" i="484" s="1"/>
  <c r="Q104" i="484" s="1"/>
  <c r="R104" i="484" s="1"/>
  <c r="S104" i="484" s="1"/>
  <c r="T104" i="484" s="1"/>
  <c r="U104" i="484" s="1"/>
  <c r="V104" i="484" s="1"/>
  <c r="W104" i="484" s="1"/>
  <c r="X104" i="484" s="1"/>
  <c r="Y104" i="484" s="1"/>
  <c r="Z104" i="484" s="1"/>
  <c r="AA104" i="484" s="1"/>
  <c r="AB104" i="484" s="1"/>
  <c r="AC104" i="484" s="1"/>
  <c r="AD104" i="484" s="1"/>
  <c r="AE104" i="484" s="1"/>
  <c r="AF104" i="484" s="1"/>
  <c r="I104" i="484"/>
  <c r="I99" i="484"/>
  <c r="J99" i="484"/>
  <c r="K99" i="484"/>
  <c r="L99" i="484"/>
  <c r="M99" i="484"/>
  <c r="N99" i="484"/>
  <c r="O99" i="484"/>
  <c r="P99" i="484"/>
  <c r="Q99" i="484"/>
  <c r="R99" i="484"/>
  <c r="S99" i="484"/>
  <c r="T99" i="484"/>
  <c r="U99" i="484"/>
  <c r="V99" i="484"/>
  <c r="W99" i="484"/>
  <c r="X99" i="484"/>
  <c r="Y99" i="484"/>
  <c r="Z99" i="484"/>
  <c r="AA99" i="484"/>
  <c r="AB99" i="484"/>
  <c r="AC99" i="484"/>
  <c r="AD99" i="484"/>
  <c r="AE99" i="484"/>
  <c r="AF99" i="484"/>
  <c r="H89" i="484"/>
  <c r="H88" i="484"/>
  <c r="H86" i="484"/>
  <c r="J92" i="484"/>
  <c r="K92" i="484" s="1"/>
  <c r="L92" i="484" s="1"/>
  <c r="M92" i="484" s="1"/>
  <c r="N92" i="484" s="1"/>
  <c r="O92" i="484" s="1"/>
  <c r="P92" i="484" s="1"/>
  <c r="Q92" i="484" s="1"/>
  <c r="R92" i="484" s="1"/>
  <c r="S92" i="484" s="1"/>
  <c r="T92" i="484" s="1"/>
  <c r="U92" i="484" s="1"/>
  <c r="V92" i="484" s="1"/>
  <c r="W92" i="484" s="1"/>
  <c r="X92" i="484" s="1"/>
  <c r="Y92" i="484" s="1"/>
  <c r="Z92" i="484" s="1"/>
  <c r="AA92" i="484" s="1"/>
  <c r="AB92" i="484" s="1"/>
  <c r="AC92" i="484" s="1"/>
  <c r="AD92" i="484" s="1"/>
  <c r="AE92" i="484" s="1"/>
  <c r="AF92" i="484" s="1"/>
  <c r="I92" i="484"/>
  <c r="J91" i="484"/>
  <c r="K91" i="484"/>
  <c r="L91" i="484" s="1"/>
  <c r="M91" i="484" s="1"/>
  <c r="N91" i="484" s="1"/>
  <c r="O91" i="484" s="1"/>
  <c r="P91" i="484" s="1"/>
  <c r="Q91" i="484" s="1"/>
  <c r="R91" i="484" s="1"/>
  <c r="S91" i="484" s="1"/>
  <c r="T91" i="484" s="1"/>
  <c r="U91" i="484" s="1"/>
  <c r="V91" i="484" s="1"/>
  <c r="W91" i="484" s="1"/>
  <c r="X91" i="484" s="1"/>
  <c r="Y91" i="484" s="1"/>
  <c r="Z91" i="484" s="1"/>
  <c r="AA91" i="484" s="1"/>
  <c r="AB91" i="484" s="1"/>
  <c r="AC91" i="484" s="1"/>
  <c r="AD91" i="484" s="1"/>
  <c r="AE91" i="484" s="1"/>
  <c r="AF91" i="484" s="1"/>
  <c r="I91" i="484"/>
  <c r="I86" i="484"/>
  <c r="J86" i="484"/>
  <c r="K86" i="484"/>
  <c r="L86" i="484"/>
  <c r="M86" i="484"/>
  <c r="N86" i="484"/>
  <c r="O86" i="484"/>
  <c r="P86" i="484"/>
  <c r="Q86" i="484"/>
  <c r="R86" i="484"/>
  <c r="S86" i="484"/>
  <c r="T86" i="484"/>
  <c r="U86" i="484"/>
  <c r="V86" i="484"/>
  <c r="W86" i="484"/>
  <c r="X86" i="484"/>
  <c r="Y86" i="484"/>
  <c r="Z86" i="484"/>
  <c r="AA86" i="484"/>
  <c r="AB86" i="484"/>
  <c r="AC86" i="484"/>
  <c r="AD86" i="484"/>
  <c r="AE86" i="484"/>
  <c r="AF86" i="484"/>
  <c r="H76" i="484"/>
  <c r="H75" i="484"/>
  <c r="I73" i="484"/>
  <c r="J73" i="484"/>
  <c r="K73" i="484"/>
  <c r="L73" i="484"/>
  <c r="M73" i="484"/>
  <c r="N73" i="484"/>
  <c r="O73" i="484"/>
  <c r="P73" i="484"/>
  <c r="Q73" i="484"/>
  <c r="R73" i="484"/>
  <c r="S73" i="484"/>
  <c r="T73" i="484"/>
  <c r="U73" i="484"/>
  <c r="V73" i="484"/>
  <c r="W73" i="484"/>
  <c r="X73" i="484"/>
  <c r="Y73" i="484"/>
  <c r="Z73" i="484"/>
  <c r="AA73" i="484"/>
  <c r="AB73" i="484"/>
  <c r="AC73" i="484"/>
  <c r="AD73" i="484"/>
  <c r="AE73" i="484"/>
  <c r="AF73" i="484"/>
  <c r="H63" i="484"/>
  <c r="H62" i="484"/>
  <c r="H60" i="484"/>
  <c r="J66" i="484"/>
  <c r="K66" i="484"/>
  <c r="L66" i="484" s="1"/>
  <c r="M66" i="484" s="1"/>
  <c r="N66" i="484" s="1"/>
  <c r="O66" i="484" s="1"/>
  <c r="P66" i="484" s="1"/>
  <c r="Q66" i="484" s="1"/>
  <c r="R66" i="484" s="1"/>
  <c r="S66" i="484" s="1"/>
  <c r="T66" i="484" s="1"/>
  <c r="U66" i="484" s="1"/>
  <c r="V66" i="484" s="1"/>
  <c r="W66" i="484" s="1"/>
  <c r="X66" i="484" s="1"/>
  <c r="Y66" i="484" s="1"/>
  <c r="Z66" i="484" s="1"/>
  <c r="AA66" i="484" s="1"/>
  <c r="AB66" i="484" s="1"/>
  <c r="AC66" i="484" s="1"/>
  <c r="AD66" i="484" s="1"/>
  <c r="AE66" i="484" s="1"/>
  <c r="AF66" i="484" s="1"/>
  <c r="I66" i="484"/>
  <c r="J65" i="484"/>
  <c r="K65" i="484" s="1"/>
  <c r="L65" i="484" s="1"/>
  <c r="M65" i="484" s="1"/>
  <c r="N65" i="484" s="1"/>
  <c r="O65" i="484" s="1"/>
  <c r="P65" i="484" s="1"/>
  <c r="Q65" i="484" s="1"/>
  <c r="R65" i="484" s="1"/>
  <c r="S65" i="484" s="1"/>
  <c r="T65" i="484" s="1"/>
  <c r="U65" i="484" s="1"/>
  <c r="V65" i="484" s="1"/>
  <c r="W65" i="484" s="1"/>
  <c r="X65" i="484" s="1"/>
  <c r="Y65" i="484" s="1"/>
  <c r="Z65" i="484" s="1"/>
  <c r="AA65" i="484" s="1"/>
  <c r="AB65" i="484" s="1"/>
  <c r="AC65" i="484" s="1"/>
  <c r="AD65" i="484" s="1"/>
  <c r="AE65" i="484" s="1"/>
  <c r="AF65" i="484" s="1"/>
  <c r="I65" i="484"/>
  <c r="I60" i="484"/>
  <c r="J60" i="484"/>
  <c r="K60" i="484"/>
  <c r="L60" i="484"/>
  <c r="M60" i="484"/>
  <c r="N60" i="484"/>
  <c r="O60" i="484"/>
  <c r="P60" i="484"/>
  <c r="Q60" i="484"/>
  <c r="R60" i="484"/>
  <c r="S60" i="484"/>
  <c r="T60" i="484"/>
  <c r="U60" i="484"/>
  <c r="V60" i="484"/>
  <c r="W60" i="484"/>
  <c r="X60" i="484"/>
  <c r="Y60" i="484"/>
  <c r="Z60" i="484"/>
  <c r="AA60" i="484"/>
  <c r="AB60" i="484"/>
  <c r="AC60" i="484"/>
  <c r="AD60" i="484"/>
  <c r="AE60" i="484"/>
  <c r="AF60" i="484"/>
  <c r="H50" i="484"/>
  <c r="H49" i="484"/>
  <c r="H47" i="484"/>
  <c r="J53" i="484"/>
  <c r="K53" i="484"/>
  <c r="L53" i="484" s="1"/>
  <c r="M53" i="484" s="1"/>
  <c r="N53" i="484" s="1"/>
  <c r="O53" i="484" s="1"/>
  <c r="P53" i="484" s="1"/>
  <c r="Q53" i="484" s="1"/>
  <c r="R53" i="484" s="1"/>
  <c r="S53" i="484" s="1"/>
  <c r="T53" i="484" s="1"/>
  <c r="U53" i="484" s="1"/>
  <c r="V53" i="484" s="1"/>
  <c r="W53" i="484" s="1"/>
  <c r="X53" i="484" s="1"/>
  <c r="Y53" i="484" s="1"/>
  <c r="Z53" i="484" s="1"/>
  <c r="AA53" i="484" s="1"/>
  <c r="AB53" i="484" s="1"/>
  <c r="AC53" i="484" s="1"/>
  <c r="AD53" i="484" s="1"/>
  <c r="AE53" i="484" s="1"/>
  <c r="AF53" i="484" s="1"/>
  <c r="I53" i="484"/>
  <c r="J52" i="484"/>
  <c r="K52" i="484" s="1"/>
  <c r="L52" i="484" s="1"/>
  <c r="M52" i="484" s="1"/>
  <c r="N52" i="484" s="1"/>
  <c r="O52" i="484" s="1"/>
  <c r="P52" i="484" s="1"/>
  <c r="Q52" i="484" s="1"/>
  <c r="R52" i="484" s="1"/>
  <c r="S52" i="484" s="1"/>
  <c r="T52" i="484" s="1"/>
  <c r="U52" i="484" s="1"/>
  <c r="V52" i="484" s="1"/>
  <c r="W52" i="484" s="1"/>
  <c r="X52" i="484" s="1"/>
  <c r="Y52" i="484" s="1"/>
  <c r="Z52" i="484" s="1"/>
  <c r="AA52" i="484" s="1"/>
  <c r="AB52" i="484" s="1"/>
  <c r="AC52" i="484" s="1"/>
  <c r="AD52" i="484" s="1"/>
  <c r="AE52" i="484" s="1"/>
  <c r="AF52" i="484" s="1"/>
  <c r="I52" i="484"/>
  <c r="I47" i="484"/>
  <c r="J47" i="484"/>
  <c r="K47" i="484"/>
  <c r="L47" i="484"/>
  <c r="M47" i="484"/>
  <c r="N47" i="484"/>
  <c r="O47" i="484"/>
  <c r="P47" i="484"/>
  <c r="Q47" i="484"/>
  <c r="R47" i="484"/>
  <c r="S47" i="484"/>
  <c r="T47" i="484"/>
  <c r="U47" i="484"/>
  <c r="V47" i="484"/>
  <c r="W47" i="484"/>
  <c r="X47" i="484"/>
  <c r="Y47" i="484"/>
  <c r="Z47" i="484"/>
  <c r="AA47" i="484"/>
  <c r="AB47" i="484"/>
  <c r="AC47" i="484"/>
  <c r="AD47" i="484"/>
  <c r="AE47" i="484"/>
  <c r="AF47" i="484"/>
  <c r="H37" i="484"/>
  <c r="H36" i="484"/>
  <c r="H34" i="484"/>
  <c r="J40" i="484"/>
  <c r="K40" i="484" s="1"/>
  <c r="L40" i="484" s="1"/>
  <c r="M40" i="484" s="1"/>
  <c r="N40" i="484" s="1"/>
  <c r="O40" i="484" s="1"/>
  <c r="P40" i="484" s="1"/>
  <c r="Q40" i="484" s="1"/>
  <c r="R40" i="484" s="1"/>
  <c r="S40" i="484" s="1"/>
  <c r="T40" i="484" s="1"/>
  <c r="U40" i="484" s="1"/>
  <c r="V40" i="484" s="1"/>
  <c r="W40" i="484" s="1"/>
  <c r="X40" i="484" s="1"/>
  <c r="Y40" i="484" s="1"/>
  <c r="Z40" i="484" s="1"/>
  <c r="AA40" i="484" s="1"/>
  <c r="AB40" i="484" s="1"/>
  <c r="AC40" i="484" s="1"/>
  <c r="AD40" i="484" s="1"/>
  <c r="AE40" i="484" s="1"/>
  <c r="AF40" i="484" s="1"/>
  <c r="I40" i="484"/>
  <c r="J39" i="484"/>
  <c r="K39" i="484" s="1"/>
  <c r="L39" i="484" s="1"/>
  <c r="M39" i="484" s="1"/>
  <c r="N39" i="484" s="1"/>
  <c r="O39" i="484" s="1"/>
  <c r="P39" i="484" s="1"/>
  <c r="Q39" i="484" s="1"/>
  <c r="R39" i="484" s="1"/>
  <c r="S39" i="484" s="1"/>
  <c r="T39" i="484" s="1"/>
  <c r="U39" i="484" s="1"/>
  <c r="V39" i="484" s="1"/>
  <c r="W39" i="484" s="1"/>
  <c r="X39" i="484" s="1"/>
  <c r="Y39" i="484" s="1"/>
  <c r="Z39" i="484" s="1"/>
  <c r="AA39" i="484" s="1"/>
  <c r="AB39" i="484" s="1"/>
  <c r="AC39" i="484" s="1"/>
  <c r="AD39" i="484" s="1"/>
  <c r="AE39" i="484" s="1"/>
  <c r="AF39" i="484" s="1"/>
  <c r="I39" i="484"/>
  <c r="I34" i="484"/>
  <c r="J34" i="484"/>
  <c r="K34" i="484"/>
  <c r="L34" i="484"/>
  <c r="M34" i="484"/>
  <c r="N34" i="484"/>
  <c r="O34" i="484"/>
  <c r="P34" i="484"/>
  <c r="Q34" i="484"/>
  <c r="R34" i="484"/>
  <c r="S34" i="484"/>
  <c r="T34" i="484"/>
  <c r="U34" i="484"/>
  <c r="V34" i="484"/>
  <c r="W34" i="484"/>
  <c r="X34" i="484"/>
  <c r="Y34" i="484"/>
  <c r="Z34" i="484"/>
  <c r="AA34" i="484"/>
  <c r="AB34" i="484"/>
  <c r="AC34" i="484"/>
  <c r="AD34" i="484"/>
  <c r="AE34" i="484"/>
  <c r="AF34" i="484"/>
  <c r="H24" i="484"/>
  <c r="H23" i="484"/>
  <c r="H21" i="484"/>
  <c r="J27" i="484"/>
  <c r="K27" i="484"/>
  <c r="L27" i="484" s="1"/>
  <c r="M27" i="484" s="1"/>
  <c r="N27" i="484" s="1"/>
  <c r="O27" i="484" s="1"/>
  <c r="P27" i="484" s="1"/>
  <c r="Q27" i="484" s="1"/>
  <c r="R27" i="484" s="1"/>
  <c r="S27" i="484" s="1"/>
  <c r="T27" i="484" s="1"/>
  <c r="U27" i="484" s="1"/>
  <c r="V27" i="484" s="1"/>
  <c r="W27" i="484" s="1"/>
  <c r="X27" i="484" s="1"/>
  <c r="Y27" i="484" s="1"/>
  <c r="Z27" i="484" s="1"/>
  <c r="AA27" i="484" s="1"/>
  <c r="AB27" i="484" s="1"/>
  <c r="AC27" i="484" s="1"/>
  <c r="AD27" i="484" s="1"/>
  <c r="AE27" i="484" s="1"/>
  <c r="AF27" i="484" s="1"/>
  <c r="I27" i="484"/>
  <c r="J26" i="484"/>
  <c r="K26" i="484" s="1"/>
  <c r="L26" i="484" s="1"/>
  <c r="M26" i="484" s="1"/>
  <c r="N26" i="484" s="1"/>
  <c r="O26" i="484" s="1"/>
  <c r="P26" i="484" s="1"/>
  <c r="Q26" i="484" s="1"/>
  <c r="R26" i="484" s="1"/>
  <c r="S26" i="484" s="1"/>
  <c r="T26" i="484" s="1"/>
  <c r="U26" i="484" s="1"/>
  <c r="V26" i="484" s="1"/>
  <c r="W26" i="484" s="1"/>
  <c r="X26" i="484" s="1"/>
  <c r="Y26" i="484" s="1"/>
  <c r="Z26" i="484" s="1"/>
  <c r="AA26" i="484" s="1"/>
  <c r="AB26" i="484" s="1"/>
  <c r="AC26" i="484" s="1"/>
  <c r="AD26" i="484" s="1"/>
  <c r="AE26" i="484" s="1"/>
  <c r="AF26" i="484" s="1"/>
  <c r="I26" i="484"/>
  <c r="I21" i="484"/>
  <c r="J21" i="484"/>
  <c r="K21" i="484"/>
  <c r="L21" i="484"/>
  <c r="M21" i="484"/>
  <c r="N21" i="484"/>
  <c r="O21" i="484"/>
  <c r="P21" i="484"/>
  <c r="Q21" i="484"/>
  <c r="R21" i="484"/>
  <c r="S21" i="484"/>
  <c r="T21" i="484"/>
  <c r="U21" i="484"/>
  <c r="V21" i="484"/>
  <c r="W21" i="484"/>
  <c r="X21" i="484"/>
  <c r="Y21" i="484"/>
  <c r="Z21" i="484"/>
  <c r="AA21" i="484"/>
  <c r="AB21" i="484"/>
  <c r="AC21" i="484"/>
  <c r="AD21" i="484"/>
  <c r="AE21" i="484"/>
  <c r="AF21" i="484"/>
  <c r="H11" i="484"/>
  <c r="H10" i="484"/>
  <c r="H8" i="484"/>
  <c r="J14" i="484"/>
  <c r="K14" i="484"/>
  <c r="L14" i="484"/>
  <c r="M14" i="484" s="1"/>
  <c r="N14" i="484" s="1"/>
  <c r="O14" i="484" s="1"/>
  <c r="P14" i="484" s="1"/>
  <c r="Q14" i="484" s="1"/>
  <c r="R14" i="484" s="1"/>
  <c r="S14" i="484" s="1"/>
  <c r="T14" i="484" s="1"/>
  <c r="U14" i="484" s="1"/>
  <c r="V14" i="484" s="1"/>
  <c r="W14" i="484" s="1"/>
  <c r="X14" i="484" s="1"/>
  <c r="Y14" i="484" s="1"/>
  <c r="Z14" i="484" s="1"/>
  <c r="AA14" i="484" s="1"/>
  <c r="AB14" i="484" s="1"/>
  <c r="AC14" i="484" s="1"/>
  <c r="AD14" i="484" s="1"/>
  <c r="AE14" i="484" s="1"/>
  <c r="AF14" i="484" s="1"/>
  <c r="I14" i="484"/>
  <c r="J13" i="484"/>
  <c r="K13" i="484" s="1"/>
  <c r="L13" i="484" s="1"/>
  <c r="M13" i="484" s="1"/>
  <c r="N13" i="484" s="1"/>
  <c r="O13" i="484" s="1"/>
  <c r="P13" i="484" s="1"/>
  <c r="Q13" i="484" s="1"/>
  <c r="R13" i="484" s="1"/>
  <c r="S13" i="484" s="1"/>
  <c r="T13" i="484" s="1"/>
  <c r="U13" i="484" s="1"/>
  <c r="V13" i="484" s="1"/>
  <c r="W13" i="484" s="1"/>
  <c r="X13" i="484" s="1"/>
  <c r="Y13" i="484" s="1"/>
  <c r="Z13" i="484" s="1"/>
  <c r="AA13" i="484" s="1"/>
  <c r="AB13" i="484" s="1"/>
  <c r="AC13" i="484" s="1"/>
  <c r="AD13" i="484" s="1"/>
  <c r="AE13" i="484" s="1"/>
  <c r="AF13" i="484" s="1"/>
  <c r="I13" i="484"/>
  <c r="I8" i="484"/>
  <c r="J8" i="484"/>
  <c r="K8" i="484"/>
  <c r="L8" i="484"/>
  <c r="M8" i="484"/>
  <c r="N8" i="484"/>
  <c r="O8" i="484"/>
  <c r="P8" i="484"/>
  <c r="Q8" i="484"/>
  <c r="R8" i="484"/>
  <c r="S8" i="484"/>
  <c r="T8" i="484"/>
  <c r="U8" i="484"/>
  <c r="V8" i="484"/>
  <c r="W8" i="484"/>
  <c r="X8" i="484"/>
  <c r="Y8" i="484"/>
  <c r="Z8" i="484"/>
  <c r="AA8" i="484"/>
  <c r="AB8" i="484"/>
  <c r="AC8" i="484"/>
  <c r="AD8" i="484"/>
  <c r="AE8" i="484"/>
  <c r="AF8" i="484"/>
  <c r="H73" i="484" l="1"/>
  <c r="I79" i="484"/>
  <c r="J79" i="484" s="1"/>
  <c r="K79" i="484" s="1"/>
  <c r="L79" i="484" s="1"/>
  <c r="M79" i="484" s="1"/>
  <c r="N79" i="484" s="1"/>
  <c r="O79" i="484" s="1"/>
  <c r="P79" i="484" s="1"/>
  <c r="Q79" i="484" s="1"/>
  <c r="R79" i="484" s="1"/>
  <c r="S79" i="484" s="1"/>
  <c r="T79" i="484" s="1"/>
  <c r="U79" i="484" s="1"/>
  <c r="V79" i="484" s="1"/>
  <c r="W79" i="484" s="1"/>
  <c r="X79" i="484" s="1"/>
  <c r="Y79" i="484" s="1"/>
  <c r="Z79" i="484" s="1"/>
  <c r="AA79" i="484" s="1"/>
  <c r="AB79" i="484" s="1"/>
  <c r="AC79" i="484" s="1"/>
  <c r="AD79" i="484" s="1"/>
  <c r="AE79" i="484" s="1"/>
  <c r="AF79" i="484" s="1"/>
  <c r="I78" i="484"/>
  <c r="J78" i="484" s="1"/>
  <c r="K78" i="484" s="1"/>
  <c r="L78" i="484" s="1"/>
  <c r="M78" i="484" s="1"/>
  <c r="N78" i="484" s="1"/>
  <c r="O78" i="484" s="1"/>
  <c r="P78" i="484" s="1"/>
  <c r="Q78" i="484" s="1"/>
  <c r="R78" i="484" s="1"/>
  <c r="S78" i="484" s="1"/>
  <c r="T78" i="484" s="1"/>
  <c r="U78" i="484" s="1"/>
  <c r="V78" i="484" s="1"/>
  <c r="W78" i="484" s="1"/>
  <c r="X78" i="484" s="1"/>
  <c r="Y78" i="484" s="1"/>
  <c r="Z78" i="484" s="1"/>
  <c r="AA78" i="484" s="1"/>
  <c r="AB78" i="484" s="1"/>
  <c r="AC78" i="484" s="1"/>
  <c r="AD78" i="484" s="1"/>
  <c r="AE78" i="484" s="1"/>
  <c r="AF78" i="48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Hou, Tony</author>
  </authors>
  <commentList>
    <comment ref="C1" authorId="0" shapeId="0" xr:uid="{B1C99C75-E7E3-4131-BBF6-E29C77CC605A}">
      <text>
        <r>
          <rPr>
            <sz val="9"/>
            <color indexed="81"/>
            <rFont val="Tahoma"/>
            <family val="2"/>
          </rPr>
          <t>Input number 1 to 24</t>
        </r>
      </text>
    </comment>
    <comment ref="D1" authorId="0" shapeId="0" xr:uid="{B12CD632-3EEF-42BC-8BFB-605B02D4A90B}">
      <text>
        <r>
          <rPr>
            <sz val="9"/>
            <color indexed="81"/>
            <rFont val="Tahoma"/>
            <family val="2"/>
          </rPr>
          <t>Input number 1 to 24</t>
        </r>
      </text>
    </comment>
    <comment ref="E1" authorId="0" shapeId="0" xr:uid="{6ED33880-73D5-4475-875B-BBB9BBFB535E}">
      <text>
        <r>
          <rPr>
            <sz val="9"/>
            <color indexed="81"/>
            <rFont val="Tahoma"/>
            <family val="2"/>
          </rPr>
          <t>Choose one option in red columns</t>
        </r>
      </text>
    </comment>
    <comment ref="G1" authorId="0" shapeId="0" xr:uid="{BEC09987-CB04-466E-8D17-6FC7A60D8B8F}">
      <text>
        <r>
          <rPr>
            <sz val="9"/>
            <color indexed="81"/>
            <rFont val="Tahoma"/>
            <family val="2"/>
          </rPr>
          <t>Input v if want to cover NRP</t>
        </r>
      </text>
    </comment>
  </commentList>
</comments>
</file>

<file path=xl/sharedStrings.xml><?xml version="1.0" encoding="utf-8"?>
<sst xmlns="http://schemas.openxmlformats.org/spreadsheetml/2006/main" count="10322" uniqueCount="305">
  <si>
    <t>Diamox Tool</t>
  </si>
  <si>
    <r>
      <rPr>
        <sz val="14"/>
        <color theme="1"/>
        <rFont val="Calibri"/>
        <family val="2"/>
        <scheme val="minor"/>
      </rPr>
      <t>Step 1. Select your input mode</t>
    </r>
    <r>
      <rPr>
        <sz val="18"/>
        <color theme="1"/>
        <rFont val="Calibri"/>
        <family val="2"/>
        <scheme val="minor"/>
      </rPr>
      <t xml:space="preserve"> </t>
    </r>
  </si>
  <si>
    <t>Mode</t>
  </si>
  <si>
    <t>Modifier</t>
  </si>
  <si>
    <t>Upload</t>
  </si>
  <si>
    <t>Format</t>
  </si>
  <si>
    <t>A. Import DSP (B/S view)</t>
  </si>
  <si>
    <t>Instructions</t>
  </si>
  <si>
    <t>Select below format options to display format</t>
  </si>
  <si>
    <t>d. Keep Prior</t>
  </si>
  <si>
    <t>Option List</t>
  </si>
  <si>
    <t>Version Log</t>
  </si>
  <si>
    <t xml:space="preserve">Version </t>
  </si>
  <si>
    <t>Release Date</t>
  </si>
  <si>
    <t>Change</t>
  </si>
  <si>
    <t>1. Fix x4_Upload for VS 
2. Fix  y2_Vscalculation can keep 0 
3. Add some error-proofing</t>
  </si>
  <si>
    <t>Explanation</t>
  </si>
  <si>
    <t>Instruction and Q/A</t>
  </si>
  <si>
    <t>Select below to show detailed instruction and QA</t>
  </si>
  <si>
    <t>I am Developer</t>
  </si>
  <si>
    <t>Instruction</t>
  </si>
  <si>
    <t>Show Explanation</t>
  </si>
  <si>
    <t>1. Copy "FD total prior week" to "FDoverride"</t>
  </si>
  <si>
    <t>SA</t>
  </si>
  <si>
    <t>L85068-001</t>
  </si>
  <si>
    <t>L85069-001</t>
  </si>
  <si>
    <t>L68746-001</t>
  </si>
  <si>
    <t>L82471-001</t>
  </si>
  <si>
    <t>L86338-001</t>
  </si>
  <si>
    <t>L86338-002</t>
  </si>
  <si>
    <t>L31153-001</t>
  </si>
  <si>
    <t>L83262-001</t>
  </si>
  <si>
    <t>915744-001</t>
  </si>
  <si>
    <t>L32771-001</t>
  </si>
  <si>
    <t>L32771-002</t>
  </si>
  <si>
    <t>857698-001</t>
  </si>
  <si>
    <t>857699-001</t>
  </si>
  <si>
    <t>857699-002</t>
  </si>
  <si>
    <t>M24424-001</t>
  </si>
  <si>
    <t>M03408-001</t>
  </si>
  <si>
    <t>L76897-001</t>
  </si>
  <si>
    <t>L04211-002</t>
  </si>
  <si>
    <t>L76510-001</t>
  </si>
  <si>
    <t>L82462-001</t>
  </si>
  <si>
    <t>864764-003</t>
  </si>
  <si>
    <t>864764-004</t>
  </si>
  <si>
    <t>858085-001</t>
  </si>
  <si>
    <t>L05842-002</t>
  </si>
  <si>
    <t>L02487-001</t>
  </si>
  <si>
    <t>L02486-001</t>
  </si>
  <si>
    <t>L61907-001</t>
  </si>
  <si>
    <t>710324-002</t>
  </si>
  <si>
    <t>812744-003</t>
  </si>
  <si>
    <t>812745-003</t>
  </si>
  <si>
    <t>822983-002</t>
  </si>
  <si>
    <t>907772-001</t>
  </si>
  <si>
    <t>L92762-001</t>
  </si>
  <si>
    <t>L93406-001</t>
  </si>
  <si>
    <t>M07761-001</t>
  </si>
  <si>
    <t>M16413-001</t>
  </si>
  <si>
    <t>M16807-001</t>
  </si>
  <si>
    <t>M16808-001</t>
  </si>
  <si>
    <t>M18903-001</t>
  </si>
  <si>
    <t>M18904-001</t>
  </si>
  <si>
    <t>M18905-001</t>
  </si>
  <si>
    <t>M18949-001</t>
  </si>
  <si>
    <t>L84063-001</t>
  </si>
  <si>
    <t>L97190-001</t>
  </si>
  <si>
    <t>L92758-001</t>
  </si>
  <si>
    <t>L92766-001</t>
  </si>
  <si>
    <t>L93554-001</t>
  </si>
  <si>
    <t>L92761-001</t>
  </si>
  <si>
    <t>M18902-001</t>
  </si>
  <si>
    <t>M34571-001</t>
  </si>
  <si>
    <t>M41131-001</t>
  </si>
  <si>
    <t>L83281-001</t>
  </si>
  <si>
    <t>L92759-001</t>
  </si>
  <si>
    <t>1. Add FIR Comparison
2. Add detailed explanation</t>
  </si>
  <si>
    <t>1. Copy weekly FD from Schenker FD(directly download from their website and do not change any format)  and paste to "FD override" on "Calculation" tab
2. Will generate Schenker FD pivot</t>
  </si>
  <si>
    <t>b. Modify Virtual Supply from Modifier Table</t>
  </si>
  <si>
    <t>C. Coppsheet-DSP Comparison for DT FIR</t>
  </si>
  <si>
    <t>B. WIF-DSP Comparison for BU IDM</t>
  </si>
  <si>
    <t>Step 2. Select your modifier for the supply</t>
  </si>
  <si>
    <t>a. Copy Schenker FD to FD Override</t>
  </si>
  <si>
    <t>c. Modify FD Override from Modifier Table</t>
  </si>
  <si>
    <t>Step 3. Select your DSP upload method</t>
  </si>
  <si>
    <t xml:space="preserve">1. Import DSP B/S view and generate calculation / modifier table and Pivot table
2. Please follow the requested DSP format </t>
  </si>
  <si>
    <t>1. Compare discrepancies between DSP FD and L10 WIF response
2. Please follow the requested All WIF format</t>
  </si>
  <si>
    <t>1. Compare discrepancies between DSP FD and L6 FIR Coppsheet
2. Please follow the coppsheet format</t>
  </si>
  <si>
    <t>1. Calculate from "modifier table" and paste to "Virtual supply" on "Calculation" tab
2. Please input starting week /end week number (1-24) and choose either percentage from forecast (e.g., 80%) or a number(e.g., 100,000)</t>
  </si>
  <si>
    <t>1. Calculate from "modifier table" and paste to "FD Override" on "Calculation" tab
2. Please input starting week /end week number (1-24) and choose either percentage from forecast (e.g., 80%) or a number(e.g., 100,000)</t>
  </si>
  <si>
    <t>4. DSP lookup - L10 RCTO (WIF)</t>
  </si>
  <si>
    <t>3. DSP lookup - L10 BUIDM (WIF)</t>
  </si>
  <si>
    <t>5. Copy FIR commitment to DSP (FIR)</t>
  </si>
  <si>
    <t>1. Create CSV (B/S)</t>
  </si>
  <si>
    <t>2. Copy FDoverride and Virtual Supply to imported DSP (B/S)</t>
  </si>
  <si>
    <t>1. Generate 2 csv files for "Fdoverride" and "Virtual supply" from "Calculation" tab at the same location of current file 
2. Mass upload on Fiori</t>
  </si>
  <si>
    <t>1. Direct copy Fdoverride and Virtual supply from "Calculation" tab to selected DSP 
2. Please make sure to select the same DSP as you imported into calculation, the tool will not check if all parts are the same</t>
  </si>
  <si>
    <t>1. Copy coppsheet commitment to DSP (mapping = p/n+ ship-to loc id)
2. Please check format</t>
  </si>
  <si>
    <t>1. Copy WIF commitment to DSP
2. Please check format</t>
  </si>
  <si>
    <t>1. Copy WIF commitment to DSP 
2. Please check format</t>
  </si>
  <si>
    <t>1. Fix some wording
2. Add Modifier table</t>
  </si>
  <si>
    <t>1. Fix small bugs
2. Change B/s format</t>
  </si>
  <si>
    <t>1. Add FD table</t>
  </si>
  <si>
    <t>1. Modify for WIF DSP comparison</t>
  </si>
  <si>
    <t>e. Copy to FDOverride from FD Table</t>
  </si>
  <si>
    <t>f. Copy to Virtual Supply from FD Table</t>
  </si>
  <si>
    <t>D. WOW WIF Comparison for BU IDM</t>
  </si>
  <si>
    <t>g. CRP fair share from CRP Table</t>
  </si>
  <si>
    <t>6. Copy WIF Calculation to DSP (BUIDM)</t>
  </si>
  <si>
    <t>1.BUIDM : WOW</t>
  </si>
  <si>
    <t>1. BUIDM :WOW modification</t>
  </si>
  <si>
    <t>1. Change R18 - DSP checking to new loc code due to Cook
2. Fix crp fair share
3. Add IEC coppsheet checking to multiple</t>
  </si>
  <si>
    <t>Material Number</t>
  </si>
  <si>
    <t>Key Figure</t>
  </si>
  <si>
    <t>Function</t>
  </si>
  <si>
    <t>Turn Off DateChecker</t>
  </si>
  <si>
    <t>Turn On DateChecker (Default)</t>
  </si>
  <si>
    <t>d. Keep Prior WIF less consumption</t>
  </si>
  <si>
    <t>N23211-001</t>
  </si>
  <si>
    <t>1. Add Date Checker function
2. Add Keep Prior less consumption function</t>
  </si>
  <si>
    <t>RCTO part number</t>
  </si>
  <si>
    <t>Ship-To Location ID</t>
  </si>
  <si>
    <t>Ship-From Loc. ID</t>
  </si>
  <si>
    <t>Future Deliveries</t>
  </si>
  <si>
    <t>Feature Type [PRD]</t>
  </si>
  <si>
    <t>Feature Value [PRD]</t>
  </si>
  <si>
    <t>Version</t>
  </si>
  <si>
    <t>Total</t>
  </si>
  <si>
    <t>Past Due Forecast HP View</t>
  </si>
  <si>
    <t>BUILDPLAN</t>
  </si>
  <si>
    <t>Forecast HP View</t>
  </si>
  <si>
    <t>SOI</t>
  </si>
  <si>
    <t>HOI Visible</t>
  </si>
  <si>
    <t>FOI Available Qty</t>
  </si>
  <si>
    <t>WTD Deliveries</t>
  </si>
  <si>
    <t>Future Deliveries Total</t>
  </si>
  <si>
    <t>Virtual Supply</t>
  </si>
  <si>
    <t>Future Deliveries Override</t>
  </si>
  <si>
    <t>Future Deliveries Total Prior Week</t>
  </si>
  <si>
    <t>Cumulative Delta to NRP</t>
  </si>
  <si>
    <t>Cumulative Delta to Prior Commit</t>
  </si>
  <si>
    <t>Start Week</t>
  </si>
  <si>
    <t>End Week</t>
  </si>
  <si>
    <t>Equals to Percentage of NRP</t>
  </si>
  <si>
    <t>Equals to a number</t>
  </si>
  <si>
    <t>Equals to NRP(delta to NRP=0)</t>
  </si>
  <si>
    <t>Values</t>
  </si>
  <si>
    <t xml:space="preserve">10/17/2022 </t>
  </si>
  <si>
    <t xml:space="preserve">10/24/2022 </t>
  </si>
  <si>
    <t xml:space="preserve">10/31/2022 </t>
  </si>
  <si>
    <t xml:space="preserve">11/7/2022 </t>
  </si>
  <si>
    <t xml:space="preserve">11/14/2022 </t>
  </si>
  <si>
    <t xml:space="preserve">11/21/2022 </t>
  </si>
  <si>
    <t xml:space="preserve">11/28/2022 </t>
  </si>
  <si>
    <t xml:space="preserve">12/5/2022 </t>
  </si>
  <si>
    <t xml:space="preserve">12/12/2022 </t>
  </si>
  <si>
    <t xml:space="preserve">12/19/2022 </t>
  </si>
  <si>
    <t xml:space="preserve">12/26/2022 </t>
  </si>
  <si>
    <t xml:space="preserve">1/2/2023 </t>
  </si>
  <si>
    <t xml:space="preserve">1/9/2023 </t>
  </si>
  <si>
    <t xml:space="preserve">1/16/2023 </t>
  </si>
  <si>
    <t xml:space="preserve">1/23/2023 </t>
  </si>
  <si>
    <t xml:space="preserve">1/30/2023 </t>
  </si>
  <si>
    <t xml:space="preserve">2/6/2023 </t>
  </si>
  <si>
    <t xml:space="preserve">2/13/2023 </t>
  </si>
  <si>
    <t xml:space="preserve">2/20/2023 </t>
  </si>
  <si>
    <t xml:space="preserve">2/27/2023 </t>
  </si>
  <si>
    <t xml:space="preserve">3/6/2023 </t>
  </si>
  <si>
    <t>1. Add WTD for B/S
2. Add xg01 for iec copp</t>
  </si>
  <si>
    <t>1. Fix Fdoverride formula</t>
  </si>
  <si>
    <t>h. Keep Previous Commit</t>
  </si>
  <si>
    <t xml:space="preserve">1. Fix Fdoverride formula
2. Add Keep previous commit for crp </t>
  </si>
  <si>
    <t>901571-004</t>
  </si>
  <si>
    <t>AC ADAPTER</t>
  </si>
  <si>
    <t>180W CARMELIAN2 SC</t>
  </si>
  <si>
    <t>0100023638</t>
  </si>
  <si>
    <t>QHUB</t>
  </si>
  <si>
    <t>906329-003</t>
  </si>
  <si>
    <t>120W DELPHIN 7.4MM</t>
  </si>
  <si>
    <t>0100010315</t>
  </si>
  <si>
    <t>918337-002</t>
  </si>
  <si>
    <t>45W USBC DALI PLUS</t>
  </si>
  <si>
    <t>0100026984</t>
  </si>
  <si>
    <t>924942-001</t>
  </si>
  <si>
    <t>230W TUBE RHEA PLUS</t>
  </si>
  <si>
    <t>DUMMYVEND</t>
  </si>
  <si>
    <t>937520-002</t>
  </si>
  <si>
    <t>90W TUBE DORIS</t>
  </si>
  <si>
    <t>L00458-002</t>
  </si>
  <si>
    <t>280W HOLMES</t>
  </si>
  <si>
    <t>L15879-002</t>
  </si>
  <si>
    <t>135W TUBE PANDORA</t>
  </si>
  <si>
    <t>L23960-004</t>
  </si>
  <si>
    <t>65W TUBE KHAOS</t>
  </si>
  <si>
    <t>1HUB</t>
  </si>
  <si>
    <t>L25296-001</t>
  </si>
  <si>
    <t>45W CUPID PLUS</t>
  </si>
  <si>
    <t>0100007302</t>
  </si>
  <si>
    <t>L25296-002</t>
  </si>
  <si>
    <t>L25296-003</t>
  </si>
  <si>
    <t>L25296-004</t>
  </si>
  <si>
    <t>L25298-001</t>
  </si>
  <si>
    <t>65W HERA PLUS</t>
  </si>
  <si>
    <t>L25298-002</t>
  </si>
  <si>
    <t>L25298-003</t>
  </si>
  <si>
    <t>L25298-004</t>
  </si>
  <si>
    <t>L25298-014</t>
  </si>
  <si>
    <t>L25299-001</t>
  </si>
  <si>
    <t>65W EM PLUS</t>
  </si>
  <si>
    <t>L25299-002</t>
  </si>
  <si>
    <t>L30756-003</t>
  </si>
  <si>
    <t>45W WM USBC ZEUS PLUS</t>
  </si>
  <si>
    <t>L30757-002</t>
  </si>
  <si>
    <t>65W WM USBC HADES PLUS</t>
  </si>
  <si>
    <t>L30757-004</t>
  </si>
  <si>
    <t>L31819-002</t>
  </si>
  <si>
    <t>90W ARES PLUS</t>
  </si>
  <si>
    <t>L31819-003</t>
  </si>
  <si>
    <t>L39752-001</t>
  </si>
  <si>
    <t>65W HERA PLUS 7.4MM</t>
  </si>
  <si>
    <t>WHUB</t>
  </si>
  <si>
    <t>L39752-002</t>
  </si>
  <si>
    <t>L39752-003</t>
  </si>
  <si>
    <t>L39752-014</t>
  </si>
  <si>
    <t>L39753-001</t>
  </si>
  <si>
    <t>65W EM PLUS 7.4MM</t>
  </si>
  <si>
    <t>L39753-002</t>
  </si>
  <si>
    <t>L39754-002</t>
  </si>
  <si>
    <t>90W ARES PLUS 7.4MM</t>
  </si>
  <si>
    <t>L39754-003</t>
  </si>
  <si>
    <t>L39754-013</t>
  </si>
  <si>
    <t>L41423-002</t>
  </si>
  <si>
    <t>120W DELPHIN</t>
  </si>
  <si>
    <t>L42206-001</t>
  </si>
  <si>
    <t>L42206-002</t>
  </si>
  <si>
    <t>L42206-003</t>
  </si>
  <si>
    <t>L42206-004</t>
  </si>
  <si>
    <t>L45440-001</t>
  </si>
  <si>
    <t>90W TUBE USBC GAIA PLUS</t>
  </si>
  <si>
    <t>L45440-003</t>
  </si>
  <si>
    <t>L45962-002</t>
  </si>
  <si>
    <t>65W TUBE USBC MISSPIGGY PLUS</t>
  </si>
  <si>
    <t>L45962-007</t>
  </si>
  <si>
    <t>0100024786</t>
  </si>
  <si>
    <t>L48757-001</t>
  </si>
  <si>
    <t>150W VESTA II TUBE</t>
  </si>
  <si>
    <t>L48757-003</t>
  </si>
  <si>
    <t>L55693-002</t>
  </si>
  <si>
    <t>45W CUPID JAPAN PLUS</t>
  </si>
  <si>
    <t>L56543-004</t>
  </si>
  <si>
    <t>180W HYDRA</t>
  </si>
  <si>
    <t>L56786-001</t>
  </si>
  <si>
    <t>L56786-002</t>
  </si>
  <si>
    <t>L56786-003</t>
  </si>
  <si>
    <t>L56786-013</t>
  </si>
  <si>
    <t>L64297-003</t>
  </si>
  <si>
    <t>L65505-001</t>
  </si>
  <si>
    <t>65W CETO USBC</t>
  </si>
  <si>
    <t>L65505-002</t>
  </si>
  <si>
    <t>L65505-003</t>
  </si>
  <si>
    <t>L65505-008</t>
  </si>
  <si>
    <t>0100040448</t>
  </si>
  <si>
    <t>L67851-001</t>
  </si>
  <si>
    <t>150W TYPHON</t>
  </si>
  <si>
    <t>L67851-002</t>
  </si>
  <si>
    <t>L73385-003</t>
  </si>
  <si>
    <t>200W SIREN II TUBE</t>
  </si>
  <si>
    <t>L76393-002</t>
  </si>
  <si>
    <t>230W MEDUSA RPOS</t>
  </si>
  <si>
    <t>L76393-003</t>
  </si>
  <si>
    <t>M31368-002</t>
  </si>
  <si>
    <t>200W ERIS PLUS TUBE</t>
  </si>
  <si>
    <t>M31368-003</t>
  </si>
  <si>
    <t>M34531-003</t>
  </si>
  <si>
    <t>330W HYDRUS NB</t>
  </si>
  <si>
    <t>M35733-003</t>
  </si>
  <si>
    <t>230W RHEA II TUBE</t>
  </si>
  <si>
    <t>M52944-001</t>
  </si>
  <si>
    <t>65W TAROKO TUBE USBC</t>
  </si>
  <si>
    <t>M52944-004</t>
  </si>
  <si>
    <t>M52945-002</t>
  </si>
  <si>
    <t>230W MEDUSA RPOS SC</t>
  </si>
  <si>
    <t>M52945-003</t>
  </si>
  <si>
    <t>M52946-002</t>
  </si>
  <si>
    <t>110W KENTING TUBE USBC</t>
  </si>
  <si>
    <t>M52946-003</t>
  </si>
  <si>
    <t>M52947-002</t>
  </si>
  <si>
    <t>280W WULAI</t>
  </si>
  <si>
    <t>M75197-004</t>
  </si>
  <si>
    <t>M85389-003</t>
  </si>
  <si>
    <t>M85390-003</t>
  </si>
  <si>
    <t>135W TUBE PANDORA II</t>
  </si>
  <si>
    <t>M85391-002</t>
  </si>
  <si>
    <t>90W TUBE DORIS II</t>
  </si>
  <si>
    <t>M85394-003</t>
  </si>
  <si>
    <t>M85395-003</t>
  </si>
  <si>
    <t>M94073-001</t>
  </si>
  <si>
    <t>280W BOWSER TUBE</t>
  </si>
  <si>
    <t>M94073-002</t>
  </si>
  <si>
    <t>N22391-002</t>
  </si>
  <si>
    <t>200W ERIS PLUS TUBE 7.4MM</t>
  </si>
  <si>
    <t xml:space="preserve">9/26/2022 </t>
  </si>
  <si>
    <t xml:space="preserve">10/3/2022 </t>
  </si>
  <si>
    <t xml:space="preserve">10/10/2022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</si>
</sst>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5" x14ac:knownFonts="1">
    <font>
      <sz val="11"/>
      <color theme="1"/>
      <name val="Calibri"/>
      <family val="2"/>
      <scheme val="minor"/>
    </font>
    <font>
      <b/>
      <sz val="11"/>
      <color theme="1"/>
      <name val="Calibri"/>
      <family val="2"/>
      <scheme val="minor"/>
    </font>
    <font>
      <sz val="11"/>
      <name val="Calibri"/>
      <family val="2"/>
      <scheme val="minor"/>
    </font>
    <font>
      <sz val="18"/>
      <color theme="1"/>
      <name val="Calibri"/>
      <family val="2"/>
      <scheme val="minor"/>
    </font>
    <font>
      <sz val="14"/>
      <color theme="1"/>
      <name val="Calibri"/>
      <family val="2"/>
      <scheme val="minor"/>
    </font>
    <font>
      <b/>
      <sz val="12"/>
      <color theme="1"/>
      <name val="Calibri"/>
      <family val="2"/>
      <scheme val="minor"/>
    </font>
    <font>
      <sz val="11"/>
      <color rgb="FFFFFFFF"/>
      <name val="Calibri"/>
      <family val="2"/>
      <scheme val="minor"/>
    </font>
    <font>
      <sz val="11"/>
      <color rgb="FF000000"/>
      <name val="Calibri"/>
      <family val="2"/>
    </font>
    <font>
      <sz val="12"/>
      <color theme="1"/>
      <name val="Calibri"/>
      <family val="2"/>
      <scheme val="minor"/>
    </font>
    <font>
      <sz val="11"/>
      <color rgb="FF000000"/>
      <name val="Calibri"/>
      <family val="2"/>
      <scheme val="minor"/>
    </font>
    <font>
      <b/>
      <sz val="14"/>
      <color theme="1"/>
      <name val="Calibri"/>
      <family val="2"/>
      <scheme val="minor"/>
    </font>
    <font>
      <b/>
      <sz val="14"/>
      <name val="Calibri"/>
      <family val="2"/>
      <scheme val="minor"/>
    </font>
    <font>
      <sz val="14"/>
      <name val="Calibri"/>
      <family val="2"/>
      <scheme val="minor"/>
    </font>
    <font>
      <sz val="11"/>
      <color theme="1"/>
      <name val="Calibri"/>
      <family val="2"/>
      <scheme val="minor"/>
    </font>
    <font>
      <sz val="9"/>
      <color indexed="81"/>
      <name val="Tahoma"/>
      <family val="2"/>
    </font>
  </fonts>
  <fills count="11">
    <fill>
      <patternFill patternType="none"/>
    </fill>
    <fill>
      <patternFill patternType="gray125"/>
    </fill>
    <fill>
      <patternFill patternType="solid">
        <fgColor rgb="FFA3FFA3"/>
        <bgColor indexed="64"/>
      </patternFill>
    </fill>
    <fill>
      <patternFill patternType="solid">
        <fgColor theme="3" tint="0.79998168889431442"/>
        <bgColor indexed="64"/>
      </patternFill>
    </fill>
    <fill>
      <patternFill patternType="solid">
        <fgColor theme="5" tint="0.59999389629810485"/>
        <bgColor indexed="64"/>
      </patternFill>
    </fill>
    <fill>
      <patternFill patternType="solid">
        <fgColor rgb="FFFFFF99"/>
        <bgColor indexed="64"/>
      </patternFill>
    </fill>
    <fill>
      <patternFill patternType="solid">
        <fgColor theme="2"/>
        <bgColor indexed="64"/>
      </patternFill>
    </fill>
    <fill>
      <patternFill patternType="solid">
        <fgColor theme="0" tint="-0.14999847407452621"/>
        <bgColor theme="0" tint="-0.14999847407452621"/>
      </patternFill>
    </fill>
    <fill>
      <patternFill patternType="solid">
        <fgColor theme="4" tint="0.79998168889431442"/>
        <bgColor indexed="64"/>
      </patternFill>
    </fill>
    <fill>
      <patternFill patternType="solid">
        <fgColor rgb="FFC5D9F1"/>
        <bgColor indexed="64"/>
      </patternFill>
    </fill>
    <fill>
      <patternFill patternType="solid">
        <fgColor rgb="FFE6B8B7"/>
        <bgColor indexed="64"/>
      </patternFill>
    </fill>
  </fills>
  <borders count="12">
    <border>
      <left/>
      <right/>
      <top/>
      <bottom/>
      <diagonal/>
    </border>
    <border>
      <left/>
      <right/>
      <top/>
      <bottom style="medium">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theme="1"/>
      </top>
      <bottom style="thin">
        <color theme="1"/>
      </bottom>
      <diagonal/>
    </border>
    <border>
      <left/>
      <right style="medium">
        <color indexed="64"/>
      </right>
      <top/>
      <bottom/>
      <diagonal/>
    </border>
  </borders>
  <cellStyleXfs count="2">
    <xf numFmtId="0" fontId="0" fillId="0" borderId="0"/>
    <xf numFmtId="9" fontId="13" fillId="0" borderId="0" applyFont="0" applyFill="0" applyBorder="0" applyAlignment="0" applyProtection="0"/>
  </cellStyleXfs>
  <cellXfs count="75">
    <xf numFmtId="0" fontId="0" fillId="0" borderId="0" xfId="0"/>
    <xf numFmtId="0" fontId="0" fillId="0" borderId="0" xfId="0" applyAlignment="1"/>
    <xf numFmtId="0" fontId="5" fillId="2" borderId="0" xfId="0" applyFont="1" applyFill="1" applyAlignment="1">
      <alignment vertical="center"/>
    </xf>
    <xf numFmtId="0" fontId="1" fillId="0" borderId="0" xfId="0" applyFont="1" applyAlignment="1">
      <alignment horizontal="left" vertical="center"/>
    </xf>
    <xf numFmtId="0" fontId="1" fillId="0" borderId="0" xfId="0" applyFont="1" applyAlignment="1">
      <alignment vertical="center"/>
    </xf>
    <xf numFmtId="0" fontId="1" fillId="3" borderId="0" xfId="0" applyFont="1" applyFill="1" applyAlignment="1">
      <alignment vertical="center"/>
    </xf>
    <xf numFmtId="0" fontId="1" fillId="4" borderId="0" xfId="0" applyFont="1" applyFill="1" applyAlignment="1">
      <alignment vertical="center"/>
    </xf>
    <xf numFmtId="0" fontId="5" fillId="5" borderId="0" xfId="0" applyFont="1" applyFill="1" applyAlignment="1">
      <alignment vertical="center"/>
    </xf>
    <xf numFmtId="0" fontId="6" fillId="0" borderId="0" xfId="0" applyFont="1"/>
    <xf numFmtId="0" fontId="5" fillId="0" borderId="0" xfId="0" applyFont="1" applyAlignment="1">
      <alignment vertical="center"/>
    </xf>
    <xf numFmtId="0" fontId="0" fillId="0" borderId="0" xfId="0" applyAlignment="1">
      <alignment horizontal="left" vertical="center"/>
    </xf>
    <xf numFmtId="14" fontId="0" fillId="0" borderId="0" xfId="0" applyNumberFormat="1" applyAlignment="1">
      <alignment horizontal="left" vertical="center"/>
    </xf>
    <xf numFmtId="0" fontId="0" fillId="0" borderId="0" xfId="0" applyAlignment="1">
      <alignment horizontal="left" vertical="center" wrapText="1"/>
    </xf>
    <xf numFmtId="0" fontId="8" fillId="0" borderId="0" xfId="0" applyFont="1" applyAlignment="1">
      <alignment horizontal="left" vertical="center"/>
    </xf>
    <xf numFmtId="0" fontId="0" fillId="0" borderId="0" xfId="0" applyAlignment="1">
      <alignment vertical="center"/>
    </xf>
    <xf numFmtId="0" fontId="5" fillId="2" borderId="10" xfId="0" applyFont="1" applyFill="1" applyBorder="1" applyAlignment="1">
      <alignment vertical="center"/>
    </xf>
    <xf numFmtId="0" fontId="1" fillId="3" borderId="10" xfId="0" applyFont="1" applyFill="1" applyBorder="1" applyAlignment="1">
      <alignment vertical="center"/>
    </xf>
    <xf numFmtId="0" fontId="8" fillId="0" borderId="0" xfId="0" applyFont="1"/>
    <xf numFmtId="0" fontId="10" fillId="4" borderId="10" xfId="0" applyFont="1" applyFill="1" applyBorder="1" applyAlignment="1">
      <alignment vertical="center"/>
    </xf>
    <xf numFmtId="0" fontId="8" fillId="7" borderId="0" xfId="0" applyFont="1" applyFill="1" applyAlignment="1">
      <alignment horizontal="left" vertical="center" wrapText="1"/>
    </xf>
    <xf numFmtId="0" fontId="8" fillId="0" borderId="0" xfId="0" applyFont="1" applyAlignment="1">
      <alignment horizontal="left" vertical="center" wrapText="1"/>
    </xf>
    <xf numFmtId="0" fontId="11" fillId="2" borderId="10" xfId="0" applyFont="1" applyFill="1" applyBorder="1" applyAlignment="1">
      <alignment vertical="center"/>
    </xf>
    <xf numFmtId="0" fontId="12" fillId="7" borderId="0" xfId="0" applyFont="1" applyFill="1" applyAlignment="1">
      <alignment horizontal="left" vertical="center"/>
    </xf>
    <xf numFmtId="0" fontId="12" fillId="0" borderId="0" xfId="0" applyFont="1" applyAlignment="1">
      <alignment horizontal="left" vertical="center"/>
    </xf>
    <xf numFmtId="0" fontId="12" fillId="0" borderId="0" xfId="0" applyFont="1"/>
    <xf numFmtId="0" fontId="11" fillId="3" borderId="10" xfId="0" applyFont="1" applyFill="1" applyBorder="1" applyAlignment="1">
      <alignment vertical="center"/>
    </xf>
    <xf numFmtId="0" fontId="11" fillId="4" borderId="10" xfId="0" applyFont="1" applyFill="1" applyBorder="1" applyAlignment="1">
      <alignment vertical="center"/>
    </xf>
    <xf numFmtId="0" fontId="0" fillId="8" borderId="0" xfId="0" applyFill="1" applyAlignment="1">
      <alignment vertical="center"/>
    </xf>
    <xf numFmtId="0" fontId="9" fillId="0" borderId="0" xfId="0" applyFont="1" applyAlignment="1">
      <alignment vertical="center"/>
    </xf>
    <xf numFmtId="49" fontId="0" fillId="0" borderId="0" xfId="0" applyNumberFormat="1" applyAlignment="1">
      <alignment vertical="center"/>
    </xf>
    <xf numFmtId="0" fontId="8" fillId="0" borderId="0" xfId="0" applyFont="1" applyAlignment="1">
      <alignment wrapText="1"/>
    </xf>
    <xf numFmtId="0" fontId="5" fillId="5" borderId="0" xfId="0" applyFont="1" applyFill="1" applyAlignment="1">
      <alignment horizontal="left" vertical="center"/>
    </xf>
    <xf numFmtId="164" fontId="0" fillId="0" borderId="0" xfId="0" applyNumberFormat="1" applyAlignment="1">
      <alignment horizontal="left" vertical="center"/>
    </xf>
    <xf numFmtId="49" fontId="0" fillId="0" borderId="0" xfId="0" applyNumberFormat="1"/>
    <xf numFmtId="0" fontId="1" fillId="0" borderId="1" xfId="0" applyFont="1" applyBorder="1"/>
    <xf numFmtId="14" fontId="1" fillId="0" borderId="1" xfId="0" applyNumberFormat="1" applyFont="1" applyBorder="1"/>
    <xf numFmtId="3" fontId="0" fillId="0" borderId="0" xfId="0" applyNumberFormat="1"/>
    <xf numFmtId="0" fontId="1" fillId="0" borderId="1" xfId="0" applyFont="1" applyBorder="1" applyAlignment="1">
      <alignment horizontal="left"/>
    </xf>
    <xf numFmtId="0" fontId="0" fillId="0" borderId="0" xfId="0" applyAlignment="1">
      <alignment horizontal="left"/>
    </xf>
    <xf numFmtId="49" fontId="0" fillId="0" borderId="0" xfId="0" applyNumberFormat="1" applyAlignment="1">
      <alignment horizontal="left"/>
    </xf>
    <xf numFmtId="0" fontId="0" fillId="0" borderId="1" xfId="0" applyBorder="1" applyAlignment="1">
      <alignment horizontal="left"/>
    </xf>
    <xf numFmtId="49" fontId="0" fillId="0" borderId="1" xfId="0" applyNumberFormat="1" applyBorder="1" applyAlignment="1">
      <alignment horizontal="left"/>
    </xf>
    <xf numFmtId="0" fontId="1" fillId="0" borderId="1" xfId="0" applyFont="1" applyBorder="1" applyAlignment="1">
      <alignment horizontal="right"/>
    </xf>
    <xf numFmtId="14" fontId="1" fillId="0" borderId="1" xfId="0" applyNumberFormat="1" applyFont="1" applyBorder="1" applyAlignment="1">
      <alignment horizontal="right"/>
    </xf>
    <xf numFmtId="3" fontId="0" fillId="0" borderId="0" xfId="0" applyNumberFormat="1" applyAlignment="1">
      <alignment horizontal="right"/>
    </xf>
    <xf numFmtId="3" fontId="0" fillId="0" borderId="1" xfId="0" applyNumberFormat="1" applyBorder="1" applyAlignment="1">
      <alignment horizontal="right"/>
    </xf>
    <xf numFmtId="0" fontId="0" fillId="0" borderId="11" xfId="0" applyBorder="1"/>
    <xf numFmtId="0" fontId="1" fillId="2" borderId="1" xfId="0" applyFont="1" applyFill="1" applyBorder="1"/>
    <xf numFmtId="0" fontId="1" fillId="2" borderId="5" xfId="0" applyFont="1" applyFill="1" applyBorder="1"/>
    <xf numFmtId="0" fontId="1" fillId="10" borderId="1" xfId="0" applyFont="1" applyFill="1" applyBorder="1"/>
    <xf numFmtId="1" fontId="1" fillId="9" borderId="1" xfId="0" applyNumberFormat="1" applyFont="1" applyFill="1" applyBorder="1"/>
    <xf numFmtId="1" fontId="0" fillId="0" borderId="0" xfId="0" applyNumberFormat="1"/>
    <xf numFmtId="1" fontId="1" fillId="9" borderId="5" xfId="0" applyNumberFormat="1" applyFont="1" applyFill="1" applyBorder="1"/>
    <xf numFmtId="1" fontId="0" fillId="0" borderId="11" xfId="0" applyNumberFormat="1" applyBorder="1"/>
    <xf numFmtId="9" fontId="1" fillId="10" borderId="1" xfId="1" applyFont="1" applyFill="1" applyBorder="1"/>
    <xf numFmtId="9" fontId="0" fillId="0" borderId="0" xfId="1" applyFont="1"/>
    <xf numFmtId="1" fontId="1" fillId="10" borderId="1" xfId="0" applyNumberFormat="1" applyFont="1" applyFill="1" applyBorder="1"/>
    <xf numFmtId="0" fontId="0" fillId="0" borderId="0" xfId="0" pivotButton="1"/>
    <xf numFmtId="0" fontId="1" fillId="0" borderId="0" xfId="0" applyFont="1" applyAlignment="1">
      <alignment horizontal="center" vertical="center"/>
    </xf>
    <xf numFmtId="0" fontId="3" fillId="0" borderId="2"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0" fontId="3" fillId="0" borderId="5" xfId="0" applyFont="1" applyBorder="1" applyAlignment="1">
      <alignment horizontal="left" vertical="center"/>
    </xf>
    <xf numFmtId="0" fontId="4" fillId="0" borderId="2" xfId="0" applyFont="1" applyBorder="1" applyAlignment="1">
      <alignment horizontal="left" vertical="center"/>
    </xf>
    <xf numFmtId="0" fontId="2" fillId="6" borderId="2" xfId="0" applyFont="1" applyFill="1" applyBorder="1" applyAlignment="1">
      <alignment horizontal="center" vertical="center"/>
    </xf>
    <xf numFmtId="0" fontId="2" fillId="6" borderId="6" xfId="0" applyFont="1" applyFill="1" applyBorder="1" applyAlignment="1">
      <alignment horizontal="center" vertical="center"/>
    </xf>
    <xf numFmtId="0" fontId="2" fillId="6" borderId="3" xfId="0" applyFont="1" applyFill="1" applyBorder="1" applyAlignment="1">
      <alignment horizontal="center" vertical="center"/>
    </xf>
    <xf numFmtId="0" fontId="2" fillId="6" borderId="4" xfId="0" applyFont="1" applyFill="1" applyBorder="1" applyAlignment="1">
      <alignment horizontal="center" vertical="center"/>
    </xf>
    <xf numFmtId="0" fontId="2" fillId="6" borderId="1" xfId="0" applyFont="1" applyFill="1" applyBorder="1" applyAlignment="1">
      <alignment horizontal="center" vertical="center"/>
    </xf>
    <xf numFmtId="0" fontId="2" fillId="6" borderId="5" xfId="0" applyFont="1" applyFill="1" applyBorder="1" applyAlignment="1">
      <alignment horizontal="center" vertical="center"/>
    </xf>
    <xf numFmtId="0" fontId="3" fillId="0" borderId="6" xfId="0" applyFont="1" applyBorder="1" applyAlignment="1">
      <alignment horizontal="left" vertical="center"/>
    </xf>
    <xf numFmtId="0" fontId="3" fillId="0" borderId="1" xfId="0" applyFont="1" applyBorder="1" applyAlignment="1">
      <alignment horizontal="left" vertical="center"/>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2" fillId="6" borderId="9" xfId="0" applyFont="1" applyFill="1" applyBorder="1" applyAlignment="1">
      <alignment horizontal="center" vertical="center"/>
    </xf>
  </cellXfs>
  <cellStyles count="2">
    <cellStyle name="Normal" xfId="0" builtinId="0"/>
    <cellStyle name="Percent" xfId="1" builtinId="5"/>
  </cellStyles>
  <dxfs count="12">
    <dxf>
      <font>
        <color rgb="FF006100"/>
      </font>
      <fill>
        <patternFill>
          <fgColor indexed="64"/>
          <bgColor rgb="FFC6EFCE"/>
        </patternFill>
      </fill>
    </dxf>
    <dxf>
      <font>
        <color rgb="FF006100"/>
      </font>
      <fill>
        <patternFill>
          <fgColor indexed="64"/>
          <bgColor rgb="FFC6EFCE"/>
        </patternFill>
      </fill>
    </dxf>
    <dxf>
      <font>
        <color rgb="FF9C0006"/>
      </font>
      <fill>
        <patternFill>
          <fgColor indexed="64"/>
          <bgColor rgb="FFFFC7CE"/>
        </patternFill>
      </fill>
    </dxf>
    <dxf>
      <font>
        <color rgb="FF9C0006"/>
      </font>
      <fill>
        <patternFill>
          <fgColor indexed="64"/>
          <bgColor rgb="FFFFC7CE"/>
        </patternFill>
      </fill>
    </dxf>
    <dxf>
      <fill>
        <patternFill>
          <fgColor indexed="64"/>
          <bgColor rgb="FFCCFFFF"/>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alignment vertical="center" textRotation="0" wrapText="0" indent="0" justifyLastLine="0" shrinkToFit="0" readingOrder="0"/>
    </dxf>
    <dxf>
      <alignment horizontal="left" vertical="center" textRotation="0" wrapText="0" indent="0" justifyLastLine="0" shrinkToFit="0" readingOrder="0"/>
    </dxf>
    <dxf>
      <alignment vertical="center" textRotation="0" wrapText="0" indent="0" justifyLastLine="0" shrinkToFit="0" readingOrder="0"/>
    </dxf>
  </dxfs>
  <tableStyles count="0" defaultTableStyle="TableStyleMedium2" defaultPivotStyle="PivotStyleLight16"/>
  <colors>
    <mruColors>
      <color rgb="FFFFFF99"/>
      <color rgb="FF66FFFF"/>
      <color rgb="FFCCFFFF"/>
      <color rgb="FFFFFFFF"/>
      <color rgb="FF4F8CD5"/>
      <color rgb="FF2965AD"/>
      <color rgb="FF0096F0"/>
      <color rgb="FF3178CD"/>
      <color rgb="FF71A2DD"/>
      <color rgb="FF96BAE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6</xdr:row>
          <xdr:rowOff>15240</xdr:rowOff>
        </xdr:from>
        <xdr:to>
          <xdr:col>5</xdr:col>
          <xdr:colOff>0</xdr:colOff>
          <xdr:row>7</xdr:row>
          <xdr:rowOff>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000-000004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15240</xdr:colOff>
          <xdr:row>11</xdr:row>
          <xdr:rowOff>0</xdr:rowOff>
        </xdr:from>
        <xdr:to>
          <xdr:col>5</xdr:col>
          <xdr:colOff>0</xdr:colOff>
          <xdr:row>12</xdr:row>
          <xdr:rowOff>15240</xdr:rowOff>
        </xdr:to>
        <xdr:sp macro="" textlink="">
          <xdr:nvSpPr>
            <xdr:cNvPr id="16395" name="Button 11" hidden="1">
              <a:extLst>
                <a:ext uri="{63B3BB69-23CF-44E3-9099-C40C66FF867C}">
                  <a14:compatExt spid="_x0000_s16395"/>
                </a:ext>
                <a:ext uri="{FF2B5EF4-FFF2-40B4-BE49-F238E27FC236}">
                  <a16:creationId xmlns:a16="http://schemas.microsoft.com/office/drawing/2014/main" id="{00000000-0008-0000-0000-00000B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15240</xdr:colOff>
          <xdr:row>16</xdr:row>
          <xdr:rowOff>0</xdr:rowOff>
        </xdr:from>
        <xdr:to>
          <xdr:col>5</xdr:col>
          <xdr:colOff>15240</xdr:colOff>
          <xdr:row>17</xdr:row>
          <xdr:rowOff>15240</xdr:rowOff>
        </xdr:to>
        <xdr:sp macro="" textlink="">
          <xdr:nvSpPr>
            <xdr:cNvPr id="16398" name="Button 14" hidden="1">
              <a:extLst>
                <a:ext uri="{63B3BB69-23CF-44E3-9099-C40C66FF867C}">
                  <a14:compatExt spid="_x0000_s16398"/>
                </a:ext>
                <a:ext uri="{FF2B5EF4-FFF2-40B4-BE49-F238E27FC236}">
                  <a16:creationId xmlns:a16="http://schemas.microsoft.com/office/drawing/2014/main" id="{00000000-0008-0000-0000-00000E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Click</a:t>
              </a:r>
            </a:p>
          </xdr:txBody>
        </xdr:sp>
        <xdr:clientData fPrintsWithSheet="0"/>
      </xdr:twoCellAnchor>
    </mc:Choice>
    <mc:Fallback/>
  </mc:AlternateContent>
  <xdr:twoCellAnchor>
    <xdr:from>
      <xdr:col>2</xdr:col>
      <xdr:colOff>9710</xdr:colOff>
      <xdr:row>22</xdr:row>
      <xdr:rowOff>1459</xdr:rowOff>
    </xdr:from>
    <xdr:to>
      <xdr:col>15</xdr:col>
      <xdr:colOff>454269</xdr:colOff>
      <xdr:row>33</xdr:row>
      <xdr:rowOff>29955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255287" y="4529497"/>
          <a:ext cx="12541309" cy="212399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t>For general</a:t>
          </a:r>
          <a:r>
            <a:rPr lang="en-GB" sz="1600" baseline="0"/>
            <a:t> users :</a:t>
          </a:r>
          <a:endParaRPr lang="en-GB" sz="1600"/>
        </a:p>
        <a:p>
          <a:endParaRPr lang="en-GB" sz="1600"/>
        </a:p>
        <a:p>
          <a:r>
            <a:rPr lang="en-GB" sz="1400"/>
            <a:t>1. Please follow step1 (mode)</a:t>
          </a:r>
          <a:r>
            <a:rPr lang="en-GB" sz="1400" baseline="0"/>
            <a:t> </a:t>
          </a:r>
          <a:r>
            <a:rPr lang="en-GB" sz="1400"/>
            <a:t>&gt;&gt; step2</a:t>
          </a:r>
          <a:r>
            <a:rPr lang="en-GB" sz="1400" baseline="0"/>
            <a:t> (modifier, if needed) &gt;&gt; step3 (upload) to run code successfully.  If the code ran successfully, it will show a message.</a:t>
          </a:r>
        </a:p>
        <a:p>
          <a:r>
            <a:rPr lang="en-GB" sz="1400" baseline="0"/>
            <a:t>2. For first time users, please check the required format for your mode in format selection and explanation in instruction.</a:t>
          </a:r>
        </a:p>
        <a:p>
          <a:r>
            <a:rPr lang="en-GB" sz="1400" baseline="0"/>
            <a:t>3. Please do </a:t>
          </a:r>
          <a:r>
            <a:rPr lang="en-GB" sz="1400" b="1" baseline="0"/>
            <a:t>not</a:t>
          </a:r>
          <a:r>
            <a:rPr lang="en-GB" sz="1400" baseline="0"/>
            <a:t> change the sheet name and selections name. </a:t>
          </a:r>
        </a:p>
        <a:p>
          <a:r>
            <a:rPr lang="en-GB" sz="1400" baseline="0"/>
            <a:t>4. Log off IBP to increase run time.</a:t>
          </a:r>
        </a:p>
        <a:p>
          <a:r>
            <a:rPr lang="en-GB" sz="1400" baseline="0"/>
            <a:t>5. Please make sure you have imported the right date ( refreshed DSP, latest FD, etc...)</a:t>
          </a:r>
        </a:p>
      </xdr:txBody>
    </xdr:sp>
    <xdr:clientData/>
  </xdr:twoCellAnchor>
  <xdr:twoCellAnchor>
    <xdr:from>
      <xdr:col>2</xdr:col>
      <xdr:colOff>0</xdr:colOff>
      <xdr:row>35</xdr:row>
      <xdr:rowOff>0</xdr:rowOff>
    </xdr:from>
    <xdr:to>
      <xdr:col>22</xdr:col>
      <xdr:colOff>33130</xdr:colOff>
      <xdr:row>46</xdr:row>
      <xdr:rowOff>28496</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1283804" y="6468717"/>
          <a:ext cx="16639761" cy="20328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t>For B/S</a:t>
          </a:r>
          <a:r>
            <a:rPr lang="en-GB" sz="1600" baseline="0"/>
            <a:t> users :</a:t>
          </a:r>
          <a:endParaRPr lang="en-GB" sz="1600"/>
        </a:p>
        <a:p>
          <a:endParaRPr lang="en-GB" sz="1600"/>
        </a:p>
        <a:p>
          <a:r>
            <a:rPr lang="en-GB" sz="1400"/>
            <a:t>1. Please select "A. Import DSP (B/S view)"</a:t>
          </a:r>
          <a:r>
            <a:rPr lang="en-GB" sz="1400" baseline="0"/>
            <a:t>. You can check the format by selecting "DSP (B/S view)" (Important : DSP sheet name should be "</a:t>
          </a:r>
          <a:r>
            <a:rPr lang="en-GB" sz="1400" b="1" baseline="0"/>
            <a:t>DSP HP view</a:t>
          </a:r>
          <a:r>
            <a:rPr lang="en-GB" sz="1400" baseline="0"/>
            <a:t>", and please do not change the KFs and its order).</a:t>
          </a:r>
        </a:p>
        <a:p>
          <a:r>
            <a:rPr lang="en-GB" sz="1400" baseline="0"/>
            <a:t>2. It will generate "calculation" tab after step1. Here you can do manual adjustment or select modifier. (Please remember the upload functions will only take numbers in "FD override" and "Virtual Supply".</a:t>
          </a:r>
        </a:p>
        <a:p>
          <a:r>
            <a:rPr lang="en-GB" sz="1400" baseline="0"/>
            <a:t>3. You can copy schenker FD(please download it first) to FD override in calculation by selecting "a. Copy Schenker FD to Calculation" in step2 modifier.</a:t>
          </a:r>
        </a:p>
        <a:p>
          <a:r>
            <a:rPr lang="en-GB" sz="1400" baseline="0"/>
            <a:t>4. If choose "2. Copy FDoverride and Virtual Supply to imported DSP (B/S)", please make sure DSP is the same as your input DSP.</a:t>
          </a:r>
        </a:p>
      </xdr:txBody>
    </xdr:sp>
    <xdr:clientData/>
  </xdr:twoCellAnchor>
  <xdr:twoCellAnchor>
    <xdr:from>
      <xdr:col>2</xdr:col>
      <xdr:colOff>0</xdr:colOff>
      <xdr:row>46</xdr:row>
      <xdr:rowOff>183173</xdr:rowOff>
    </xdr:from>
    <xdr:to>
      <xdr:col>22</xdr:col>
      <xdr:colOff>29955</xdr:colOff>
      <xdr:row>58</xdr:row>
      <xdr:rowOff>31670</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1274885" y="9004788"/>
          <a:ext cx="16559493" cy="20465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t>For L10</a:t>
          </a:r>
          <a:r>
            <a:rPr lang="en-GB" sz="1600" baseline="0"/>
            <a:t> users :</a:t>
          </a:r>
          <a:endParaRPr lang="en-GB" sz="1600"/>
        </a:p>
        <a:p>
          <a:r>
            <a:rPr lang="en-GB" sz="1400" baseline="0"/>
            <a:t>(to be completed)</a:t>
          </a:r>
          <a:endParaRPr lang="en-GB" sz="1600"/>
        </a:p>
      </xdr:txBody>
    </xdr:sp>
    <xdr:clientData/>
  </xdr:twoCellAnchor>
  <mc:AlternateContent xmlns:mc="http://schemas.openxmlformats.org/markup-compatibility/2006">
    <mc:Choice xmlns:a14="http://schemas.microsoft.com/office/drawing/2010/main" Requires="a14">
      <xdr:twoCellAnchor>
        <xdr:from>
          <xdr:col>8</xdr:col>
          <xdr:colOff>739140</xdr:colOff>
          <xdr:row>10</xdr:row>
          <xdr:rowOff>175260</xdr:rowOff>
        </xdr:from>
        <xdr:to>
          <xdr:col>9</xdr:col>
          <xdr:colOff>601980</xdr:colOff>
          <xdr:row>11</xdr:row>
          <xdr:rowOff>320040</xdr:rowOff>
        </xdr:to>
        <xdr:sp macro="" textlink="">
          <xdr:nvSpPr>
            <xdr:cNvPr id="16411" name="Button 27" hidden="1">
              <a:extLst>
                <a:ext uri="{63B3BB69-23CF-44E3-9099-C40C66FF867C}">
                  <a14:compatExt spid="_x0000_s16411"/>
                </a:ext>
                <a:ext uri="{FF2B5EF4-FFF2-40B4-BE49-F238E27FC236}">
                  <a16:creationId xmlns:a16="http://schemas.microsoft.com/office/drawing/2014/main" id="{00000000-0008-0000-0000-00001B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5</xdr:row>
          <xdr:rowOff>175260</xdr:rowOff>
        </xdr:from>
        <xdr:to>
          <xdr:col>9</xdr:col>
          <xdr:colOff>601980</xdr:colOff>
          <xdr:row>7</xdr:row>
          <xdr:rowOff>7620</xdr:rowOff>
        </xdr:to>
        <xdr:sp macro="" textlink="">
          <xdr:nvSpPr>
            <xdr:cNvPr id="16413" name="Button 29" hidden="1">
              <a:extLst>
                <a:ext uri="{63B3BB69-23CF-44E3-9099-C40C66FF867C}">
                  <a14:compatExt spid="_x0000_s16413"/>
                </a:ext>
                <a:ext uri="{FF2B5EF4-FFF2-40B4-BE49-F238E27FC236}">
                  <a16:creationId xmlns:a16="http://schemas.microsoft.com/office/drawing/2014/main" id="{00000000-0008-0000-0000-00001D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Click</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ou, Tony" refreshedDate="44859.717651851854" createdVersion="3" refreshedVersion="8" minRefreshableVersion="3" recordCount="1287" xr:uid="{D7A92FCB-D9D7-4405-BD1D-B976EBD0D48E}">
  <cacheSource type="worksheet">
    <worksheetSource ref="A1:AF1288" sheet="Calculation"/>
  </cacheSource>
  <cacheFields count="32">
    <cacheField name="Material Number" numFmtId="0">
      <sharedItems count="80">
        <s v="901571-004"/>
        <s v="906329-003"/>
        <s v="918337-002"/>
        <s v="924942-001"/>
        <s v="937520-002"/>
        <s v="L00458-002"/>
        <s v="L15879-002"/>
        <s v="L23960-004"/>
        <s v="L25296-001"/>
        <s v="L25296-002"/>
        <s v="L25296-003"/>
        <s v="L25296-004"/>
        <s v="L25298-001"/>
        <s v="L25298-002"/>
        <s v="L25298-003"/>
        <s v="L25298-004"/>
        <s v="L25298-014"/>
        <s v="L25299-001"/>
        <s v="L25299-002"/>
        <s v="L30756-003"/>
        <s v="L30757-002"/>
        <s v="L30757-004"/>
        <s v="L31819-002"/>
        <s v="L31819-003"/>
        <s v="L39752-001"/>
        <s v="L39752-002"/>
        <s v="L39752-003"/>
        <s v="L39752-014"/>
        <s v="L39753-001"/>
        <s v="L39753-002"/>
        <s v="L39754-002"/>
        <s v="L39754-003"/>
        <s v="L39754-013"/>
        <s v="L41423-002"/>
        <s v="L42206-001"/>
        <s v="L42206-002"/>
        <s v="L42206-003"/>
        <s v="L42206-004"/>
        <s v="L45440-001"/>
        <s v="L45440-003"/>
        <s v="L45962-002"/>
        <s v="L45962-007"/>
        <s v="L48757-001"/>
        <s v="L48757-003"/>
        <s v="L55693-002"/>
        <s v="L56543-004"/>
        <s v="L56786-001"/>
        <s v="L56786-002"/>
        <s v="L56786-003"/>
        <s v="L56786-013"/>
        <s v="L64297-003"/>
        <s v="L65505-001"/>
        <s v="L65505-002"/>
        <s v="L65505-003"/>
        <s v="L65505-008"/>
        <s v="L67851-001"/>
        <s v="L67851-002"/>
        <s v="L73385-003"/>
        <s v="L76393-002"/>
        <s v="L76393-003"/>
        <s v="M31368-002"/>
        <s v="M31368-003"/>
        <s v="M34531-003"/>
        <s v="M35733-003"/>
        <s v="M52944-001"/>
        <s v="M52944-004"/>
        <s v="M52945-002"/>
        <s v="M52945-003"/>
        <s v="M52946-002"/>
        <s v="M52946-003"/>
        <s v="M52947-002"/>
        <s v="M75197-004"/>
        <s v="M85389-003"/>
        <s v="M85390-003"/>
        <s v="M85391-002"/>
        <s v="M85394-003"/>
        <s v="M85395-003"/>
        <s v="M94073-001"/>
        <s v="M94073-002"/>
        <s v="N22391-002"/>
      </sharedItems>
    </cacheField>
    <cacheField name="Feature Type [PRD]" numFmtId="0">
      <sharedItems count="1">
        <s v="AC ADAPTER"/>
      </sharedItems>
    </cacheField>
    <cacheField name="Feature Value [PRD]" numFmtId="0">
      <sharedItems count="38">
        <s v="180W CARMELIAN2 SC"/>
        <s v="120W DELPHIN 7.4MM"/>
        <s v="45W USBC DALI PLUS"/>
        <s v="230W TUBE RHEA PLUS"/>
        <s v="90W TUBE DORIS"/>
        <s v="280W HOLMES"/>
        <s v="135W TUBE PANDORA"/>
        <s v="65W TUBE KHAOS"/>
        <s v="45W CUPID PLUS"/>
        <s v="65W HERA PLUS"/>
        <s v="65W EM PLUS"/>
        <s v="45W WM USBC ZEUS PLUS"/>
        <s v="65W WM USBC HADES PLUS"/>
        <s v="90W ARES PLUS"/>
        <s v="65W HERA PLUS 7.4MM"/>
        <s v="65W EM PLUS 7.4MM"/>
        <s v="90W ARES PLUS 7.4MM"/>
        <s v="120W DELPHIN"/>
        <s v="90W TUBE USBC GAIA PLUS"/>
        <s v="65W TUBE USBC MISSPIGGY PLUS"/>
        <s v="150W VESTA II TUBE"/>
        <s v="45W CUPID JAPAN PLUS"/>
        <s v="180W HYDRA"/>
        <s v="65W CETO USBC"/>
        <s v="150W TYPHON"/>
        <s v="200W SIREN II TUBE"/>
        <s v="230W MEDUSA RPOS"/>
        <s v="200W ERIS PLUS TUBE"/>
        <s v="330W HYDRUS NB"/>
        <s v="230W RHEA II TUBE"/>
        <s v="65W TAROKO TUBE USBC"/>
        <s v="230W MEDUSA RPOS SC"/>
        <s v="110W KENTING TUBE USBC"/>
        <s v="280W WULAI"/>
        <s v="135W TUBE PANDORA II"/>
        <s v="90W TUBE DORIS II"/>
        <s v="280W BOWSER TUBE"/>
        <s v="200W ERIS PLUS TUBE 7.4MM"/>
      </sharedItems>
    </cacheField>
    <cacheField name="Ship-From Loc. ID" numFmtId="49">
      <sharedItems count="7">
        <s v="0100023638"/>
        <s v="0100010315"/>
        <s v="0100026984"/>
        <s v="DUMMYVEND"/>
        <s v="0100007302"/>
        <s v="0100024786"/>
        <s v="0100040448"/>
      </sharedItems>
    </cacheField>
    <cacheField name="Ship-To Location ID" numFmtId="49">
      <sharedItems count="3">
        <s v="QHUB"/>
        <s v="1HUB"/>
        <s v="WHUB"/>
      </sharedItems>
    </cacheField>
    <cacheField name="Key Figure" numFmtId="0">
      <sharedItems count="13">
        <s v="Past Due Forecast HP View"/>
        <s v="Forecast HP View"/>
        <s v="SOI"/>
        <s v="HOI Visible"/>
        <s v="FOI Available Qty"/>
        <s v="WTD Deliveries"/>
        <s v="Future Deliveries Total"/>
        <s v="Future Deliveries"/>
        <s v="Virtual Supply"/>
        <s v="Future Deliveries Override"/>
        <s v="Future Deliveries Total Prior Week"/>
        <s v="Cumulative Delta to NRP"/>
        <s v="Cumulative Delta to Prior Commit"/>
      </sharedItems>
    </cacheField>
    <cacheField name="Version" numFmtId="0">
      <sharedItems count="1">
        <s v="BUILDPLAN"/>
      </sharedItems>
    </cacheField>
    <cacheField name="Total" numFmtId="3">
      <sharedItems containsString="0" containsBlank="1" containsNumber="1" minValue="0" maxValue="4685275" count="382">
        <n v="600"/>
        <n v="17671"/>
        <n v="0"/>
        <m/>
        <n v="62049"/>
        <n v="22"/>
        <n v="29560"/>
        <n v="118"/>
        <n v="14250"/>
        <n v="13"/>
        <n v="50"/>
        <n v="4"/>
        <n v="20574"/>
        <n v="53"/>
        <n v="2890"/>
        <n v="2160"/>
        <n v="24358"/>
        <n v="7584"/>
        <n v="1"/>
        <n v="56832"/>
        <n v="33"/>
        <n v="11"/>
        <n v="10941"/>
        <n v="5593"/>
        <n v="1296"/>
        <n v="2106"/>
        <n v="597"/>
        <n v="81993"/>
        <n v="9072"/>
        <n v="28"/>
        <n v="14429"/>
        <n v="16786.75"/>
        <n v="324479"/>
        <n v="807508"/>
        <n v="27038"/>
        <n v="50544"/>
        <n v="1220448"/>
        <n v="13968"/>
        <n v="92947"/>
        <n v="36576"/>
        <n v="682"/>
        <n v="134761.75"/>
        <n v="725986"/>
        <n v="168384"/>
        <n v="73991"/>
        <n v="86400"/>
        <n v="1877854"/>
        <n v="11847"/>
        <n v="383697"/>
        <n v="9834"/>
        <n v="14055.75"/>
        <n v="52463"/>
        <n v="694976"/>
        <n v="849"/>
        <n v="46080"/>
        <n v="322560"/>
        <n v="17918"/>
        <n v="349078"/>
        <n v="61560"/>
        <n v="23"/>
        <n v="12960"/>
        <n v="368547.75"/>
        <n v="4685275"/>
        <n v="44604"/>
        <n v="5413"/>
        <n v="134460"/>
        <n v="410"/>
        <n v="47539"/>
        <n v="234000"/>
        <n v="17221"/>
        <n v="465592"/>
        <n v="48863"/>
        <n v="738225"/>
        <n v="90000"/>
        <n v="11839"/>
        <n v="403200"/>
        <n v="8611"/>
        <n v="151234"/>
        <n v="149160"/>
        <n v="5078"/>
        <n v="201600"/>
        <n v="1691"/>
        <n v="8243"/>
        <n v="1399"/>
        <n v="18745"/>
        <n v="269730"/>
        <n v="905331"/>
        <n v="27450"/>
        <n v="2518"/>
        <n v="114000"/>
        <n v="4763"/>
        <n v="30"/>
        <n v="146600"/>
        <n v="4158"/>
        <n v="18000"/>
        <n v="126000"/>
        <n v="10328"/>
        <n v="67000"/>
        <n v="222"/>
        <n v="58927"/>
        <n v="548793"/>
        <n v="62240"/>
        <n v="1598"/>
        <n v="160000"/>
        <n v="65.5"/>
        <n v="400.5"/>
        <n v="2112"/>
        <n v="78"/>
        <n v="1232"/>
        <n v="3220"/>
        <n v="2930"/>
        <n v="54639"/>
        <n v="8856"/>
        <n v="3651"/>
        <n v="32400"/>
        <n v="1177"/>
        <n v="38440"/>
        <n v="1196"/>
        <n v="44450"/>
        <n v="114905.5"/>
        <n v="128024"/>
        <n v="963"/>
        <n v="39312"/>
        <n v="64928"/>
        <n v="1708"/>
        <n v="14647"/>
        <n v="43752"/>
        <n v="288690.5"/>
        <n v="43968"/>
        <n v="4349"/>
        <n v="129600"/>
        <n v="22771"/>
        <n v="146299.5"/>
        <n v="51240"/>
        <n v="54720"/>
        <n v="10954"/>
        <n v="31658.5"/>
        <n v="41900"/>
        <n v="8185.5"/>
        <n v="30775.5"/>
        <n v="12820"/>
        <n v="1013"/>
        <n v="10000"/>
        <n v="975"/>
        <n v="375"/>
        <n v="862"/>
        <n v="1248.5"/>
        <n v="1910.5"/>
        <n v="3160"/>
        <n v="8000"/>
        <n v="38472.86"/>
        <n v="322331.7"/>
        <n v="19404"/>
        <n v="3239"/>
        <n v="259200"/>
        <n v="7028.41"/>
        <n v="19442.560000000001"/>
        <n v="17085.73"/>
        <n v="130334.74"/>
        <n v="13788"/>
        <n v="324"/>
        <n v="1576"/>
        <n v="6480"/>
        <n v="116640"/>
        <n v="188"/>
        <n v="4223"/>
        <n v="177719"/>
        <n v="827518"/>
        <n v="138648"/>
        <n v="207004"/>
        <n v="17280"/>
        <n v="142272"/>
        <n v="559"/>
        <n v="21998"/>
        <n v="363012"/>
        <n v="241"/>
        <n v="75000"/>
        <n v="2091"/>
        <n v="59498"/>
        <n v="179968"/>
        <n v="12433"/>
        <n v="50688"/>
        <n v="340992"/>
        <n v="652"/>
        <n v="23575"/>
        <n v="87804"/>
        <n v="421"/>
        <n v="16200"/>
        <n v="121500"/>
        <n v="544"/>
        <n v="28749"/>
        <n v="10"/>
        <n v="95452"/>
        <n v="1259382"/>
        <n v="58916"/>
        <n v="10400"/>
        <n v="342"/>
        <n v="8189"/>
        <n v="6350"/>
        <n v="299"/>
        <n v="1044"/>
        <n v="10662"/>
        <n v="1536"/>
        <n v="768"/>
        <n v="25672"/>
        <n v="172647"/>
        <n v="2336"/>
        <n v="857"/>
        <n v="11520"/>
        <n v="1812"/>
        <n v="10224"/>
        <n v="22500"/>
        <n v="3860"/>
        <n v="28800"/>
        <n v="17974"/>
        <n v="318737"/>
        <n v="29880"/>
        <n v="6630"/>
        <n v="21600"/>
        <n v="418600"/>
        <n v="6966"/>
        <n v="46614"/>
        <n v="11069"/>
        <n v="75014"/>
        <n v="37"/>
        <n v="345"/>
        <n v="13357"/>
        <n v="101009"/>
        <n v="306"/>
        <n v="44994"/>
        <n v="229757"/>
        <n v="5436"/>
        <n v="75136"/>
        <n v="58656"/>
        <n v="158400"/>
        <n v="27263"/>
        <n v="9103"/>
        <n v="416"/>
        <n v="128160"/>
        <n v="7134.11"/>
        <n v="51899.16"/>
        <n v="59130"/>
        <n v="20439"/>
        <n v="220000"/>
        <n v="18255.07"/>
        <n v="218002.92"/>
        <n v="22032"/>
        <n v="16375"/>
        <n v="23616"/>
        <n v="175104"/>
        <n v="5058.38"/>
        <n v="29577.33"/>
        <n v="5637.44"/>
        <n v="55456.59"/>
        <n v="21168"/>
        <n v="37203"/>
        <n v="50112"/>
        <n v="61"/>
        <n v="1123"/>
        <n v="5937"/>
        <n v="145026"/>
        <n v="4346"/>
        <n v="31824"/>
        <n v="178080"/>
        <n v="8578"/>
        <n v="58310"/>
        <n v="4656"/>
        <n v="1110"/>
        <n v="36000"/>
        <n v="86193.02"/>
        <n v="1628342.36"/>
        <n v="119568"/>
        <n v="1488"/>
        <n v="1693"/>
        <n v="345600"/>
        <n v="2217.4899999999998"/>
        <n v="7835.32"/>
        <n v="117420"/>
        <n v="420"/>
        <n v="159"/>
        <n v="230400"/>
        <n v="1139.49"/>
        <n v="5875.32"/>
        <n v="1152"/>
        <n v="115200"/>
        <n v="4172"/>
        <n v="14233"/>
        <n v="19500"/>
        <n v="935"/>
        <n v="37000"/>
        <n v="11088"/>
        <n v="50188"/>
        <n v="1194"/>
        <n v="25344"/>
        <n v="7751"/>
        <n v="53857"/>
        <n v="979"/>
        <n v="242"/>
        <n v="112"/>
        <n v="537.5"/>
        <n v="6219"/>
        <n v="4304"/>
        <n v="7"/>
        <n v="8448"/>
        <n v="4076"/>
        <n v="17575"/>
        <n v="6504"/>
        <n v="1981"/>
        <n v="39491"/>
        <n v="346912"/>
        <n v="23712"/>
        <n v="2139"/>
        <n v="221760"/>
        <n v="1539"/>
        <n v="124"/>
        <n v="937"/>
        <n v="27118"/>
        <n v="7020"/>
        <n v="308"/>
        <n v="1440"/>
        <n v="19296"/>
        <n v="287"/>
        <n v="5867"/>
        <n v="2894"/>
        <n v="136387"/>
        <n v="134100"/>
        <n v="562"/>
        <n v="50500"/>
        <n v="40000"/>
        <n v="17484"/>
        <n v="202222"/>
        <n v="40920"/>
        <n v="15557"/>
        <n v="22176"/>
        <n v="213"/>
        <n v="570.5"/>
        <n v="3200"/>
        <n v="2919"/>
        <n v="9"/>
        <n v="3000"/>
        <n v="457"/>
        <n v="18886"/>
        <n v="80"/>
        <n v="702"/>
        <n v="21737"/>
        <n v="1400"/>
        <n v="2758"/>
        <n v="12067"/>
        <n v="94459"/>
        <n v="8880"/>
        <n v="22950"/>
        <n v="132864"/>
        <n v="11028"/>
        <n v="86892"/>
        <n v="15794"/>
        <n v="5904"/>
        <n v="446"/>
        <n v="1072"/>
        <n v="9473"/>
        <n v="743"/>
        <n v="16859"/>
        <n v="8544"/>
        <n v="566"/>
        <n v="23040"/>
        <n v="823"/>
        <n v="25518"/>
        <n v="35584"/>
        <n v="1438"/>
        <n v="3840"/>
        <n v="99840"/>
        <n v="1358"/>
        <n v="40142"/>
        <n v="1872"/>
        <n v="406"/>
        <n v="10944"/>
        <n v="1806"/>
        <n v="14402"/>
        <n v="77638"/>
        <n v="27360"/>
        <n v="59760"/>
        <n v="506"/>
        <n v="10777"/>
      </sharedItems>
    </cacheField>
    <cacheField name="9/26/2022" numFmtId="3">
      <sharedItems containsString="0" containsBlank="1" containsNumber="1" minValue="-536290" maxValue="973837" count="429">
        <n v="600"/>
        <n v="1681"/>
        <n v="0"/>
        <m/>
        <n v="-2281"/>
        <n v="62049"/>
        <n v="29560"/>
        <n v="-32489"/>
        <n v="2"/>
        <n v="-2"/>
        <n v="14250"/>
        <n v="-14252"/>
        <n v="50"/>
        <n v="20574"/>
        <n v="53"/>
        <n v="20577"/>
        <n v="2160"/>
        <n v="1825"/>
        <n v="7584"/>
        <n v="1"/>
        <n v="3600"/>
        <n v="33"/>
        <n v="-33"/>
        <n v="10941"/>
        <n v="588"/>
        <n v="1296"/>
        <n v="-10233"/>
        <n v="597"/>
        <n v="200"/>
        <n v="9072"/>
        <n v="28"/>
        <n v="8303"/>
        <n v="16786.75"/>
        <n v="4914.25"/>
        <n v="807508"/>
        <n v="27038"/>
        <n v="50544"/>
        <n v="110448"/>
        <n v="973837"/>
        <n v="13968"/>
        <n v="4879"/>
        <n v="36576"/>
        <n v="682"/>
        <n v="18411"/>
        <n v="134761.75"/>
        <n v="43872.25"/>
        <n v="168384"/>
        <n v="73991"/>
        <n v="86400"/>
        <n v="92254"/>
        <n v="242395"/>
        <n v="11847"/>
        <n v="12554"/>
        <n v="9834"/>
        <n v="-14567"/>
        <n v="14055.75"/>
        <n v="3371.25"/>
        <n v="694976"/>
        <n v="849"/>
        <n v="46080"/>
        <n v="724478"/>
        <n v="17918"/>
        <n v="20353"/>
        <n v="61560"/>
        <n v="23"/>
        <n v="23312"/>
        <n v="368547.75"/>
        <n v="217759.25"/>
        <n v="44604"/>
        <n v="5413"/>
        <n v="-536290"/>
        <n v="410"/>
        <n v="708"/>
        <n v="234000"/>
        <n v="17221"/>
        <n v="20592"/>
        <n v="270695"/>
        <n v="48863"/>
        <n v="58397"/>
        <n v="90000"/>
        <n v="11839"/>
        <n v="28800"/>
        <n v="23379"/>
        <n v="8611"/>
        <n v="11896"/>
        <n v="149160"/>
        <n v="5078"/>
        <n v="133731"/>
        <n v="1691"/>
        <n v="531"/>
        <n v="-2222"/>
        <n v="1399"/>
        <n v="2220"/>
        <n v="-3619"/>
        <n v="269730"/>
        <n v="68266"/>
        <n v="27450"/>
        <n v="2518"/>
        <n v="-308028"/>
        <n v="4763"/>
        <n v="146600"/>
        <n v="4158"/>
        <n v="18000"/>
        <n v="6000"/>
        <n v="169995"/>
        <n v="10328"/>
        <n v="7628"/>
        <n v="222"/>
        <n v="-17734"/>
        <n v="58927"/>
        <n v="45758"/>
        <n v="62240"/>
        <n v="1598"/>
        <n v="20000"/>
        <n v="-20847"/>
        <n v="65.5"/>
        <n v="18.5"/>
        <n v="2112"/>
        <n v="78"/>
        <n v="2106"/>
        <n v="1232"/>
        <n v="22"/>
        <n v="1170"/>
        <n v="2930"/>
        <n v="3246"/>
        <n v="8856"/>
        <n v="3651"/>
        <n v="6331"/>
        <n v="1177"/>
        <n v="2146"/>
        <n v="1196"/>
        <n v="-2127"/>
        <n v="44450"/>
        <n v="5450.75"/>
        <n v="128024"/>
        <n v="963"/>
        <n v="39312"/>
        <n v="44928"/>
        <n v="163326.25"/>
        <n v="1708"/>
        <n v="205"/>
        <n v="-1913"/>
        <n v="43752"/>
        <n v="25310.75"/>
        <n v="43968"/>
        <n v="4349"/>
        <n v="21600"/>
        <n v="854.25"/>
        <n v="22771"/>
        <n v="5363.75"/>
        <n v="51240"/>
        <n v="23106.25"/>
        <n v="10954"/>
        <n v="1682.75"/>
        <n v="41900"/>
        <n v="29263.25"/>
        <n v="8185.5"/>
        <n v="1520"/>
        <n v="12820"/>
        <n v="1013"/>
        <n v="4127.5"/>
        <n v="975"/>
        <n v="375"/>
        <n v="862"/>
        <n v="-488"/>
        <n v="1248.5"/>
        <n v="266"/>
        <n v="3160"/>
        <n v="1645.5"/>
        <n v="38472.86"/>
        <n v="13874.3"/>
        <n v="19404"/>
        <n v="3239"/>
        <n v="17280"/>
        <n v="-12424.160000000003"/>
        <n v="7028.41"/>
        <n v="1614.48"/>
        <n v="-8642.89"/>
        <n v="17085.73"/>
        <n v="6082.22"/>
        <n v="13788"/>
        <n v="324"/>
        <n v="1576"/>
        <n v="6480"/>
        <n v="-999.95000000000073"/>
        <n v="188"/>
        <n v="230"/>
        <n v="-418"/>
        <n v="177719"/>
        <n v="29384"/>
        <n v="138648"/>
        <n v="207004"/>
        <n v="155829"/>
        <n v="559"/>
        <n v="945"/>
        <n v="363012"/>
        <n v="241"/>
        <n v="361749"/>
        <n v="2091"/>
        <n v="3248"/>
        <n v="179968"/>
        <n v="12433"/>
        <n v="50688"/>
        <n v="237750"/>
        <n v="652"/>
        <n v="87804"/>
        <n v="421"/>
        <n v="16200"/>
        <n v="103723"/>
        <n v="544"/>
        <n v="60"/>
        <n v="10"/>
        <n v="-594"/>
        <n v="95452"/>
        <n v="55615"/>
        <n v="58916"/>
        <n v="-92128"/>
        <n v="342"/>
        <n v="494"/>
        <n v="6350"/>
        <n v="299"/>
        <n v="5813"/>
        <n v="1044"/>
        <n v="285"/>
        <n v="1536"/>
        <n v="207"/>
        <n v="25672"/>
        <n v="40163"/>
        <n v="2336"/>
        <n v="857"/>
        <n v="-61106"/>
        <n v="1812"/>
        <n v="1157"/>
        <n v="22500"/>
        <n v="3860"/>
        <n v="23391"/>
        <n v="17974"/>
        <n v="18303"/>
        <n v="29880"/>
        <n v="6630"/>
        <n v="21833"/>
        <n v="6966"/>
        <n v="3865"/>
        <n v="-10831"/>
        <n v="11069"/>
        <n v="1584"/>
        <n v="-12643"/>
        <n v="4"/>
        <n v="345"/>
        <n v="340"/>
        <n v="13357"/>
        <n v="7210"/>
        <n v="306"/>
        <n v="-20261"/>
        <n v="44994"/>
        <n v="11594"/>
        <n v="-56243"/>
        <n v="5436"/>
        <n v="3857"/>
        <n v="58656"/>
        <n v="78163"/>
        <n v="4223"/>
        <n v="1215"/>
        <n v="9103"/>
        <n v="416"/>
        <n v="4081"/>
        <n v="7134.11"/>
        <n v="2458.38"/>
        <n v="59130"/>
        <n v="20439"/>
        <n v="69976.509999999995"/>
        <n v="18255.07"/>
        <n v="8289.06"/>
        <n v="22032"/>
        <n v="16375"/>
        <n v="23616"/>
        <n v="52758.87"/>
        <n v="5058.38"/>
        <n v="2344.35"/>
        <n v="-7402.73"/>
        <n v="5637.44"/>
        <n v="2058.21"/>
        <n v="21168"/>
        <n v="37203"/>
        <n v="50112"/>
        <n v="100787.35"/>
        <n v="61"/>
        <n v="125"/>
        <n v="-186"/>
        <n v="525"/>
        <n v="145026"/>
        <n v="4346"/>
        <n v="31824"/>
        <n v="28080"/>
        <n v="208452"/>
        <n v="8578"/>
        <n v="4804"/>
        <n v="4656"/>
        <n v="1110"/>
        <n v="-7616"/>
        <n v="86193.02"/>
        <n v="91871.7"/>
        <n v="119568"/>
        <n v="1488"/>
        <n v="1693"/>
        <n v="-55315.72"/>
        <n v="2217.4899999999998"/>
        <n v="493.15"/>
        <n v="117420"/>
        <n v="420"/>
        <n v="159"/>
        <n v="115288.36"/>
        <n v="1139.49"/>
        <n v="282.14999999999998"/>
        <n v="1152"/>
        <n v="45810.36"/>
        <n v="4172"/>
        <n v="998.5"/>
        <n v="19500"/>
        <n v="935"/>
        <n v="15264.5"/>
        <n v="11088"/>
        <n v="1893.5"/>
        <n v="1194"/>
        <n v="5184"/>
        <n v="-6603.5"/>
        <n v="7751"/>
        <n v="3491"/>
        <n v="-11242"/>
        <n v="979"/>
        <n v="20"/>
        <n v="112"/>
        <n v="-887"/>
        <n v="537.5"/>
        <n v="267"/>
        <n v="4304"/>
        <n v="7"/>
        <n v="3506.5"/>
        <n v="-804.5"/>
        <n v="4076"/>
        <n v="1092"/>
        <n v="6504"/>
        <n v="1981"/>
        <n v="3317"/>
        <n v="39491"/>
        <n v="59367"/>
        <n v="23712"/>
        <n v="2139"/>
        <n v="20160"/>
        <n v="-52847"/>
        <n v="1539"/>
        <n v="-1539"/>
        <n v="937"/>
        <n v="807"/>
        <n v="7020"/>
        <n v="308"/>
        <n v="1440"/>
        <n v="7024"/>
        <n v="287"/>
        <n v="208"/>
        <n v="-495"/>
        <n v="2894"/>
        <n v="4805"/>
        <n v="134100"/>
        <n v="562"/>
        <n v="40500"/>
        <n v="167463"/>
        <n v="-1"/>
        <n v="17484"/>
        <n v="7623"/>
        <n v="40920"/>
        <n v="15557"/>
        <n v="31370"/>
        <n v="213"/>
        <n v="32"/>
        <n v="-245"/>
        <n v="2919"/>
        <n v="9"/>
        <n v="2683"/>
        <n v="457"/>
        <n v="909"/>
        <n v="80"/>
        <n v="-1277"/>
        <n v="702"/>
        <n v="1043"/>
        <n v="-1745"/>
        <n v="1400"/>
        <n v="181"/>
        <n v="-1581"/>
        <n v="12067"/>
        <n v="4140"/>
        <n v="8880"/>
        <n v="22950"/>
        <n v="9216"/>
        <n v="24839"/>
        <n v="11028"/>
        <n v="3262"/>
        <n v="-14290"/>
        <n v="891"/>
        <n v="5904"/>
        <n v="446"/>
        <n v="4227"/>
        <n v="1072"/>
        <n v="268"/>
        <n v="-1340"/>
        <n v="743"/>
        <n v="210"/>
        <n v="8544"/>
        <n v="566"/>
        <n v="8157"/>
        <n v="823"/>
        <n v="1132"/>
        <n v="35584"/>
        <n v="1438"/>
        <n v="3840"/>
        <n v="38907"/>
        <n v="1358"/>
        <n v="1886"/>
        <n v="1872"/>
        <n v="406"/>
        <n v="-966"/>
        <n v="14402"/>
        <n v="19449"/>
        <n v="27360"/>
        <n v="10080"/>
        <n v="3589"/>
        <n v="506"/>
        <n v="734"/>
        <n v="-1212"/>
      </sharedItems>
    </cacheField>
    <cacheField name="10/3/2022" numFmtId="3">
      <sharedItems containsString="0" containsBlank="1" containsNumber="1" minValue="-836728.5" maxValue="969256.5" count="197">
        <m/>
        <n v="1482"/>
        <n v="0"/>
        <n v="-3763"/>
        <n v="-32489"/>
        <n v="2"/>
        <n v="-4"/>
        <n v="-14254"/>
        <n v="20575"/>
        <n v="1721"/>
        <n v="1879"/>
        <n v="9"/>
        <n v="-42"/>
        <n v="409"/>
        <n v="-10642"/>
        <n v="2630"/>
        <n v="5673"/>
        <n v="4580.5"/>
        <n v="969256.5"/>
        <n v="4218"/>
        <n v="14193"/>
        <n v="53791.5"/>
        <n v="188603.5"/>
        <n v="26661"/>
        <n v="-41228"/>
        <n v="3089.5"/>
        <n v="721388.5"/>
        <n v="16200"/>
        <n v="7112"/>
        <n v="300438.5"/>
        <n v="-836728.5"/>
        <n v="693"/>
        <n v="270002"/>
        <n v="53311"/>
        <n v="-29932"/>
        <n v="4739"/>
        <n v="128992"/>
        <n v="801"/>
        <n v="-3023"/>
        <n v="870"/>
        <n v="-4489"/>
        <n v="54229"/>
        <n v="-362257"/>
        <n v="30"/>
        <n v="169965"/>
        <n v="2987"/>
        <n v="-20721"/>
        <n v="41414"/>
        <n v="-62261"/>
        <n v="18"/>
        <n v="2088"/>
        <n v="1152"/>
        <n v="4191"/>
        <n v="2140"/>
        <n v="2154"/>
        <n v="-4281"/>
        <n v="3475.75"/>
        <n v="159850.5"/>
        <n v="224"/>
        <n v="-2137"/>
        <n v="6137.75"/>
        <n v="-5283.5"/>
        <n v="5339.75"/>
        <n v="17766.5"/>
        <n v="1374.75"/>
        <n v="27888.5"/>
        <n v="1097"/>
        <n v="3030.5"/>
        <n v="-488"/>
        <n v="86"/>
        <n v="1559.5"/>
        <n v="13791.59"/>
        <n v="15120"/>
        <n v="-11095.750000000004"/>
        <n v="1578.34"/>
        <n v="-10221.23"/>
        <n v="6170.07"/>
        <n v="6480"/>
        <n v="-690.02000000000044"/>
        <n v="229"/>
        <n v="-647"/>
        <n v="42848"/>
        <n v="42048"/>
        <n v="155029"/>
        <n v="945"/>
        <n v="360804"/>
        <n v="3093"/>
        <n v="36864"/>
        <n v="271521"/>
        <n v="1029"/>
        <n v="102694"/>
        <n v="2105"/>
        <n v="-2699"/>
        <n v="65953"/>
        <n v="-158081"/>
        <n v="475"/>
        <n v="5338"/>
        <n v="625"/>
        <n v="-418"/>
        <n v="3195"/>
        <n v="768"/>
        <n v="-63533"/>
        <n v="603"/>
        <n v="22788"/>
        <n v="16549"/>
        <n v="5284"/>
        <n v="3833"/>
        <n v="-14664"/>
        <n v="4961"/>
        <n v="-17604"/>
        <n v="1"/>
        <n v="339"/>
        <n v="7498"/>
        <n v="-27759"/>
        <n v="12052"/>
        <n v="-68295"/>
        <n v="4058"/>
        <n v="74105"/>
        <n v="1184"/>
        <n v="2897"/>
        <n v="2326.36"/>
        <n v="67650.149999999994"/>
        <n v="9032.32"/>
        <n v="11520"/>
        <n v="55246.55"/>
        <n v="2002.15"/>
        <n v="-9404.8799999999992"/>
        <n v="1984.17"/>
        <n v="98803.180000000008"/>
        <n v="5"/>
        <n v="-191"/>
        <n v="355"/>
        <n v="208097"/>
        <n v="5942"/>
        <n v="-13558"/>
        <n v="80285.600000000006"/>
        <n v="-135601.32"/>
        <n v="926.2"/>
        <n v="114362.16"/>
        <n v="277.2"/>
        <n v="45533.16"/>
        <n v="679"/>
        <n v="14585.5"/>
        <n v="1772"/>
        <n v="1728"/>
        <n v="-6647.5"/>
        <n v="3394"/>
        <n v="-14636"/>
        <n v="20"/>
        <n v="-907"/>
        <n v="254.5"/>
        <n v="3252"/>
        <n v="-1059"/>
        <n v="874"/>
        <n v="2443"/>
        <n v="16590"/>
        <n v="-69437"/>
        <n v="29"/>
        <n v="-1568"/>
        <n v="1295"/>
        <n v="576"/>
        <n v="6305"/>
        <n v="422"/>
        <n v="-917"/>
        <n v="3788"/>
        <n v="163675"/>
        <n v="-1"/>
        <n v="23236"/>
        <n v="8134"/>
        <n v="31.5"/>
        <n v="-276.5"/>
        <n v="2651.5"/>
        <n v="839"/>
        <n v="-2116"/>
        <n v="976"/>
        <n v="-2721"/>
        <n v="156"/>
        <n v="-1737"/>
        <n v="3952"/>
        <n v="20887"/>
        <n v="3698"/>
        <n v="-17988"/>
        <n v="713"/>
        <n v="3514"/>
        <n v="406"/>
        <n v="-1746"/>
        <n v="389"/>
        <n v="7768"/>
        <n v="1103"/>
        <n v="7680"/>
        <n v="45484"/>
        <n v="1823"/>
        <n v="-2789"/>
        <n v="5339"/>
        <n v="-1750"/>
        <n v="671"/>
        <n v="-1883"/>
      </sharedItems>
    </cacheField>
    <cacheField name="10/10/2022" numFmtId="3">
      <sharedItems containsString="0" containsBlank="1" containsNumber="1" minValue="-1185189" maxValue="1024816" count="204">
        <m/>
        <n v="1409"/>
        <n v="0"/>
        <n v="-5172"/>
        <n v="-32489"/>
        <n v="1"/>
        <n v="-5"/>
        <n v="-14255"/>
        <n v="20575"/>
        <n v="1696"/>
        <n v="183"/>
        <n v="-42"/>
        <n v="604"/>
        <n v="-11246"/>
        <n v="12285"/>
        <n v="-6612"/>
        <n v="4440.5"/>
        <n v="60000"/>
        <n v="1024816"/>
        <n v="3980"/>
        <n v="10213"/>
        <n v="59476.5"/>
        <n v="345600"/>
        <n v="474727"/>
        <n v="23755"/>
        <n v="-64983"/>
        <n v="2951.5"/>
        <n v="23040"/>
        <n v="741477"/>
        <n v="13719"/>
        <n v="-6607"/>
        <n v="348460.5"/>
        <n v="-1185189"/>
        <n v="611"/>
        <n v="95000"/>
        <n v="364391"/>
        <n v="51211"/>
        <n v="28800"/>
        <n v="-52343"/>
        <n v="4705"/>
        <n v="124287"/>
        <n v="812"/>
        <n v="-3835"/>
        <n v="586"/>
        <n v="-5075"/>
        <n v="49752"/>
        <n v="19500"/>
        <n v="-392509"/>
        <n v="169965"/>
        <n v="4315"/>
        <n v="-25036"/>
        <n v="24056"/>
        <n v="20000"/>
        <n v="-66317"/>
        <n v="18.5"/>
        <n v="2069.5"/>
        <n v="1133.5"/>
        <n v="3185"/>
        <n v="-1045"/>
        <n v="2120"/>
        <n v="-6401"/>
        <n v="2737.5"/>
        <n v="157113"/>
        <n v="186"/>
        <n v="-2323"/>
        <n v="8668.5"/>
        <n v="21600"/>
        <n v="7648"/>
        <n v="5466.5"/>
        <n v="12300"/>
        <n v="1023.5"/>
        <n v="26865"/>
        <n v="958"/>
        <n v="2072.5"/>
        <n v="-488"/>
        <n v="74"/>
        <n v="1485.5"/>
        <n v="12339.83"/>
        <n v="10800"/>
        <n v="-12635.580000000004"/>
        <n v="1659.67"/>
        <n v="-11880.9"/>
        <n v="5039.5"/>
        <n v="6480"/>
        <n v="750.47999999999956"/>
        <n v="204"/>
        <n v="-851"/>
        <n v="31463"/>
        <n v="100224"/>
        <n v="223790"/>
        <n v="826"/>
        <n v="359978"/>
        <n v="2769"/>
        <n v="50688"/>
        <n v="319440"/>
        <n v="600"/>
        <n v="8100"/>
        <n v="110194"/>
        <n v="2202"/>
        <n v="-4901"/>
        <n v="79233"/>
        <n v="-237314"/>
        <n v="441"/>
        <n v="4897"/>
        <n v="446"/>
        <n v="-864"/>
        <n v="2638"/>
        <n v="-66171"/>
        <n v="535"/>
        <n v="22253"/>
        <n v="17881"/>
        <n v="-12597"/>
        <n v="3577"/>
        <n v="-18241"/>
        <n v="4641"/>
        <n v="-22245"/>
        <n v="338"/>
        <n v="5885"/>
        <n v="-33644"/>
        <n v="14279"/>
        <n v="-82574"/>
        <n v="3613"/>
        <n v="14400"/>
        <n v="84892"/>
        <n v="1136"/>
        <n v="4320"/>
        <n v="6081"/>
        <n v="2024.06"/>
        <n v="10000"/>
        <n v="75626.09"/>
        <n v="8664.4699999999993"/>
        <n v="46582.080000000002"/>
        <n v="1709.62"/>
        <n v="-11114.5"/>
        <n v="1695.85"/>
        <n v="97107.33"/>
        <n v="993"/>
        <n v="-1184"/>
        <n v="349"/>
        <n v="207748"/>
        <n v="4019"/>
        <n v="-17577"/>
        <n v="75397.539999999994"/>
        <n v="-182198.86"/>
        <n v="873.73"/>
        <n v="127888.43000000001"/>
        <n v="257.73"/>
        <n v="19200"/>
        <n v="64475.43"/>
        <n v="619"/>
        <n v="13966.5"/>
        <n v="3359"/>
        <n v="-10006.5"/>
        <n v="3054"/>
        <n v="-17690"/>
        <n v="20"/>
        <n v="-927"/>
        <n v="278.5"/>
        <n v="2973.5"/>
        <n v="-1337.5"/>
        <n v="950"/>
        <n v="1493"/>
        <n v="16256"/>
        <n v="20160"/>
        <n v="-65533"/>
        <n v="-1568"/>
        <n v="801"/>
        <n v="1440"/>
        <n v="6944"/>
        <n v="78"/>
        <n v="-995"/>
        <n v="4769"/>
        <n v="158906"/>
        <n v="-1"/>
        <n v="17865"/>
        <n v="-9731"/>
        <n v="27"/>
        <n v="-303.5"/>
        <n v="2624.5"/>
        <n v="736"/>
        <n v="-2852"/>
        <n v="871"/>
        <n v="-3592"/>
        <n v="148"/>
        <n v="-1885"/>
        <n v="4103"/>
        <n v="10368"/>
        <n v="27152"/>
        <n v="3616"/>
        <n v="-21604"/>
        <n v="705"/>
        <n v="2809"/>
        <n v="291"/>
        <n v="-2037"/>
        <n v="7430"/>
        <n v="989"/>
        <n v="7680"/>
        <n v="52175"/>
        <n v="1620"/>
        <n v="-4409"/>
        <n v="3734"/>
        <n v="-5484"/>
        <n v="670"/>
        <n v="-2553"/>
      </sharedItems>
    </cacheField>
    <cacheField name="10/17/2022" numFmtId="3">
      <sharedItems containsString="0" containsBlank="1" containsNumber="1" minValue="-1421799" maxValue="1170403" count="205">
        <m/>
        <n v="1401"/>
        <n v="0"/>
        <n v="-6573"/>
        <n v="-32489"/>
        <n v="1"/>
        <n v="-6"/>
        <n v="-14256"/>
        <n v="2"/>
        <n v="20573"/>
        <n v="1690"/>
        <n v="-1507"/>
        <n v="-44"/>
        <n v="230"/>
        <n v="-11476"/>
        <n v="7761"/>
        <n v="-14373"/>
        <n v="4413"/>
        <n v="150000"/>
        <n v="1170403"/>
        <n v="3162"/>
        <n v="7051"/>
        <n v="36959"/>
        <n v="172800"/>
        <n v="610568"/>
        <n v="32137"/>
        <n v="-97120"/>
        <n v="2922"/>
        <n v="23040"/>
        <n v="761595"/>
        <n v="11845"/>
        <n v="-18452"/>
        <n v="244710"/>
        <n v="8100"/>
        <n v="-1421799"/>
        <n v="575"/>
        <n v="50000"/>
        <n v="413816"/>
        <n v="31991"/>
        <n v="28800"/>
        <n v="-55534"/>
        <n v="3429"/>
        <n v="120858"/>
        <n v="281"/>
        <n v="-4116"/>
        <n v="501"/>
        <n v="-5576"/>
        <n v="37658"/>
        <n v="-430167"/>
        <n v="169965"/>
        <n v="5371"/>
        <n v="-30407"/>
        <n v="24614"/>
        <n v="20000"/>
        <n v="-70931"/>
        <n v="18.5"/>
        <n v="2051"/>
        <n v="1115"/>
        <n v="3211"/>
        <n v="10800"/>
        <n v="6544"/>
        <n v="2105"/>
        <n v="-8506"/>
        <n v="2937.5"/>
        <n v="154175.5"/>
        <n v="2210"/>
        <n v="-4533"/>
        <n v="12811.5"/>
        <n v="-5163.5"/>
        <n v="6876.5"/>
        <n v="5423.5"/>
        <n v="1199.5"/>
        <n v="25665.5"/>
        <n v="958"/>
        <n v="1114.5"/>
        <n v="-488"/>
        <n v="74"/>
        <n v="1411.5"/>
        <n v="14091.91"/>
        <n v="21600"/>
        <n v="-5127.4900000000034"/>
        <n v="1543.51"/>
        <n v="-13424.41"/>
        <n v="5640.58"/>
        <n v="6480"/>
        <n v="1589.8999999999996"/>
        <n v="171"/>
        <n v="-1022"/>
        <n v="31275"/>
        <n v="192515"/>
        <n v="726"/>
        <n v="359252"/>
        <n v="2373"/>
        <n v="50688"/>
        <n v="367755"/>
        <n v="5190"/>
        <n v="113104"/>
        <n v="7851"/>
        <n v="-12752"/>
        <n v="46395"/>
        <n v="-283709"/>
        <n v="354"/>
        <n v="4543"/>
        <n v="916"/>
        <n v="-1780"/>
        <n v="2718"/>
        <n v="768"/>
        <n v="-68121"/>
        <n v="549"/>
        <n v="21704"/>
        <n v="13567"/>
        <n v="2636"/>
        <n v="2872"/>
        <n v="-21113"/>
        <n v="8446"/>
        <n v="-30691"/>
        <n v="337"/>
        <n v="4676"/>
        <n v="-38320"/>
        <n v="22172"/>
        <n v="-104746"/>
        <n v="3094"/>
        <n v="14400"/>
        <n v="96198"/>
        <n v="1022"/>
        <n v="19459"/>
        <n v="1944.37"/>
        <n v="93681.72"/>
        <n v="8490.44"/>
        <n v="27072"/>
        <n v="65163.64"/>
        <n v="1706.69"/>
        <n v="-12821.19"/>
        <n v="1958.5"/>
        <n v="95148.83"/>
        <n v="-1184"/>
        <n v="207394"/>
        <n v="3261"/>
        <n v="-6438"/>
        <n v="63412.22"/>
        <n v="-216811.08"/>
        <n v="266.39"/>
        <n v="149222.03999999998"/>
        <n v="258.39"/>
        <n v="64217.04"/>
        <n v="608.5"/>
        <n v="13358"/>
        <n v="2739.5"/>
        <n v="3456"/>
        <n v="-9290"/>
        <n v="2558"/>
        <n v="-20248"/>
        <n v="22"/>
        <n v="-949"/>
        <n v="383"/>
        <n v="4224"/>
        <n v="6814.5"/>
        <n v="-1720.5"/>
        <n v="833"/>
        <n v="660"/>
        <n v="20905"/>
        <n v="20160"/>
        <n v="-66278"/>
        <n v="50"/>
        <n v="-1618"/>
        <n v="778"/>
        <n v="1440"/>
        <n v="7606"/>
        <n v="126"/>
        <n v="-1121"/>
        <n v="27183"/>
        <n v="131723"/>
        <n v="-1"/>
        <n v="28217"/>
        <n v="-37948"/>
        <n v="27"/>
        <n v="-330.5"/>
        <n v="2597.5"/>
        <n v="629"/>
        <n v="-3481"/>
        <n v="735"/>
        <n v="-4327"/>
        <n v="151"/>
        <n v="-2036"/>
        <n v="3971"/>
        <n v="10368"/>
        <n v="33549"/>
        <n v="2434"/>
        <n v="-24038"/>
        <n v="529"/>
        <n v="2280"/>
        <n v="484"/>
        <n v="-2521"/>
        <n v="9469"/>
        <n v="-2039"/>
        <n v="1047"/>
        <n v="7680"/>
        <n v="58808"/>
        <n v="1368"/>
        <n v="1152"/>
        <n v="-4625"/>
        <n v="4074"/>
        <n v="-9558"/>
        <n v="669"/>
        <n v="-3222"/>
      </sharedItems>
    </cacheField>
    <cacheField name="10/24/2022" numFmtId="3">
      <sharedItems containsString="0" containsBlank="1" containsNumber="1" minValue="-1717452.25" maxValue="1315955.75" count="211">
        <m/>
        <n v="741"/>
        <n v="0"/>
        <n v="-7314"/>
        <n v="22"/>
        <n v="-32511"/>
        <n v="4"/>
        <n v="-10"/>
        <n v="1"/>
        <n v="-14257"/>
        <n v="20573"/>
        <n v="999"/>
        <n v="4992"/>
        <n v="2486"/>
        <n v="-44"/>
        <n v="556"/>
        <n v="-12032"/>
        <n v="11765"/>
        <n v="9072"/>
        <n v="-17066"/>
        <n v="4447.25"/>
        <n v="150000"/>
        <n v="1315955.75"/>
        <n v="5893"/>
        <n v="1158"/>
        <n v="37929.25"/>
        <n v="172800"/>
        <n v="745438.75"/>
        <n v="22975"/>
        <n v="-120095"/>
        <n v="2402.25"/>
        <n v="23040"/>
        <n v="782232.75"/>
        <n v="17310"/>
        <n v="-35762"/>
        <n v="303753.25"/>
        <n v="8100"/>
        <n v="-1717452.25"/>
        <n v="389"/>
        <n v="50000"/>
        <n v="463427"/>
        <n v="44179"/>
        <n v="28800"/>
        <n v="-70913"/>
        <n v="4508"/>
        <n v="14400"/>
        <n v="130750"/>
        <n v="295"/>
        <n v="-4411"/>
        <n v="871"/>
        <n v="-6447"/>
        <n v="42696"/>
        <n v="4500"/>
        <n v="-468363"/>
        <n v="30000"/>
        <n v="199965"/>
        <n v="3043"/>
        <n v="-33450"/>
        <n v="29390"/>
        <n v="20000"/>
        <n v="-80321"/>
        <n v="19.5"/>
        <n v="2031.5"/>
        <n v="1095.5"/>
        <n v="2831"/>
        <n v="3713"/>
        <n v="2146"/>
        <n v="-10652"/>
        <n v="10287"/>
        <n v="143888.5"/>
        <n v="227"/>
        <n v="-4760"/>
        <n v="14504"/>
        <n v="-19667.5"/>
        <n v="7456"/>
        <n v="-2032.5"/>
        <n v="1281"/>
        <n v="24384.5"/>
        <n v="1209"/>
        <n v="-94.5"/>
        <n v="-488"/>
        <n v="69"/>
        <n v="1342.5"/>
        <n v="15000.09"/>
        <n v="21600"/>
        <n v="1472.4199999999946"/>
        <n v="1379.01"/>
        <n v="-14803.42"/>
        <n v="5943.9"/>
        <n v="6480"/>
        <n v="2126"/>
        <n v="208"/>
        <n v="-1230"/>
        <n v="36446"/>
        <n v="156069"/>
        <n v="696"/>
        <n v="5000"/>
        <n v="363556"/>
        <n v="3173"/>
        <n v="50688"/>
        <n v="415270"/>
        <n v="5160"/>
        <n v="116044"/>
        <n v="4382"/>
        <n v="-17134"/>
        <n v="77066"/>
        <n v="-360775"/>
        <n v="500"/>
        <n v="10000"/>
        <n v="14043"/>
        <n v="550"/>
        <n v="-2330"/>
        <n v="1206"/>
        <n v="768"/>
        <n v="-68559"/>
        <n v="560"/>
        <n v="7200"/>
        <n v="28344"/>
        <n v="15827"/>
        <n v="8409"/>
        <n v="3288"/>
        <n v="-24401"/>
        <n v="6096"/>
        <n v="-36787"/>
        <n v="336"/>
        <n v="5338"/>
        <n v="-43658"/>
        <n v="12045"/>
        <n v="-116791"/>
        <n v="3695"/>
        <n v="106903"/>
        <n v="1276"/>
        <n v="32583"/>
        <n v="2410.17"/>
        <n v="91271.55"/>
        <n v="10223.790000000001"/>
        <n v="77979.850000000006"/>
        <n v="1497.29"/>
        <n v="-14318.48"/>
        <n v="2463.75"/>
        <n v="92685.08"/>
        <n v="-1184"/>
        <n v="103"/>
        <n v="207291"/>
        <n v="2993"/>
        <n v="-9431"/>
        <n v="77849.960000000006"/>
        <n v="-265861.03999999998"/>
        <n v="230.02"/>
        <n v="170592.02"/>
        <n v="196.02"/>
        <n v="38400"/>
        <n v="102421.02"/>
        <n v="606.5"/>
        <n v="12751.5"/>
        <n v="3010.5"/>
        <n v="2304"/>
        <n v="-9996.5"/>
        <n v="2668"/>
        <n v="-22916"/>
        <n v="-971"/>
        <n v="276"/>
        <n v="6538.5"/>
        <n v="-1996.5"/>
        <n v="2751"/>
        <n v="-2091"/>
        <n v="15522"/>
        <n v="20160"/>
        <n v="-61640"/>
        <n v="-1618"/>
        <n v="1025"/>
        <n v="1440"/>
        <n v="8021"/>
        <n v="121"/>
        <n v="-1242"/>
        <n v="14961"/>
        <n v="116762"/>
        <n v="-1"/>
        <n v="18271"/>
        <n v="-56219"/>
        <n v="24.5"/>
        <n v="-355"/>
        <n v="2573"/>
        <n v="885"/>
        <n v="-4366"/>
        <n v="946"/>
        <n v="-5273"/>
        <n v="145"/>
        <n v="-2181"/>
        <n v="4309"/>
        <n v="10368"/>
        <n v="39608"/>
        <n v="3936"/>
        <n v="-27974"/>
        <n v="793"/>
        <n v="1487"/>
        <n v="461"/>
        <n v="-2982"/>
        <n v="249"/>
        <n v="-2288"/>
        <n v="1252"/>
        <n v="7680"/>
        <n v="65236"/>
        <n v="1936"/>
        <n v="1152"/>
        <n v="-5409"/>
        <n v="2108"/>
        <n v="10080"/>
        <n v="-1586"/>
        <n v="625"/>
        <n v="-3847"/>
      </sharedItems>
    </cacheField>
    <cacheField name="10/31/2022" numFmtId="3">
      <sharedItems containsString="0" containsBlank="1" containsNumber="1" minValue="-2037499.25" maxValue="1461312.75" count="204">
        <m/>
        <n v="629"/>
        <n v="0"/>
        <n v="-7943"/>
        <n v="-32511"/>
        <n v="4"/>
        <n v="-14"/>
        <n v="1"/>
        <n v="-14258"/>
        <n v="20573"/>
        <n v="1117"/>
        <n v="1369"/>
        <n v="-44"/>
        <n v="389"/>
        <n v="-12421"/>
        <n v="7577"/>
        <n v="-24643"/>
        <n v="4643"/>
        <n v="150000"/>
        <n v="1461312.75"/>
        <n v="6284"/>
        <n v="-5126"/>
        <n v="50591"/>
        <n v="172800"/>
        <n v="867647.75"/>
        <n v="48784"/>
        <n v="-168879"/>
        <n v="2504"/>
        <n v="23040"/>
        <n v="802768.75"/>
        <n v="17691"/>
        <n v="-53453"/>
        <n v="331387"/>
        <n v="11340"/>
        <n v="-2037499.25"/>
        <n v="359"/>
        <n v="50000"/>
        <n v="513068"/>
        <n v="50046"/>
        <n v="28800"/>
        <n v="-92159"/>
        <n v="9299"/>
        <n v="21600"/>
        <n v="143051"/>
        <n v="648"/>
        <n v="-5059"/>
        <n v="856"/>
        <n v="-7303"/>
        <n v="48838"/>
        <n v="4500"/>
        <n v="-512701"/>
        <n v="20000"/>
        <n v="219965"/>
        <n v="3116"/>
        <n v="-36566"/>
        <n v="30538"/>
        <n v="-110859"/>
        <n v="20"/>
        <n v="2011.5"/>
        <n v="1075.5"/>
        <n v="2785.5"/>
        <n v="927.5"/>
        <n v="2152.5"/>
        <n v="-12804.5"/>
        <n v="5993.5"/>
        <n v="137895"/>
        <n v="229"/>
        <n v="-4989"/>
        <n v="13012.5"/>
        <n v="-11080"/>
        <n v="6791.5"/>
        <n v="10080"/>
        <n v="1256"/>
        <n v="1546.5"/>
        <n v="22838"/>
        <n v="1252.5"/>
        <n v="-1347"/>
        <n v="-488"/>
        <n v="68.5"/>
        <n v="8000"/>
        <n v="9274"/>
        <n v="15631.65"/>
        <n v="7440.769999999995"/>
        <n v="1297.45"/>
        <n v="-16100.87"/>
        <n v="5632.9"/>
        <n v="6480"/>
        <n v="2973.1000000000004"/>
        <n v="213"/>
        <n v="-1443"/>
        <n v="58293"/>
        <n v="97776"/>
        <n v="672"/>
        <n v="382884"/>
        <n v="3164"/>
        <n v="412106"/>
        <n v="2585"/>
        <n v="8100"/>
        <n v="121559"/>
        <n v="4631"/>
        <n v="-21765"/>
        <n v="64393"/>
        <n v="-425168"/>
        <n v="516"/>
        <n v="13527"/>
        <n v="861"/>
        <n v="-3191"/>
        <n v="36397"/>
        <n v="768"/>
        <n v="-104188"/>
        <n v="550"/>
        <n v="27794"/>
        <n v="16043"/>
        <n v="-7634"/>
        <n v="2998"/>
        <n v="-27399"/>
        <n v="8729"/>
        <n v="-45516"/>
        <n v="335"/>
        <n v="4884"/>
        <n v="-48542"/>
        <n v="18617"/>
        <n v="-135408"/>
        <n v="3719"/>
        <n v="103184"/>
        <n v="1338"/>
        <n v="4320"/>
        <n v="35565"/>
        <n v="2683.83"/>
        <n v="108587.72"/>
        <n v="10988.71"/>
        <n v="66991.140000000014"/>
        <n v="1306.75"/>
        <n v="-15625.23"/>
        <n v="2729.71"/>
        <n v="89955.37"/>
        <n v="-1184"/>
        <n v="101"/>
        <n v="257190"/>
        <n v="3834"/>
        <n v="14400"/>
        <n v="1135"/>
        <n v="78583.759999999995"/>
        <n v="-315644.79999999999"/>
        <n v="217.12"/>
        <n v="191974.9"/>
        <n v="186.12"/>
        <n v="102234.90000000001"/>
        <n v="606.5"/>
        <n v="10000"/>
        <n v="22145"/>
        <n v="2650.5"/>
        <n v="-12647"/>
        <n v="2670"/>
        <n v="-25586"/>
        <n v="-991"/>
        <n v="6325.5"/>
        <n v="-2209.5"/>
        <n v="694"/>
        <n v="-2785"/>
        <n v="54066"/>
        <n v="-115706"/>
        <n v="30"/>
        <n v="-1648"/>
        <n v="1288"/>
        <n v="1440"/>
        <n v="8173"/>
        <n v="489"/>
        <n v="-1731"/>
        <n v="5552"/>
        <n v="111210"/>
        <n v="-1"/>
        <n v="6636"/>
        <n v="-62855"/>
        <n v="24.5"/>
        <n v="-379.5"/>
        <n v="2548.5"/>
        <n v="911"/>
        <n v="-5277"/>
        <n v="952"/>
        <n v="-6225"/>
        <n v="146"/>
        <n v="-2327"/>
        <n v="4318"/>
        <n v="19968"/>
        <n v="55258"/>
        <n v="4123"/>
        <n v="-32097"/>
        <n v="784"/>
        <n v="703"/>
        <n v="437"/>
        <n v="-3419"/>
        <n v="715"/>
        <n v="-3003"/>
        <n v="1305"/>
        <n v="7680"/>
        <n v="71611"/>
        <n v="1999"/>
        <n v="1152"/>
        <n v="-6256"/>
        <n v="7772"/>
        <n v="722"/>
        <n v="477"/>
        <n v="-4324"/>
      </sharedItems>
    </cacheField>
    <cacheField name="11/7/2022" numFmtId="3">
      <sharedItems containsString="0" containsBlank="1" containsNumber="1" minValue="-2262861" maxValue="1556916" count="205">
        <m/>
        <n v="645"/>
        <n v="0"/>
        <n v="-8588"/>
        <n v="-32511"/>
        <n v="3"/>
        <n v="-17"/>
        <n v="1"/>
        <n v="-14259"/>
        <n v="20573"/>
        <n v="791"/>
        <n v="578"/>
        <n v="-44"/>
        <n v="189"/>
        <n v="-12610"/>
        <n v="6882"/>
        <n v="-31525"/>
        <n v="4396.75"/>
        <n v="100000"/>
        <n v="1556916"/>
        <n v="6473"/>
        <n v="-11599"/>
        <n v="56005.75"/>
        <n v="115200"/>
        <n v="926842"/>
        <n v="21749"/>
        <n v="-190628"/>
        <n v="2260.75"/>
        <n v="23040"/>
        <n v="823548"/>
        <n v="17020"/>
        <n v="-70473"/>
        <n v="236701.75"/>
        <n v="11340"/>
        <n v="-2262861"/>
        <n v="359"/>
        <n v="512709"/>
        <n v="38596"/>
        <n v="43200"/>
        <n v="-87555"/>
        <n v="5689"/>
        <n v="21600"/>
        <n v="158962"/>
        <n v="337"/>
        <n v="-5396"/>
        <n v="824"/>
        <n v="-8127"/>
        <n v="45309"/>
        <n v="-558010"/>
        <n v="219965"/>
        <n v="3114"/>
        <n v="-39680"/>
        <n v="30874"/>
        <n v="-141733"/>
        <n v="26.5"/>
        <n v="1985"/>
        <n v="1049"/>
        <n v="2786"/>
        <n v="10800"/>
        <n v="8941.5"/>
        <n v="2154"/>
        <n v="-14958.5"/>
        <n v="5951"/>
        <n v="131944"/>
        <n v="263"/>
        <n v="-5252"/>
        <n v="12461"/>
        <n v="-1941"/>
        <n v="6032"/>
        <n v="-4776"/>
        <n v="1235"/>
        <n v="21603"/>
        <n v="1247.5"/>
        <n v="-2594.5"/>
        <n v="-488"/>
        <n v="68.5"/>
        <n v="9205.5"/>
        <n v="13889.15"/>
        <n v="15151.619999999997"/>
        <n v="1297.45"/>
        <n v="-17398.32"/>
        <n v="5589.4"/>
        <n v="6480"/>
        <n v="3863.7000000000007"/>
        <n v="209"/>
        <n v="-1652"/>
        <n v="40206"/>
        <n v="57570"/>
        <n v="671"/>
        <n v="382213"/>
        <n v="3159"/>
        <n v="50688"/>
        <n v="459635"/>
        <n v="1100"/>
        <n v="8100"/>
        <n v="128559"/>
        <n v="3831"/>
        <n v="-25596"/>
        <n v="64501"/>
        <n v="-489669"/>
        <n v="537"/>
        <n v="12990"/>
        <n v="673"/>
        <n v="-3864"/>
        <n v="677"/>
        <n v="768"/>
        <n v="-104097"/>
        <n v="547"/>
        <n v="7200"/>
        <n v="34447"/>
        <n v="15955"/>
        <n v="-23589"/>
        <n v="2998"/>
        <n v="-30397"/>
        <n v="5721"/>
        <n v="-51237"/>
        <n v="2"/>
        <n v="333"/>
        <n v="5021"/>
        <n v="-53563"/>
        <n v="15427"/>
        <n v="-150835"/>
        <n v="3567"/>
        <n v="99617"/>
        <n v="1337"/>
        <n v="55828"/>
        <n v="2483.23"/>
        <n v="106104.49"/>
        <n v="11248.01"/>
        <n v="11520"/>
        <n v="67263.130000000019"/>
        <n v="1248.0899999999999"/>
        <n v="-16873.32"/>
        <n v="2534.67"/>
        <n v="87420.7"/>
        <n v="-1184"/>
        <n v="91"/>
        <n v="257099"/>
        <n v="2932"/>
        <n v="-1797"/>
        <n v="76934.399999999994"/>
        <n v="-392579.19999999995"/>
        <n v="214.8"/>
        <n v="213360.1"/>
        <n v="184.8"/>
        <n v="102050.1"/>
        <n v="615"/>
        <n v="21530"/>
        <n v="3310"/>
        <n v="3456"/>
        <n v="-12501"/>
        <n v="2667"/>
        <n v="-28253"/>
        <n v="20"/>
        <n v="-1011"/>
        <n v="207.5"/>
        <n v="6118"/>
        <n v="-2417"/>
        <n v="694"/>
        <n v="-3479"/>
        <n v="14514"/>
        <n v="20160"/>
        <n v="-110060"/>
        <n v="11"/>
        <n v="-1659"/>
        <n v="1260"/>
        <n v="1440"/>
        <n v="8353"/>
        <n v="504"/>
        <n v="-2235"/>
        <n v="4492"/>
        <n v="106718"/>
        <n v="-1"/>
        <n v="5520"/>
        <n v="-68375"/>
        <n v="24.5"/>
        <n v="-404"/>
        <n v="2524"/>
        <n v="910"/>
        <n v="-6187"/>
        <n v="945"/>
        <n v="-7170"/>
        <n v="145"/>
        <n v="-2472"/>
        <n v="4301"/>
        <n v="10368"/>
        <n v="61325"/>
        <n v="4117"/>
        <n v="-36214"/>
        <n v="762"/>
        <n v="-59"/>
        <n v="357"/>
        <n v="-3776"/>
        <n v="379"/>
        <n v="-3382"/>
        <n v="1329"/>
        <n v="7680"/>
        <n v="77962"/>
        <n v="2001"/>
        <n v="576"/>
        <n v="-7681"/>
        <n v="2073"/>
        <n v="-1351"/>
        <n v="509"/>
        <n v="-4833"/>
      </sharedItems>
    </cacheField>
    <cacheField name="11/14/2022" numFmtId="3">
      <sharedItems containsString="0" containsBlank="1" containsNumber="1" minValue="-2490134.25" maxValue="1652543.75" count="209">
        <m/>
        <n v="657"/>
        <n v="0"/>
        <n v="-9245"/>
        <n v="-32511"/>
        <n v="3"/>
        <n v="-20"/>
        <n v="1"/>
        <n v="-14260"/>
        <n v="20573"/>
        <n v="771"/>
        <n v="-193"/>
        <n v="-44"/>
        <n v="1486"/>
        <n v="2106"/>
        <n v="-11990"/>
        <n v="3393"/>
        <n v="5357"/>
        <n v="-29561"/>
        <n v="4372.25"/>
        <n v="100000"/>
        <n v="1652543.75"/>
        <n v="6183"/>
        <n v="-17782"/>
        <n v="42380.25"/>
        <n v="115200"/>
        <n v="999661.75"/>
        <n v="14279"/>
        <n v="-204907"/>
        <n v="2241.25"/>
        <n v="23040"/>
        <n v="844346.75"/>
        <n v="16270"/>
        <n v="-86743"/>
        <n v="238613.25"/>
        <n v="11340"/>
        <n v="-2490134.25"/>
        <n v="359"/>
        <n v="50000"/>
        <n v="562350"/>
        <n v="33053"/>
        <n v="28800"/>
        <n v="-91808"/>
        <n v="5237"/>
        <n v="21600"/>
        <n v="175325"/>
        <n v="407"/>
        <n v="-5803"/>
        <n v="824"/>
        <n v="-8951"/>
        <n v="44222"/>
        <n v="9000"/>
        <n v="-593232"/>
        <n v="219965"/>
        <n v="3113"/>
        <n v="-42793"/>
        <n v="30472"/>
        <n v="20000"/>
        <n v="-152205"/>
        <n v="20"/>
        <n v="1965"/>
        <n v="1029"/>
        <n v="2800.5"/>
        <n v="6141"/>
        <n v="2153.5"/>
        <n v="-17112"/>
        <n v="5616.75"/>
        <n v="126327.25"/>
        <n v="1198"/>
        <n v="-6450"/>
        <n v="12027.75"/>
        <n v="-13968.75"/>
        <n v="5357.75"/>
        <n v="10080"/>
        <n v="-53.75"/>
        <n v="1234.75"/>
        <n v="20368.25"/>
        <n v="1246"/>
        <n v="-3840.5"/>
        <n v="-488"/>
        <n v="68"/>
        <n v="9137.5"/>
        <n v="14762.65"/>
        <n v="21988.969999999994"/>
        <n v="1297.45"/>
        <n v="-18695.77"/>
        <n v="5587.9"/>
        <n v="6480"/>
        <n v="4755.8000000000011"/>
        <n v="208"/>
        <n v="-1860"/>
        <n v="41330"/>
        <n v="16240"/>
        <n v="671"/>
        <n v="381542"/>
        <n v="3155"/>
        <n v="50688"/>
        <n v="507168"/>
        <n v="2810"/>
        <n v="8100"/>
        <n v="133849"/>
        <n v="709"/>
        <n v="-26305"/>
        <n v="58863"/>
        <n v="-548532"/>
        <n v="572"/>
        <n v="12418"/>
        <n v="823"/>
        <n v="-4687"/>
        <n v="706"/>
        <n v="768"/>
        <n v="-104035"/>
        <n v="480"/>
        <n v="33967"/>
        <n v="16167"/>
        <n v="-18156"/>
        <n v="3197"/>
        <n v="-33594"/>
        <n v="3099"/>
        <n v="-54336"/>
        <n v="330"/>
        <n v="5353"/>
        <n v="-58916"/>
        <n v="11272"/>
        <n v="-162107"/>
        <n v="4857"/>
        <n v="14400"/>
        <n v="109160"/>
        <n v="1374"/>
        <n v="4320"/>
        <n v="58774"/>
        <n v="2483.23"/>
        <n v="10000"/>
        <n v="113621.26000000001"/>
        <n v="11384.01"/>
        <n v="11520"/>
        <n v="67399.120000000024"/>
        <n v="1308.0899999999999"/>
        <n v="-18181.41"/>
        <n v="2536.67"/>
        <n v="84884.03"/>
        <n v="-1184"/>
        <n v="91"/>
        <n v="257008"/>
        <n v="2931"/>
        <n v="-4728"/>
        <n v="77491.38"/>
        <n v="-441270.57999999996"/>
        <n v="221.81"/>
        <n v="234738.29"/>
        <n v="183.81"/>
        <n v="19200"/>
        <n v="121066.29000000001"/>
        <n v="606.5"/>
        <n v="20923.5"/>
        <n v="2706.5"/>
        <n v="-15207.5"/>
        <n v="2692"/>
        <n v="-30945"/>
        <n v="-1031"/>
        <n v="383"/>
        <n v="5735"/>
        <n v="-2800"/>
        <n v="818"/>
        <n v="-4297"/>
        <n v="11974"/>
        <n v="20160"/>
        <n v="-101874"/>
        <n v="-1659"/>
        <n v="1257"/>
        <n v="1440"/>
        <n v="8536"/>
        <n v="390"/>
        <n v="-2625"/>
        <n v="5420"/>
        <n v="101298"/>
        <n v="9999"/>
        <n v="6611"/>
        <n v="-74986"/>
        <n v="24.5"/>
        <n v="-428.5"/>
        <n v="2499.5"/>
        <n v="910"/>
        <n v="-7097"/>
        <n v="943"/>
        <n v="-8113"/>
        <n v="145"/>
        <n v="-2617"/>
        <n v="4299"/>
        <n v="10368"/>
        <n v="67394"/>
        <n v="4117"/>
        <n v="-40331"/>
        <n v="765"/>
        <n v="-824"/>
        <n v="670"/>
        <n v="-4446"/>
        <n v="501"/>
        <n v="-3883"/>
        <n v="1369"/>
        <n v="7680"/>
        <n v="84273"/>
        <n v="2010"/>
        <n v="576"/>
        <n v="-9115"/>
        <n v="2017"/>
        <n v="6712"/>
        <n v="528"/>
        <n v="-5361"/>
      </sharedItems>
    </cacheField>
    <cacheField name="11/21/2022" numFmtId="3">
      <sharedItems containsString="0" containsBlank="1" containsNumber="1" minValue="-2723158.75" maxValue="1798115.25" count="209">
        <m/>
        <n v="574"/>
        <n v="0"/>
        <n v="-9819"/>
        <n v="-32511"/>
        <n v="4"/>
        <n v="-24"/>
        <n v="1"/>
        <n v="-14261"/>
        <n v="20573"/>
        <n v="1114"/>
        <n v="7680"/>
        <n v="6373"/>
        <n v="-44"/>
        <n v="460"/>
        <n v="-12450"/>
        <n v="3887"/>
        <n v="-33448"/>
        <n v="4428.5"/>
        <n v="150000"/>
        <n v="1798115.25"/>
        <n v="5538"/>
        <n v="-23320"/>
        <n v="32554.5"/>
        <n v="115200"/>
        <n v="1082307.25"/>
        <n v="22029"/>
        <n v="-226936"/>
        <n v="2210.5"/>
        <n v="23040"/>
        <n v="865176.25"/>
        <n v="15736"/>
        <n v="-102479"/>
        <n v="244364.5"/>
        <n v="11340"/>
        <n v="-2723158.75"/>
        <n v="297"/>
        <n v="562053"/>
        <n v="35039"/>
        <n v="28800"/>
        <n v="-98047"/>
        <n v="11194"/>
        <n v="21600"/>
        <n v="185731"/>
        <n v="1090"/>
        <n v="-6893"/>
        <n v="802"/>
        <n v="-9753"/>
        <n v="47702"/>
        <n v="9000"/>
        <n v="-631934"/>
        <n v="20000"/>
        <n v="239965"/>
        <n v="2968"/>
        <n v="-45761"/>
        <n v="31886"/>
        <n v="-164091"/>
        <n v="16"/>
        <n v="1949"/>
        <n v="1013"/>
        <n v="2198.5"/>
        <n v="3942.5"/>
        <n v="1608.5"/>
        <n v="-18720.5"/>
        <n v="5433"/>
        <n v="120894.25"/>
        <n v="222"/>
        <n v="-6672"/>
        <n v="11071"/>
        <n v="-25039.75"/>
        <n v="-6426.75"/>
        <n v="1314"/>
        <n v="19054.25"/>
        <n v="1291"/>
        <n v="-5131.5"/>
        <n v="-488"/>
        <n v="72"/>
        <n v="9065.5"/>
        <n v="16960.259999999998"/>
        <n v="26628.709999999995"/>
        <n v="997.56"/>
        <n v="-19693.330000000002"/>
        <n v="5546.18"/>
        <n v="10800"/>
        <n v="10009.620000000001"/>
        <n v="200"/>
        <n v="-2060"/>
        <n v="30967"/>
        <n v="-14727"/>
        <n v="637"/>
        <n v="380905"/>
        <n v="3019"/>
        <n v="50688"/>
        <n v="554837"/>
        <n v="1120"/>
        <n v="8100"/>
        <n v="140829"/>
        <n v="571"/>
        <n v="-26876"/>
        <n v="51618"/>
        <n v="-600150"/>
        <n v="639"/>
        <n v="11779"/>
        <n v="774"/>
        <n v="-5461"/>
        <n v="784"/>
        <n v="1536"/>
        <n v="-103283"/>
        <n v="450"/>
        <n v="33517"/>
        <n v="15493"/>
        <n v="-33649"/>
        <n v="2651"/>
        <n v="-36245"/>
        <n v="2211"/>
        <n v="-56547"/>
        <n v="7"/>
        <n v="323"/>
        <n v="4550"/>
        <n v="-63466"/>
        <n v="11720"/>
        <n v="-173827"/>
        <n v="5660"/>
        <n v="14400"/>
        <n v="117900"/>
        <n v="1254"/>
        <n v="79120"/>
        <n v="2289.17"/>
        <n v="131332.09"/>
        <n v="11454.54"/>
        <n v="11520"/>
        <n v="67464.580000000016"/>
        <n v="1594.94"/>
        <n v="-19776.349999999999"/>
        <n v="2503.35"/>
        <n v="82380.679999999993"/>
        <n v="-1184"/>
        <n v="1780"/>
        <n v="50000"/>
        <n v="305228"/>
        <n v="2933"/>
        <n v="-7661"/>
        <n v="79105.399999999994"/>
        <n v="-491575.98"/>
        <n v="219.8"/>
        <n v="256118.49000000002"/>
        <n v="184.8"/>
        <n v="120881.49"/>
        <n v="569"/>
        <n v="2000"/>
        <n v="22354.5"/>
        <n v="3001"/>
        <n v="5760"/>
        <n v="-12448.5"/>
        <n v="2629"/>
        <n v="-33574"/>
        <n v="22"/>
        <n v="-1053"/>
        <n v="215.5"/>
        <n v="5519.5"/>
        <n v="-3015.5"/>
        <n v="749"/>
        <n v="-5046"/>
        <n v="14967"/>
        <n v="20160"/>
        <n v="-96681"/>
        <n v="-1659"/>
        <n v="1990"/>
        <n v="1440"/>
        <n v="7986"/>
        <n v="449"/>
        <n v="-3074"/>
        <n v="6989"/>
        <n v="94309"/>
        <n v="10000"/>
        <n v="19999"/>
        <n v="10283"/>
        <n v="1584"/>
        <n v="-83685"/>
        <n v="22.5"/>
        <n v="-451"/>
        <n v="2477"/>
        <n v="992"/>
        <n v="-8089"/>
        <n v="1043"/>
        <n v="-9156"/>
        <n v="134"/>
        <n v="-2751"/>
        <n v="4370"/>
        <n v="10368"/>
        <n v="73392"/>
        <n v="4413"/>
        <n v="-44744"/>
        <n v="775"/>
        <n v="-1599"/>
        <n v="559"/>
        <n v="-5005"/>
        <n v="466"/>
        <n v="-4349"/>
        <n v="1288"/>
        <n v="90665"/>
        <n v="2003"/>
        <n v="576"/>
        <n v="-10542"/>
        <n v="1782"/>
        <n v="10080"/>
        <n v="15010"/>
        <n v="1017"/>
        <n v="-6378"/>
      </sharedItems>
    </cacheField>
    <cacheField name="11/28/2022" numFmtId="3">
      <sharedItems containsString="0" containsBlank="1" containsNumber="1" minValue="-2980207.75" maxValue="1943562.25" count="212">
        <m/>
        <n v="481"/>
        <n v="0"/>
        <n v="-10300"/>
        <n v="-32511"/>
        <n v="5"/>
        <n v="-29"/>
        <n v="1"/>
        <n v="-14262"/>
        <n v="20573"/>
        <n v="1373"/>
        <n v="5000"/>
        <n v="-44"/>
        <n v="460"/>
        <n v="-12910"/>
        <n v="3805"/>
        <n v="-37253"/>
        <n v="4553"/>
        <n v="150000"/>
        <n v="1943562.25"/>
        <n v="5053"/>
        <n v="-28373"/>
        <n v="36977"/>
        <n v="115200"/>
        <n v="1160530.25"/>
        <n v="19845"/>
        <n v="-246781"/>
        <n v="2268"/>
        <n v="23040"/>
        <n v="885948.25"/>
        <n v="15333"/>
        <n v="-117812"/>
        <n v="268389"/>
        <n v="11340"/>
        <n v="-2980207.75"/>
        <n v="249"/>
        <n v="50000"/>
        <n v="611804"/>
        <n v="38121"/>
        <n v="43200"/>
        <n v="-92968"/>
        <n v="24355"/>
        <n v="21600"/>
        <n v="182976"/>
        <n v="1127"/>
        <n v="-8020"/>
        <n v="785"/>
        <n v="-10538"/>
        <n v="49932"/>
        <n v="10500"/>
        <n v="-671366"/>
        <n v="20000"/>
        <n v="259965"/>
        <n v="2856"/>
        <n v="-48617"/>
        <n v="28473"/>
        <n v="-192564"/>
        <n v="12.5"/>
        <n v="1936.5"/>
        <n v="3220"/>
        <n v="4220.5"/>
        <n v="1766"/>
        <n v="2176.5"/>
        <n v="1198"/>
        <n v="-19918.5"/>
        <n v="5309.75"/>
        <n v="135584.5"/>
        <n v="209"/>
        <n v="-6881"/>
        <n v="7982.75"/>
        <n v="-11422.5"/>
        <n v="5156.75"/>
        <n v="10080"/>
        <n v="-1503.5"/>
        <n v="1374.75"/>
        <n v="17679.5"/>
        <n v="1320.5"/>
        <n v="10000"/>
        <n v="3548"/>
        <n v="-488"/>
        <n v="74.5"/>
        <n v="8991"/>
        <n v="13388.8"/>
        <n v="34839.909999999989"/>
        <n v="772.97"/>
        <n v="-20466.300000000003"/>
        <n v="5732.23"/>
        <n v="10800"/>
        <n v="15077.390000000003"/>
        <n v="195"/>
        <n v="-2255"/>
        <n v="48689"/>
        <n v="-63416"/>
        <n v="610"/>
        <n v="380295"/>
        <n v="2892"/>
        <n v="551945"/>
        <n v="2624"/>
        <n v="8100"/>
        <n v="146305"/>
        <n v="604"/>
        <n v="-27480"/>
        <n v="48681"/>
        <n v="-648831"/>
        <n v="717"/>
        <n v="11062"/>
        <n v="775"/>
        <n v="-6236"/>
        <n v="30830"/>
        <n v="1536"/>
        <n v="-132577"/>
        <n v="465"/>
        <n v="7200"/>
        <n v="40252"/>
        <n v="15254"/>
        <n v="-48903"/>
        <n v="2391"/>
        <n v="-38636"/>
        <n v="1648"/>
        <n v="-58195"/>
        <n v="7"/>
        <n v="316"/>
        <n v="4268"/>
        <n v="-67734"/>
        <n v="11302"/>
        <n v="-185129"/>
        <n v="5473"/>
        <n v="28800"/>
        <n v="141227"/>
        <n v="1144"/>
        <n v="5760"/>
        <n v="83736"/>
        <n v="1946.13"/>
        <n v="149385.96"/>
        <n v="10996.81"/>
        <n v="15552"/>
        <n v="72019.770000000019"/>
        <n v="1259.67"/>
        <n v="-21036.019999999997"/>
        <n v="2280.39"/>
        <n v="80100.289999999994"/>
        <n v="-1184"/>
        <n v="131"/>
        <n v="355097"/>
        <n v="3506"/>
        <n v="-11167"/>
        <n v="80146.720000000001"/>
        <n v="57600"/>
        <n v="-514122.69999999995"/>
        <n v="216.14"/>
        <n v="277502.34999999998"/>
        <n v="184.14"/>
        <n v="38400"/>
        <n v="159097.34999999998"/>
        <n v="533.5"/>
        <n v="31821"/>
        <n v="2781.5"/>
        <n v="-15230"/>
        <n v="2489"/>
        <n v="-36063"/>
        <n v="20"/>
        <n v="-1073"/>
        <n v="225.5"/>
        <n v="5294"/>
        <n v="-3241"/>
        <n v="662"/>
        <n v="-5708"/>
        <n v="17503"/>
        <n v="-114184"/>
        <n v="-1659"/>
        <n v="1873"/>
        <n v="1440"/>
        <n v="7553"/>
        <n v="494"/>
        <n v="-3568"/>
        <n v="8850"/>
        <n v="95459"/>
        <n v="29999"/>
        <n v="11237"/>
        <n v="4752"/>
        <n v="-90170"/>
        <n v="20.5"/>
        <n v="-471.5"/>
        <n v="2456.5"/>
        <n v="1055"/>
        <n v="-9144"/>
        <n v="1119"/>
        <n v="-10275"/>
        <n v="128"/>
        <n v="-2879"/>
        <n v="4421"/>
        <n v="10368"/>
        <n v="79339"/>
        <n v="4636"/>
        <n v="-49380"/>
        <n v="781"/>
        <n v="-2380"/>
        <n v="619"/>
        <n v="-5624"/>
        <n v="520"/>
        <n v="10560"/>
        <n v="5691"/>
        <n v="1242"/>
        <n v="7680"/>
        <n v="97103"/>
        <n v="1996"/>
        <n v="1152"/>
        <n v="-11386"/>
        <n v="11719"/>
        <n v="3291"/>
        <n v="736"/>
        <n v="-7114"/>
      </sharedItems>
    </cacheField>
    <cacheField name="12/5/2022" numFmtId="3">
      <sharedItems containsString="0" containsBlank="1" containsNumber="1" minValue="-3198177.75" maxValue="1939152.25" count="199">
        <m/>
        <n v="479"/>
        <n v="0"/>
        <n v="-10779"/>
        <n v="-32511"/>
        <n v="5"/>
        <n v="-34"/>
        <n v="1"/>
        <n v="-14263"/>
        <n v="20573"/>
        <n v="1368"/>
        <n v="3632"/>
        <n v="-44"/>
        <n v="60"/>
        <n v="-12970"/>
        <n v="2270"/>
        <n v="-39523"/>
        <n v="4410"/>
        <n v="1939152.25"/>
        <n v="5052"/>
        <n v="-33425"/>
        <n v="32756"/>
        <n v="1127774.25"/>
        <n v="36994"/>
        <n v="-283775"/>
        <n v="2125"/>
        <n v="23040"/>
        <n v="906863.25"/>
        <n v="15333"/>
        <n v="-133145"/>
        <n v="229310"/>
        <n v="11340"/>
        <n v="-3198177.75"/>
        <n v="249"/>
        <n v="611555"/>
        <n v="28883"/>
        <n v="28800"/>
        <n v="-93051"/>
        <n v="5614"/>
        <n v="21600"/>
        <n v="198962"/>
        <n v="476"/>
        <n v="-8496"/>
        <n v="785"/>
        <n v="-11323"/>
        <n v="48041"/>
        <n v="9000"/>
        <n v="-710407"/>
        <n v="259965"/>
        <n v="2854"/>
        <n v="-51471"/>
        <n v="29162"/>
        <n v="-221726"/>
        <n v="12.5"/>
        <n v="1924"/>
        <n v="4208"/>
        <n v="1755"/>
        <n v="421.5"/>
        <n v="1197"/>
        <n v="-21115.5"/>
        <n v="5288.75"/>
        <n v="130295.75"/>
        <n v="829"/>
        <n v="-7710"/>
        <n v="8121.75"/>
        <n v="-19544.25"/>
        <n v="5711.75"/>
        <n v="-7215.25"/>
        <n v="1373.75"/>
        <n v="16305.75"/>
        <n v="1315.5"/>
        <n v="2232.5"/>
        <n v="-488"/>
        <n v="74.5"/>
        <n v="8916.5"/>
        <n v="12715.96"/>
        <n v="43723.94999999999"/>
        <n v="772.64"/>
        <n v="-21238.940000000002"/>
        <n v="5381.4"/>
        <n v="10800"/>
        <n v="20495.990000000005"/>
        <n v="194"/>
        <n v="-2449"/>
        <n v="33431"/>
        <n v="-96847"/>
        <n v="610"/>
        <n v="379685"/>
        <n v="2891"/>
        <n v="549054"/>
        <n v="1054"/>
        <n v="8100"/>
        <n v="153351"/>
        <n v="462"/>
        <n v="-27942"/>
        <n v="47525"/>
        <n v="-696356"/>
        <n v="548"/>
        <n v="10514"/>
        <n v="373"/>
        <n v="768"/>
        <n v="-5841"/>
        <n v="802"/>
        <n v="1536"/>
        <n v="-131843"/>
        <n v="464"/>
        <n v="39788"/>
        <n v="15251"/>
        <n v="-42554"/>
        <n v="2393"/>
        <n v="-41029"/>
        <n v="4654"/>
        <n v="-62849"/>
        <n v="311"/>
        <n v="4239"/>
        <n v="-71973"/>
        <n v="11612"/>
        <n v="-196741"/>
        <n v="5470"/>
        <n v="135757"/>
        <n v="1140"/>
        <n v="93396"/>
        <n v="1945.13"/>
        <n v="147440.82999999999"/>
        <n v="10966.81"/>
        <n v="11520"/>
        <n v="72572.960000000021"/>
        <n v="1018.67"/>
        <n v="-22054.689999999995"/>
        <n v="2279.39"/>
        <n v="77820.899999999994"/>
        <n v="-1184"/>
        <n v="111"/>
        <n v="354986"/>
        <n v="2613"/>
        <n v="-13780"/>
        <n v="78952.36"/>
        <n v="-564275.05999999994"/>
        <n v="214.82"/>
        <n v="298887.52999999997"/>
        <n v="182.82"/>
        <n v="158914.52999999997"/>
        <n v="531"/>
        <n v="31290"/>
        <n v="2100"/>
        <n v="-17330"/>
        <n v="2448"/>
        <n v="-38511"/>
        <n v="20"/>
        <n v="-1093"/>
        <n v="259.5"/>
        <n v="5034.5"/>
        <n v="-3500.5"/>
        <n v="671"/>
        <n v="-6379"/>
        <n v="16689"/>
        <n v="20160"/>
        <n v="-110713"/>
        <n v="-1659"/>
        <n v="1281"/>
        <n v="1440"/>
        <n v="7712"/>
        <n v="408"/>
        <n v="-3976"/>
        <n v="5937"/>
        <n v="89522"/>
        <n v="29999"/>
        <n v="7272"/>
        <n v="3168"/>
        <n v="-94274"/>
        <n v="20.5"/>
        <n v="-492"/>
        <n v="2436"/>
        <n v="-10198"/>
        <n v="1117"/>
        <n v="-11392"/>
        <n v="125"/>
        <n v="-3004"/>
        <n v="4803"/>
        <n v="10368"/>
        <n v="84904"/>
        <n v="4634"/>
        <n v="-54014"/>
        <n v="782"/>
        <n v="-3162"/>
        <n v="512"/>
        <n v="-6136"/>
        <n v="439"/>
        <n v="5252"/>
        <n v="1234"/>
        <n v="7680"/>
        <n v="103549"/>
        <n v="1994"/>
        <n v="1152"/>
        <n v="-12228"/>
        <n v="1599"/>
        <n v="1692"/>
        <n v="463"/>
        <n v="-7577"/>
      </sharedItems>
    </cacheField>
    <cacheField name="12/12/2022" numFmtId="3">
      <sharedItems containsString="0" containsBlank="1" containsNumber="1" minValue="-3435522" maxValue="1934738" count="208">
        <m/>
        <n v="465"/>
        <n v="0"/>
        <n v="-11244"/>
        <n v="-32511"/>
        <n v="4"/>
        <n v="-38"/>
        <n v="-14263"/>
        <n v="20573"/>
        <n v="1363"/>
        <n v="2269"/>
        <n v="-44"/>
        <n v="56"/>
        <n v="-13026"/>
        <n v="2981"/>
        <n v="-42504"/>
        <n v="4414.25"/>
        <n v="1934738"/>
        <n v="5052"/>
        <n v="-38477"/>
        <n v="30168.25"/>
        <n v="115200"/>
        <n v="1212806"/>
        <n v="12294"/>
        <n v="-296069"/>
        <n v="2129.25"/>
        <n v="23040"/>
        <n v="927774"/>
        <n v="15331"/>
        <n v="3240"/>
        <n v="-145236"/>
        <n v="248684.25"/>
        <n v="11340"/>
        <n v="-3435522"/>
        <n v="248"/>
        <n v="611307"/>
        <n v="30207"/>
        <n v="28800"/>
        <n v="-94458"/>
        <n v="4614"/>
        <n v="14400"/>
        <n v="208748"/>
        <n v="476"/>
        <n v="-8972"/>
        <n v="784"/>
        <n v="-12107"/>
        <n v="47870"/>
        <n v="9000"/>
        <n v="-749277"/>
        <n v="259965"/>
        <n v="2852"/>
        <n v="-54323"/>
        <n v="29746"/>
        <n v="20000"/>
        <n v="-231472"/>
        <n v="13"/>
        <n v="1911"/>
        <n v="4195"/>
        <n v="1975.5"/>
        <n v="10800"/>
        <n v="9246"/>
        <n v="1417.5"/>
        <n v="-22533"/>
        <n v="5384.5"/>
        <n v="124911.25"/>
        <n v="809"/>
        <n v="-8519"/>
        <n v="11140.5"/>
        <n v="21600"/>
        <n v="-9084.75"/>
        <n v="4892.5"/>
        <n v="10080"/>
        <n v="-2027.75"/>
        <n v="1373.5"/>
        <n v="14932.25"/>
        <n v="1314.5"/>
        <n v="918"/>
        <n v="-488"/>
        <n v="74.5"/>
        <n v="8842"/>
        <n v="12818.46"/>
        <n v="52505.489999999991"/>
        <n v="772.64"/>
        <n v="-22011.58"/>
        <n v="5380.9"/>
        <n v="25915.090000000004"/>
        <n v="194"/>
        <n v="-2643"/>
        <n v="32305"/>
        <n v="-129152"/>
        <n v="609"/>
        <n v="379076"/>
        <n v="2888"/>
        <n v="546166"/>
        <n v="19"/>
        <n v="16200"/>
        <n v="169532"/>
        <n v="163"/>
        <n v="-28105"/>
        <n v="46963"/>
        <n v="-743319"/>
        <n v="534"/>
        <n v="9980"/>
        <n v="367"/>
        <n v="-6208"/>
        <n v="742"/>
        <n v="768"/>
        <n v="-131817"/>
        <n v="464"/>
        <n v="39324"/>
        <n v="15294"/>
        <n v="-57848"/>
        <n v="2391"/>
        <n v="-43420"/>
        <n v="4089"/>
        <n v="-66938"/>
        <n v="3"/>
        <n v="308"/>
        <n v="4362"/>
        <n v="-76335"/>
        <n v="11099"/>
        <n v="-207840"/>
        <n v="5125"/>
        <n v="145032"/>
        <n v="1128"/>
        <n v="7920"/>
        <n v="100188"/>
        <n v="1962.54"/>
        <n v="10000"/>
        <n v="155478.28999999998"/>
        <n v="10847.23"/>
        <n v="11520"/>
        <n v="73245.730000000025"/>
        <n v="1036.0899999999999"/>
        <n v="-23090.779999999995"/>
        <n v="2278.14"/>
        <n v="5760"/>
        <n v="81302.759999999995"/>
        <n v="-1184"/>
        <n v="111"/>
        <n v="354875"/>
        <n v="2808"/>
        <n v="-16588"/>
        <n v="79031.679999999993"/>
        <n v="-614506.74"/>
        <n v="214.16"/>
        <n v="298673.37"/>
        <n v="182.16"/>
        <n v="158732.36999999997"/>
        <n v="523"/>
        <n v="30767"/>
        <n v="2342"/>
        <n v="3456"/>
        <n v="-16216"/>
        <n v="2420"/>
        <n v="-40931"/>
        <n v="16"/>
        <n v="-1109"/>
        <n v="223.5"/>
        <n v="4224"/>
        <n v="9035"/>
        <n v="-3724"/>
        <n v="617"/>
        <n v="-6996"/>
        <n v="16627"/>
        <n v="20160"/>
        <n v="-107180"/>
        <n v="-1663"/>
        <n v="1033"/>
        <n v="1440"/>
        <n v="8119"/>
        <n v="470"/>
        <n v="-4446"/>
        <n v="5939"/>
        <n v="83583"/>
        <n v="29999"/>
        <n v="7096"/>
        <n v="3168"/>
        <n v="-98202"/>
        <n v="20"/>
        <n v="-512"/>
        <n v="2416"/>
        <n v="1053"/>
        <n v="-11251"/>
        <n v="1117"/>
        <n v="-12509"/>
        <n v="125"/>
        <n v="-3129"/>
        <n v="4796"/>
        <n v="10368"/>
        <n v="90476"/>
        <n v="4634"/>
        <n v="-58648"/>
        <n v="-3946"/>
        <n v="428"/>
        <n v="-6564"/>
        <n v="424"/>
        <n v="4828"/>
        <n v="1186"/>
        <n v="7680"/>
        <n v="110043"/>
        <n v="1992"/>
        <n v="1152"/>
        <n v="-13068"/>
        <n v="1550"/>
        <n v="142"/>
        <n v="473"/>
        <n v="-8050"/>
      </sharedItems>
    </cacheField>
    <cacheField name="12/19/2022" numFmtId="3">
      <sharedItems containsString="0" containsBlank="1" containsNumber="1" minValue="-3665492" maxValue="1980483" count="204">
        <m/>
        <n v="463"/>
        <n v="0"/>
        <n v="-11707"/>
        <n v="-32511"/>
        <n v="5"/>
        <n v="-43"/>
        <n v="-14263"/>
        <n v="20573"/>
        <n v="1245"/>
        <n v="1024"/>
        <n v="-44"/>
        <n v="50"/>
        <n v="-13076"/>
        <n v="2735"/>
        <n v="-45239"/>
        <n v="4255"/>
        <n v="50000"/>
        <n v="1980483"/>
        <n v="4764"/>
        <n v="-43241"/>
        <n v="26707"/>
        <n v="230400"/>
        <n v="1416499"/>
        <n v="11305"/>
        <n v="-307374"/>
        <n v="2131"/>
        <n v="23040"/>
        <n v="948683"/>
        <n v="14659"/>
        <n v="3240"/>
        <n v="-156655"/>
        <n v="239690"/>
        <n v="9720"/>
        <n v="-3665492"/>
        <n v="234"/>
        <n v="661073"/>
        <n v="28521"/>
        <n v="28800"/>
        <n v="-94179"/>
        <n v="4456"/>
        <n v="14400"/>
        <n v="218692"/>
        <n v="384"/>
        <n v="-9356"/>
        <n v="754"/>
        <n v="-12861"/>
        <n v="45475"/>
        <n v="9000"/>
        <n v="-785752"/>
        <n v="20000"/>
        <n v="279965"/>
        <n v="2683"/>
        <n v="-57006"/>
        <n v="30787"/>
        <n v="-262259"/>
        <n v="13.5"/>
        <n v="1897.5"/>
        <n v="4181.5"/>
        <n v="1991"/>
        <n v="7255"/>
        <n v="1444"/>
        <n v="-23977"/>
        <n v="5453.75"/>
        <n v="119457.5"/>
        <n v="837"/>
        <n v="9217.75"/>
        <n v="-18302.5"/>
        <n v="5282.75"/>
        <n v="-7310.5"/>
        <n v="1390.75"/>
        <n v="13541.5"/>
        <n v="1321.5"/>
        <n v="-403.5"/>
        <n v="-488"/>
        <n v="74.5"/>
        <n v="8767.5"/>
        <n v="15728.95"/>
        <n v="36776.539999999994"/>
        <n v="740.17"/>
        <n v="-22751.75"/>
        <n v="5493.88"/>
        <n v="10800"/>
        <n v="31221.210000000003"/>
        <n v="187"/>
        <n v="-2830"/>
        <n v="28904"/>
        <n v="-158056"/>
        <n v="623"/>
        <n v="398453"/>
        <n v="2684"/>
        <n v="543482"/>
        <n v="169"/>
        <n v="16200"/>
        <n v="185563"/>
        <n v="263"/>
        <n v="-28368"/>
        <n v="48691"/>
        <n v="-792010"/>
        <n v="392"/>
        <n v="9588"/>
        <n v="578"/>
        <n v="-6786"/>
        <n v="773"/>
        <n v="-132590"/>
        <n v="451"/>
        <n v="7200"/>
        <n v="46073"/>
        <n v="14729"/>
        <n v="-72577"/>
        <n v="2219"/>
        <n v="-45639"/>
        <n v="3156"/>
        <n v="-70094"/>
        <n v="2"/>
        <n v="306"/>
        <n v="3929"/>
        <n v="-80264"/>
        <n v="10976"/>
        <n v="-218816"/>
        <n v="2982"/>
        <n v="142050"/>
        <n v="1085"/>
        <n v="7920"/>
        <n v="107023"/>
        <n v="3032.45"/>
        <n v="30000"/>
        <n v="182445.83999999997"/>
        <n v="10757.4"/>
        <n v="11520"/>
        <n v="74008.330000000031"/>
        <n v="2039.98"/>
        <n v="-25130.759999999995"/>
        <n v="3236.17"/>
        <n v="5760"/>
        <n v="83826.59"/>
        <n v="-1184"/>
        <n v="165"/>
        <n v="354710"/>
        <n v="2417"/>
        <n v="-11805"/>
        <n v="75961.64"/>
        <n v="-661668.38"/>
        <n v="226.68"/>
        <n v="312846.69"/>
        <n v="196.68"/>
        <n v="158535.68999999997"/>
        <n v="505"/>
        <n v="10000"/>
        <n v="40262"/>
        <n v="2166"/>
        <n v="-18382"/>
        <n v="2268"/>
        <n v="-43199"/>
        <n v="-1109"/>
        <n v="545.5"/>
        <n v="8489.5"/>
        <n v="-4269.5"/>
        <n v="676"/>
        <n v="-7672"/>
        <n v="16236"/>
        <n v="20160"/>
        <n v="-103256"/>
        <n v="-1663"/>
        <n v="1004"/>
        <n v="1440"/>
        <n v="8555"/>
        <n v="374"/>
        <n v="-4820"/>
        <n v="5372"/>
        <n v="78211"/>
        <n v="39999"/>
        <n v="6515"/>
        <n v="3168"/>
        <n v="-101549"/>
        <n v="21"/>
        <n v="-533"/>
        <n v="2395"/>
        <n v="981"/>
        <n v="-12232"/>
        <n v="1058"/>
        <n v="-13567"/>
        <n v="120"/>
        <n v="-3249"/>
        <n v="4211"/>
        <n v="86265"/>
        <n v="4437"/>
        <n v="-63085"/>
        <n v="751"/>
        <n v="-4697"/>
        <n v="496"/>
        <n v="-7060"/>
        <n v="412"/>
        <n v="4416"/>
        <n v="1124"/>
        <n v="7680"/>
        <n v="116599"/>
        <n v="1908"/>
        <n v="576"/>
        <n v="-14400"/>
        <n v="1640"/>
        <n v="-1498"/>
        <n v="431"/>
        <n v="-8481"/>
      </sharedItems>
    </cacheField>
    <cacheField name="12/26/2022" numFmtId="3">
      <sharedItems containsString="0" containsBlank="1" containsNumber="1" minValue="-3844199.25" maxValue="2027227.75" count="207">
        <m/>
        <n v="398"/>
        <n v="0"/>
        <n v="-12105"/>
        <n v="-32511"/>
        <n v="7"/>
        <n v="-50"/>
        <n v="-14263"/>
        <n v="20573"/>
        <n v="546"/>
        <n v="478"/>
        <n v="-44"/>
        <n v="50"/>
        <n v="-13126"/>
        <n v="2320"/>
        <n v="-47559"/>
        <n v="3255.25"/>
        <n v="50000"/>
        <n v="2027227.75"/>
        <n v="3032"/>
        <n v="-46273"/>
        <n v="24615.25"/>
        <n v="1391883.75"/>
        <n v="6999"/>
        <n v="-314373"/>
        <n v="2099.25"/>
        <n v="34560"/>
        <n v="981143.75"/>
        <n v="10613"/>
        <n v="1620"/>
        <n v="-165648"/>
        <n v="188427.25"/>
        <n v="9720"/>
        <n v="-3844199.25"/>
        <n v="149"/>
        <n v="710924"/>
        <n v="29788"/>
        <n v="28800"/>
        <n v="-95167"/>
        <n v="14242"/>
        <n v="14400"/>
        <n v="218850"/>
        <n v="132"/>
        <n v="-9488"/>
        <n v="571"/>
        <n v="-13432"/>
        <n v="31138"/>
        <n v="12000"/>
        <n v="-804890"/>
        <n v="10000"/>
        <n v="289965"/>
        <n v="1661"/>
        <n v="-58667"/>
        <n v="21876"/>
        <n v="20000"/>
        <n v="-264135"/>
        <n v="15.5"/>
        <n v="1882"/>
        <n v="4166"/>
        <n v="1916.5"/>
        <n v="5338.5"/>
        <n v="1436.5"/>
        <n v="-25413.5"/>
        <n v="6311.75"/>
        <n v="113145.75"/>
        <n v="866"/>
        <n v="-10222"/>
        <n v="8323.75"/>
        <n v="-26626.25"/>
        <n v="4724.75"/>
        <n v="7200"/>
        <n v="-4835.25"/>
        <n v="1486.75"/>
        <n v="12054.75"/>
        <n v="1359.5"/>
        <n v="-1763"/>
        <n v="-488"/>
        <n v="74.5"/>
        <n v="8693"/>
        <n v="12694.85"/>
        <n v="21600"/>
        <n v="45681.689999999995"/>
        <n v="545.37"/>
        <n v="-23297.119999999999"/>
        <n v="5639.78"/>
        <n v="10800"/>
        <n v="36381.430000000008"/>
        <n v="147"/>
        <n v="-2977"/>
        <n v="30416"/>
        <n v="-188472"/>
        <n v="701"/>
        <n v="30000"/>
        <n v="427752"/>
        <n v="1451"/>
        <n v="542031"/>
        <n v="13"/>
        <n v="8100"/>
        <n v="193650"/>
        <n v="114"/>
        <n v="-28482"/>
        <n v="57340"/>
        <n v="-849350"/>
        <n v="273"/>
        <n v="9315"/>
        <n v="283"/>
        <n v="-7069"/>
        <n v="22961"/>
        <n v="768"/>
        <n v="-154783"/>
        <n v="373"/>
        <n v="45700"/>
        <n v="11255"/>
        <n v="-83832"/>
        <n v="947"/>
        <n v="-46586"/>
        <n v="2221"/>
        <n v="-72315"/>
        <n v="2"/>
        <n v="304"/>
        <n v="3007"/>
        <n v="-83271"/>
        <n v="8486"/>
        <n v="-227302"/>
        <n v="2392"/>
        <n v="154058"/>
        <n v="1161"/>
        <n v="6480"/>
        <n v="112342"/>
        <n v="2204.25"/>
        <n v="200241.58999999997"/>
        <n v="9682.75"/>
        <n v="11520"/>
        <n v="75845.580000000031"/>
        <n v="963.32"/>
        <n v="-26094.079999999994"/>
        <n v="2485.6799999999998"/>
        <n v="2880"/>
        <n v="84220.91"/>
        <n v="-1184"/>
        <n v="127"/>
        <n v="354583"/>
        <n v="1427"/>
        <n v="-13232"/>
        <n v="57880.38"/>
        <n v="-690748.76"/>
        <n v="306.81"/>
        <n v="326939.88"/>
        <n v="282.81"/>
        <n v="158252.87999999998"/>
        <n v="565"/>
        <n v="5000"/>
        <n v="44697"/>
        <n v="2263"/>
        <n v="-20645"/>
        <n v="1678"/>
        <n v="-44877"/>
        <n v="-1109"/>
        <n v="206"/>
        <n v="8283.5"/>
        <n v="-4475.5"/>
        <n v="744"/>
        <n v="-8416"/>
        <n v="11253"/>
        <n v="20160"/>
        <n v="-94349"/>
        <n v="-1663"/>
        <n v="5427"/>
        <n v="1440"/>
        <n v="4568"/>
        <n v="229"/>
        <n v="-5049"/>
        <n v="3728"/>
        <n v="74483"/>
        <n v="39999"/>
        <n v="5076"/>
        <n v="3168"/>
        <n v="-103457"/>
        <n v="25"/>
        <n v="-558"/>
        <n v="2370"/>
        <n v="545"/>
        <n v="-12777"/>
        <n v="-14268"/>
        <n v="88"/>
        <n v="-3337"/>
        <n v="3973"/>
        <n v="10368"/>
        <n v="92660"/>
        <n v="3252"/>
        <n v="-66337"/>
        <n v="558"/>
        <n v="-5255"/>
        <n v="409"/>
        <n v="-7469"/>
        <n v="295"/>
        <n v="4121"/>
        <n v="3840"/>
        <n v="119671"/>
        <n v="1391"/>
        <n v="576"/>
        <n v="-15215"/>
        <n v="1726"/>
        <n v="9360"/>
        <n v="6136"/>
        <n v="430"/>
        <n v="-8911"/>
      </sharedItems>
    </cacheField>
    <cacheField name="1/2/2023" numFmtId="3">
      <sharedItems containsString="0" containsBlank="1" containsNumber="1" minValue="-4017118" maxValue="2002823" count="200">
        <m/>
        <n v="396"/>
        <n v="0"/>
        <n v="-12501"/>
        <n v="-32511"/>
        <n v="6"/>
        <n v="-56"/>
        <n v="-14263"/>
        <n v="2890"/>
        <n v="23463"/>
        <n v="545"/>
        <n v="44160"/>
        <n v="44093"/>
        <n v="-44"/>
        <n v="-13126"/>
        <n v="3030"/>
        <n v="-50589"/>
        <n v="24404.75"/>
        <n v="2002823"/>
        <n v="3032"/>
        <n v="-49305"/>
        <n v="22095.75"/>
        <n v="115200"/>
        <n v="1484988"/>
        <n v="6049"/>
        <n v="-320422"/>
        <n v="1943.75"/>
        <n v="34560"/>
        <n v="1013760"/>
        <n v="10613"/>
        <n v="1620"/>
        <n v="-174641"/>
        <n v="182638.75"/>
        <n v="9720"/>
        <n v="-4017118"/>
        <n v="149"/>
        <n v="710775"/>
        <n v="24039"/>
        <n v="-119206"/>
        <n v="4156"/>
        <n v="14400"/>
        <n v="229094"/>
        <n v="81"/>
        <n v="-9569"/>
        <n v="571"/>
        <n v="-14003"/>
        <n v="30961"/>
        <n v="9000"/>
        <n v="-826851"/>
        <n v="289965"/>
        <n v="1660"/>
        <n v="-60327"/>
        <n v="21920"/>
        <n v="-286055"/>
        <n v="14.5"/>
        <n v="1867.5"/>
        <n v="4151.5"/>
        <n v="1954"/>
        <n v="3384.5"/>
        <n v="1475"/>
        <n v="-26888.5"/>
        <n v="6299.75"/>
        <n v="106846"/>
        <n v="886"/>
        <n v="-11108"/>
        <n v="14599.75"/>
        <n v="-41226"/>
        <n v="6812.75"/>
        <n v="7200"/>
        <n v="-4448"/>
        <n v="1486.75"/>
        <n v="10568"/>
        <n v="1356.5"/>
        <n v="-3119.5"/>
        <n v="-488"/>
        <n v="74.5"/>
        <n v="8618.5"/>
        <n v="13849.18"/>
        <n v="31832.509999999995"/>
        <n v="544.70000000000005"/>
        <n v="-23841.82"/>
        <n v="5638.12"/>
        <n v="6480"/>
        <n v="37223.310000000005"/>
        <n v="143"/>
        <n v="-3120"/>
        <n v="26117"/>
        <n v="-214589"/>
        <n v="700"/>
        <n v="427052"/>
        <n v="1449"/>
        <n v="540582"/>
        <n v="13"/>
        <n v="8100"/>
        <n v="201737"/>
        <n v="113"/>
        <n v="-28595"/>
        <n v="56946"/>
        <n v="-906296"/>
        <n v="264"/>
        <n v="9051"/>
        <n v="403"/>
        <n v="-7472"/>
        <n v="910"/>
        <n v="768"/>
        <n v="-154925"/>
        <n v="373"/>
        <n v="45327"/>
        <n v="11249"/>
        <n v="325000"/>
        <n v="229919"/>
        <n v="946"/>
        <n v="-47532"/>
        <n v="3362"/>
        <n v="-75677"/>
        <n v="304"/>
        <n v="3264"/>
        <n v="-86535"/>
        <n v="8761"/>
        <n v="-236063"/>
        <n v="2391"/>
        <n v="151667"/>
        <n v="1161"/>
        <n v="4320"/>
        <n v="115501"/>
        <n v="2204.25"/>
        <n v="198037.33999999997"/>
        <n v="9406.75"/>
        <n v="66438.830000000031"/>
        <n v="964.32"/>
        <n v="-27058.399999999994"/>
        <n v="2485.6799999999998"/>
        <n v="2880"/>
        <n v="84615.23000000001"/>
        <n v="-1184"/>
        <n v="177"/>
        <n v="354406"/>
        <n v="2309"/>
        <n v="-15541"/>
        <n v="57824"/>
        <n v="-748572.76"/>
        <n v="304.5"/>
        <n v="341035.38"/>
        <n v="280.5"/>
        <n v="157972.37999999998"/>
        <n v="564"/>
        <n v="44133"/>
        <n v="2279"/>
        <n v="-22924"/>
        <n v="1694"/>
        <n v="-46571"/>
        <n v="-1109"/>
        <n v="204.5"/>
        <n v="8079"/>
        <n v="-4680"/>
        <n v="716"/>
        <n v="-9132"/>
        <n v="10985"/>
        <n v="-105334"/>
        <n v="-1663"/>
        <n v="597"/>
        <n v="1440"/>
        <n v="5411"/>
        <n v="123"/>
        <n v="-5172"/>
        <n v="3632"/>
        <n v="70851"/>
        <n v="39999"/>
        <n v="4704"/>
        <n v="1584"/>
        <n v="-106577"/>
        <n v="25"/>
        <n v="3200"/>
        <n v="2617"/>
        <n v="3000"/>
        <n v="5345"/>
        <n v="-13322"/>
        <n v="701"/>
        <n v="-14969"/>
        <n v="87"/>
        <n v="-3424"/>
        <n v="3971"/>
        <n v="88689"/>
        <n v="3252"/>
        <n v="-69589"/>
        <n v="558"/>
        <n v="-5813"/>
        <n v="407"/>
        <n v="-7876"/>
        <n v="295"/>
        <n v="3826"/>
        <n v="3840"/>
        <n v="122743"/>
        <n v="1390"/>
        <n v="1152"/>
        <n v="-15453"/>
        <n v="1648"/>
        <n v="4488"/>
        <n v="285"/>
        <n v="-9196"/>
      </sharedItems>
    </cacheField>
    <cacheField name="1/9/2023" numFmtId="3">
      <sharedItems containsString="0" containsBlank="1" containsNumber="1" minValue="-4190655.5" maxValue="1978454.5" count="186">
        <m/>
        <n v="385"/>
        <n v="0"/>
        <n v="-12886"/>
        <n v="-32511"/>
        <n v="6"/>
        <n v="-62"/>
        <n v="-14263"/>
        <n v="23463"/>
        <n v="545"/>
        <n v="43548"/>
        <n v="-44"/>
        <n v="-13132"/>
        <n v="2466"/>
        <n v="-53055"/>
        <n v="24368.5"/>
        <n v="1978454.5"/>
        <n v="3031"/>
        <n v="-52336"/>
        <n v="21899.5"/>
        <n v="1463088.5"/>
        <n v="5548"/>
        <n v="-325970"/>
        <n v="1907.5"/>
        <n v="1011852.5"/>
        <n v="10612"/>
        <n v="3240"/>
        <n v="-182013"/>
        <n v="183257.5"/>
        <n v="9720"/>
        <n v="-4190655.5"/>
        <n v="149"/>
        <n v="710626"/>
        <n v="25519"/>
        <n v="-144725"/>
        <n v="4256"/>
        <n v="224838"/>
        <n v="81"/>
        <n v="-9650"/>
        <n v="570"/>
        <n v="-14573"/>
        <n v="30952"/>
        <n v="9000"/>
        <n v="-848803"/>
        <n v="289965"/>
        <n v="1660"/>
        <n v="-61987"/>
        <n v="22045"/>
        <n v="-308100"/>
        <n v="15"/>
        <n v="1852.5"/>
        <n v="4136.5"/>
        <n v="1697"/>
        <n v="1687.5"/>
        <n v="1218"/>
        <n v="-28106.5"/>
        <n v="6291.75"/>
        <n v="100554.25"/>
        <n v="866"/>
        <n v="-11974"/>
        <n v="14657.75"/>
        <n v="-55883.75"/>
        <n v="6388.75"/>
        <n v="-10836.75"/>
        <n v="1486.75"/>
        <n v="9081.25"/>
        <n v="1355.5"/>
        <n v="-4475"/>
        <n v="-488"/>
        <n v="74.5"/>
        <n v="8544"/>
        <n v="13746.18"/>
        <n v="18086.329999999994"/>
        <n v="544.70000000000005"/>
        <n v="-24386.52"/>
        <n v="5638.12"/>
        <n v="31585.190000000006"/>
        <n v="142"/>
        <n v="-3262"/>
        <n v="26096"/>
        <n v="-240685"/>
        <n v="700"/>
        <n v="426352"/>
        <n v="1447"/>
        <n v="539135"/>
        <n v="13"/>
        <n v="201724"/>
        <n v="112"/>
        <n v="-28707"/>
        <n v="56815"/>
        <n v="10400"/>
        <n v="-952711"/>
        <n v="263"/>
        <n v="8788"/>
        <n v="253"/>
        <n v="-7725"/>
        <n v="909"/>
        <n v="-155834"/>
        <n v="372"/>
        <n v="44955"/>
        <n v="11320"/>
        <n v="218599"/>
        <n v="946"/>
        <n v="-48478"/>
        <n v="2071"/>
        <n v="-77748"/>
        <n v="304"/>
        <n v="3009"/>
        <n v="-89544"/>
        <n v="8260"/>
        <n v="-244323"/>
        <n v="2392"/>
        <n v="149275"/>
        <n v="1158"/>
        <n v="114343"/>
        <n v="2204.25"/>
        <n v="60000"/>
        <n v="255833.08999999997"/>
        <n v="9392.75"/>
        <n v="57046.080000000031"/>
        <n v="964.32"/>
        <n v="-28022.719999999994"/>
        <n v="2482.6799999999998"/>
        <n v="82132.550000000017"/>
        <n v="-1184"/>
        <n v="427"/>
        <n v="353979"/>
        <n v="1409"/>
        <n v="-16950"/>
        <n v="57819.34"/>
        <n v="-806392.1"/>
        <n v="303.83"/>
        <n v="340731.55"/>
        <n v="280.83"/>
        <n v="157691.54999999999"/>
        <n v="563"/>
        <n v="43570"/>
        <n v="1480"/>
        <n v="-24404"/>
        <n v="1673"/>
        <n v="-48244"/>
        <n v="-1109"/>
        <n v="206"/>
        <n v="7873"/>
        <n v="-4886"/>
        <n v="716"/>
        <n v="-9848"/>
        <n v="-116654"/>
        <n v="-1663"/>
        <n v="510"/>
        <n v="4901"/>
        <n v="128"/>
        <n v="-5300"/>
        <n v="3631"/>
        <n v="67220"/>
        <n v="39999"/>
        <n v="4473"/>
        <n v="1584"/>
        <n v="-109466"/>
        <n v="24.5"/>
        <n v="2592.5"/>
        <n v="5320.5"/>
        <n v="543"/>
        <n v="-13865"/>
        <n v="699"/>
        <n v="-15668"/>
        <n v="87"/>
        <n v="-3511"/>
        <n v="3972"/>
        <n v="84717"/>
        <n v="3251"/>
        <n v="-72840"/>
        <n v="561"/>
        <n v="-6374"/>
        <n v="407"/>
        <n v="-8283"/>
        <n v="345"/>
        <n v="3481"/>
        <n v="799"/>
        <n v="121944"/>
        <n v="1410"/>
        <n v="-16863"/>
        <n v="1647"/>
        <n v="2841"/>
        <n v="279"/>
        <n v="-9475"/>
      </sharedItems>
    </cacheField>
    <cacheField name="1/16/2023" numFmtId="3">
      <sharedItems containsString="0" containsBlank="1" containsNumber="1" minValue="-4364277.75" maxValue="1953839.25" count="181">
        <m/>
        <n v="385"/>
        <n v="0"/>
        <n v="-13271"/>
        <n v="-32511"/>
        <n v="6"/>
        <n v="-68"/>
        <n v="-14263"/>
        <n v="23463"/>
        <n v="547"/>
        <n v="43001"/>
        <n v="-44"/>
        <n v="-13132"/>
        <n v="1640"/>
        <n v="-54695"/>
        <n v="24615.25"/>
        <n v="1953839.25"/>
        <n v="3031"/>
        <n v="-55367"/>
        <n v="21025.25"/>
        <n v="1442063.25"/>
        <n v="5098"/>
        <n v="-331068"/>
        <n v="1909.25"/>
        <n v="1009943.25"/>
        <n v="10612"/>
        <n v="-192625"/>
        <n v="173622.25"/>
        <n v="-4364277.75"/>
        <n v="149"/>
        <n v="710477"/>
        <n v="24228"/>
        <n v="-168953"/>
        <n v="4156"/>
        <n v="220682"/>
        <n v="81"/>
        <n v="-9731"/>
        <n v="569"/>
        <n v="-15142"/>
        <n v="30908"/>
        <n v="-879711"/>
        <n v="289965"/>
        <n v="1658"/>
        <n v="-63645"/>
        <n v="22139"/>
        <n v="-330239"/>
        <n v="15.5"/>
        <n v="1837"/>
        <n v="4121"/>
        <n v="1671"/>
        <n v="16.5"/>
        <n v="1192"/>
        <n v="-29298.5"/>
        <n v="6293.5"/>
        <n v="94260.75"/>
        <n v="865"/>
        <n v="-12839"/>
        <n v="13268.5"/>
        <n v="-69152.25"/>
        <n v="6474.5"/>
        <n v="-17311.25"/>
        <n v="1486.5"/>
        <n v="7594.75"/>
        <n v="1353.5"/>
        <n v="-5828.5"/>
        <n v="-488"/>
        <n v="74.5"/>
        <n v="8469.5"/>
        <n v="16614.18"/>
        <n v="1472.1499999999942"/>
        <n v="544.70000000000005"/>
        <n v="-24931.22"/>
        <n v="5638.12"/>
        <n v="25947.070000000007"/>
        <n v="141"/>
        <n v="-3403"/>
        <n v="25949"/>
        <n v="-266634"/>
        <n v="720"/>
        <n v="425632"/>
        <n v="1446"/>
        <n v="537689"/>
        <n v="13"/>
        <n v="201711"/>
        <n v="118"/>
        <n v="-28825"/>
        <n v="56801"/>
        <n v="-1009512"/>
        <n v="300"/>
        <n v="8488"/>
        <n v="253"/>
        <n v="-7978"/>
        <n v="912"/>
        <n v="-156746"/>
        <n v="372"/>
        <n v="44583"/>
        <n v="11357"/>
        <n v="207242"/>
        <n v="946"/>
        <n v="-49424"/>
        <n v="2472"/>
        <n v="-80220"/>
        <n v="304"/>
        <n v="3002"/>
        <n v="-92546"/>
        <n v="8187"/>
        <n v="-252510"/>
        <n v="2376"/>
        <n v="146899"/>
        <n v="1157"/>
        <n v="113186"/>
        <n v="2202.91"/>
        <n v="253630.17999999996"/>
        <n v="9398.42"/>
        <n v="47647.660000000033"/>
        <n v="963.99"/>
        <n v="-28986.709999999995"/>
        <n v="2305.6799999999998"/>
        <n v="79826.870000000024"/>
        <n v="-1184"/>
        <n v="126"/>
        <n v="353853"/>
        <n v="1409"/>
        <n v="-18359"/>
        <n v="57820"/>
        <n v="-864212.1"/>
        <n v="304.5"/>
        <n v="340427.05"/>
        <n v="280.5"/>
        <n v="157411.04999999999"/>
        <n v="562"/>
        <n v="43008"/>
        <n v="1465"/>
        <n v="-25869"/>
        <n v="1672"/>
        <n v="-49916"/>
        <n v="-1109"/>
        <n v="406"/>
        <n v="7467"/>
        <n v="-5292"/>
        <n v="721"/>
        <n v="-10569"/>
        <n v="11005"/>
        <n v="-127659"/>
        <n v="-1663"/>
        <n v="557"/>
        <n v="4344"/>
        <n v="123"/>
        <n v="-5423"/>
        <n v="3623"/>
        <n v="63597"/>
        <n v="39999"/>
        <n v="4537"/>
        <n v="-114003"/>
        <n v="24.5"/>
        <n v="2568"/>
        <n v="5296"/>
        <n v="543"/>
        <n v="-14408"/>
        <n v="699"/>
        <n v="-16367"/>
        <n v="86"/>
        <n v="-3597"/>
        <n v="3969"/>
        <n v="80748"/>
        <n v="3251"/>
        <n v="-76091"/>
        <n v="563"/>
        <n v="-6937"/>
        <n v="409"/>
        <n v="-8692"/>
        <n v="296"/>
        <n v="3185"/>
        <n v="813"/>
        <n v="121131"/>
        <n v="1416"/>
        <n v="-18279"/>
        <n v="1660"/>
        <n v="1181"/>
        <n v="283"/>
        <n v="-9758"/>
      </sharedItems>
    </cacheField>
    <cacheField name="1/23/2023" numFmtId="3">
      <sharedItems containsString="0" containsBlank="1" containsNumber="1" minValue="-4472772.25" maxValue="1929595.75" count="180">
        <m/>
        <n v="733"/>
        <n v="0"/>
        <n v="-14004"/>
        <n v="-32511"/>
        <n v="6"/>
        <n v="-74"/>
        <n v="-14263"/>
        <n v="23463"/>
        <n v="750"/>
        <n v="42251"/>
        <n v="-44"/>
        <n v="-13132"/>
        <n v="1665"/>
        <n v="-56360"/>
        <n v="24243.5"/>
        <n v="1929595.75"/>
        <n v="3263"/>
        <n v="-58630"/>
        <n v="19071.5"/>
        <n v="1422991.75"/>
        <n v="7458"/>
        <n v="-338526"/>
        <n v="1898.5"/>
        <n v="1008044.75"/>
        <n v="13728"/>
        <n v="-206353"/>
        <n v="108494.5"/>
        <n v="-4472772.25"/>
        <n v="120"/>
        <n v="710357"/>
        <n v="22201"/>
        <n v="-191154"/>
        <n v="3626"/>
        <n v="217056"/>
        <n v="55"/>
        <n v="-9786"/>
        <n v="720"/>
        <n v="-15862"/>
        <n v="29498"/>
        <n v="-909209"/>
        <n v="289965"/>
        <n v="2024"/>
        <n v="-65669"/>
        <n v="12467"/>
        <n v="-342706"/>
        <n v="16.5"/>
        <n v="1820.5"/>
        <n v="4104.5"/>
        <n v="1788"/>
        <n v="-1771.5"/>
        <n v="1273"/>
        <n v="-30571.5"/>
        <n v="3405.25"/>
        <n v="90855.5"/>
        <n v="902"/>
        <n v="-13741"/>
        <n v="13210.25"/>
        <n v="-82362.5"/>
        <n v="6703.25"/>
        <n v="-24014.5"/>
        <n v="1379.25"/>
        <n v="6215.5"/>
        <n v="1397.5"/>
        <n v="-7226"/>
        <n v="-488"/>
        <n v="74.5"/>
        <n v="8395"/>
        <n v="13155.57"/>
        <n v="-11683.420000000006"/>
        <n v="320.44"/>
        <n v="-25251.66"/>
        <n v="5603.99"/>
        <n v="20343.080000000009"/>
        <n v="160"/>
        <n v="-3563"/>
        <n v="32288"/>
        <n v="-298922"/>
        <n v="1148"/>
        <n v="424484"/>
        <n v="1787"/>
        <n v="535902"/>
        <n v="13"/>
        <n v="201698"/>
        <n v="122"/>
        <n v="-28947"/>
        <n v="45513"/>
        <n v="-1055025"/>
        <n v="8328"/>
        <n v="336"/>
        <n v="-8314"/>
        <n v="988"/>
        <n v="-157734"/>
        <n v="347"/>
        <n v="44236"/>
        <n v="11135"/>
        <n v="196107"/>
        <n v="964"/>
        <n v="-50388"/>
        <n v="1240"/>
        <n v="-81460"/>
        <n v="304"/>
        <n v="3526"/>
        <n v="-96072"/>
        <n v="4954"/>
        <n v="-257464"/>
        <n v="2354"/>
        <n v="144545"/>
        <n v="1041"/>
        <n v="112145"/>
        <n v="2052.0100000000002"/>
        <n v="251578.16999999995"/>
        <n v="7468.12"/>
        <n v="40179.54000000003"/>
        <n v="842.35"/>
        <n v="-29829.059999999994"/>
        <n v="2283.52"/>
        <n v="77543.35000000002"/>
        <n v="-1184"/>
        <n v="116"/>
        <n v="353737"/>
        <n v="1397"/>
        <n v="-19756"/>
        <n v="58506.86"/>
        <n v="-922718.96"/>
        <n v="282.07"/>
        <n v="340144.98"/>
        <n v="257.07"/>
        <n v="157153.97999999998"/>
        <n v="597.5"/>
        <n v="42410.5"/>
        <n v="1327.5"/>
        <n v="-27196.5"/>
        <n v="1879"/>
        <n v="-51795"/>
        <n v="-1109"/>
        <n v="192"/>
        <n v="7275"/>
        <n v="-5484"/>
        <n v="489"/>
        <n v="-11058"/>
        <n v="4212"/>
        <n v="-131871"/>
        <n v="-1663"/>
        <n v="707"/>
        <n v="3637"/>
        <n v="128"/>
        <n v="-5551"/>
        <n v="2851"/>
        <n v="60746"/>
        <n v="39999"/>
        <n v="4433"/>
        <n v="-118436"/>
        <n v="23"/>
        <n v="2545"/>
        <n v="5273"/>
        <n v="642"/>
        <n v="-15050"/>
        <n v="891"/>
        <n v="-17258"/>
        <n v="92"/>
        <n v="-3689"/>
        <n v="3432"/>
        <n v="77316"/>
        <n v="3320"/>
        <n v="-79411"/>
        <n v="663"/>
        <n v="-7600"/>
        <n v="350"/>
        <n v="-9042"/>
        <n v="265"/>
        <n v="2920"/>
        <n v="1119"/>
        <n v="120012"/>
        <n v="1741"/>
        <n v="-20020"/>
        <n v="1540"/>
        <n v="-359"/>
        <n v="220"/>
        <n v="-9978"/>
      </sharedItems>
    </cacheField>
    <cacheField name="1/30/2023" numFmtId="3">
      <sharedItems containsString="0" containsBlank="1" containsNumber="1" minValue="-4555848.75" maxValue="1905338.25"/>
    </cacheField>
    <cacheField name="2/6/2023" numFmtId="3">
      <sharedItems containsString="0" containsBlank="1" containsNumber="1" minValue="-4636136.75" maxValue="1872264.25"/>
    </cacheField>
    <cacheField name="2/13/2023" numFmtId="3">
      <sharedItems containsString="0" containsBlank="1" containsNumber="1" minValue="-4715424.5" maxValue="1839203.5"/>
    </cacheField>
    <cacheField name="2/20/2023" numFmtId="3">
      <sharedItems containsString="0" containsBlank="1" containsNumber="1" minValue="-4773486.25" maxValue="1812826.75"/>
    </cacheField>
    <cacheField name="2/27/2023" numFmtId="3">
      <sharedItems containsString="0" containsBlank="1" containsNumber="1" minValue="-4821685" maxValue="1788549"/>
    </cacheField>
    <cacheField name="3/6/2023" numFmtId="3">
      <sharedItems containsString="0" containsBlank="1" containsNumber="1" minValue="-4869345.75" maxValue="1764272.25"/>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87">
  <r>
    <x v="0"/>
    <x v="0"/>
    <x v="0"/>
    <x v="0"/>
    <x v="0"/>
    <x v="0"/>
    <x v="0"/>
    <x v="0"/>
    <x v="0"/>
    <x v="0"/>
    <x v="0"/>
    <x v="0"/>
    <x v="0"/>
    <x v="0"/>
    <x v="0"/>
    <x v="0"/>
    <x v="0"/>
    <x v="0"/>
    <x v="0"/>
    <x v="0"/>
    <x v="0"/>
    <x v="0"/>
    <x v="0"/>
    <x v="0"/>
    <x v="0"/>
    <x v="0"/>
    <m/>
    <m/>
    <m/>
    <m/>
    <m/>
    <m/>
  </r>
  <r>
    <x v="0"/>
    <x v="0"/>
    <x v="0"/>
    <x v="0"/>
    <x v="0"/>
    <x v="1"/>
    <x v="0"/>
    <x v="1"/>
    <x v="1"/>
    <x v="1"/>
    <x v="1"/>
    <x v="1"/>
    <x v="1"/>
    <x v="1"/>
    <x v="1"/>
    <x v="1"/>
    <x v="1"/>
    <x v="1"/>
    <x v="1"/>
    <x v="1"/>
    <x v="1"/>
    <x v="1"/>
    <x v="1"/>
    <x v="1"/>
    <x v="1"/>
    <x v="1"/>
    <n v="877"/>
    <n v="843"/>
    <n v="827"/>
    <n v="628"/>
    <n v="542"/>
    <n v="550"/>
  </r>
  <r>
    <x v="0"/>
    <x v="0"/>
    <x v="0"/>
    <x v="0"/>
    <x v="0"/>
    <x v="2"/>
    <x v="0"/>
    <x v="2"/>
    <x v="2"/>
    <x v="0"/>
    <x v="0"/>
    <x v="0"/>
    <x v="0"/>
    <x v="0"/>
    <x v="0"/>
    <x v="0"/>
    <x v="0"/>
    <x v="0"/>
    <x v="0"/>
    <x v="0"/>
    <x v="0"/>
    <x v="0"/>
    <x v="0"/>
    <x v="0"/>
    <x v="0"/>
    <x v="0"/>
    <m/>
    <m/>
    <m/>
    <m/>
    <m/>
    <m/>
  </r>
  <r>
    <x v="0"/>
    <x v="0"/>
    <x v="0"/>
    <x v="0"/>
    <x v="0"/>
    <x v="3"/>
    <x v="0"/>
    <x v="2"/>
    <x v="2"/>
    <x v="0"/>
    <x v="0"/>
    <x v="0"/>
    <x v="0"/>
    <x v="0"/>
    <x v="0"/>
    <x v="0"/>
    <x v="0"/>
    <x v="0"/>
    <x v="0"/>
    <x v="0"/>
    <x v="0"/>
    <x v="0"/>
    <x v="0"/>
    <x v="0"/>
    <x v="0"/>
    <x v="0"/>
    <m/>
    <m/>
    <m/>
    <m/>
    <m/>
    <m/>
  </r>
  <r>
    <x v="0"/>
    <x v="0"/>
    <x v="0"/>
    <x v="0"/>
    <x v="0"/>
    <x v="4"/>
    <x v="0"/>
    <x v="2"/>
    <x v="2"/>
    <x v="0"/>
    <x v="0"/>
    <x v="0"/>
    <x v="0"/>
    <x v="0"/>
    <x v="0"/>
    <x v="0"/>
    <x v="0"/>
    <x v="0"/>
    <x v="0"/>
    <x v="0"/>
    <x v="0"/>
    <x v="0"/>
    <x v="0"/>
    <x v="0"/>
    <x v="0"/>
    <x v="0"/>
    <m/>
    <m/>
    <m/>
    <m/>
    <m/>
    <m/>
  </r>
  <r>
    <x v="0"/>
    <x v="0"/>
    <x v="0"/>
    <x v="0"/>
    <x v="0"/>
    <x v="5"/>
    <x v="0"/>
    <x v="3"/>
    <x v="3"/>
    <x v="0"/>
    <x v="0"/>
    <x v="0"/>
    <x v="0"/>
    <x v="0"/>
    <x v="0"/>
    <x v="0"/>
    <x v="0"/>
    <x v="0"/>
    <x v="0"/>
    <x v="0"/>
    <x v="0"/>
    <x v="0"/>
    <x v="0"/>
    <x v="0"/>
    <x v="0"/>
    <x v="0"/>
    <m/>
    <m/>
    <m/>
    <m/>
    <m/>
    <m/>
  </r>
  <r>
    <x v="0"/>
    <x v="0"/>
    <x v="0"/>
    <x v="0"/>
    <x v="0"/>
    <x v="6"/>
    <x v="0"/>
    <x v="2"/>
    <x v="2"/>
    <x v="2"/>
    <x v="2"/>
    <x v="2"/>
    <x v="2"/>
    <x v="2"/>
    <x v="2"/>
    <x v="2"/>
    <x v="2"/>
    <x v="2"/>
    <x v="2"/>
    <x v="2"/>
    <x v="2"/>
    <x v="2"/>
    <x v="2"/>
    <x v="2"/>
    <x v="2"/>
    <x v="2"/>
    <n v="0"/>
    <n v="0"/>
    <n v="0"/>
    <n v="0"/>
    <n v="0"/>
    <n v="0"/>
  </r>
  <r>
    <x v="0"/>
    <x v="0"/>
    <x v="0"/>
    <x v="0"/>
    <x v="0"/>
    <x v="7"/>
    <x v="0"/>
    <x v="3"/>
    <x v="3"/>
    <x v="0"/>
    <x v="0"/>
    <x v="0"/>
    <x v="0"/>
    <x v="0"/>
    <x v="0"/>
    <x v="0"/>
    <x v="0"/>
    <x v="0"/>
    <x v="0"/>
    <x v="0"/>
    <x v="0"/>
    <x v="0"/>
    <x v="0"/>
    <x v="0"/>
    <x v="0"/>
    <x v="0"/>
    <m/>
    <m/>
    <m/>
    <m/>
    <m/>
    <m/>
  </r>
  <r>
    <x v="0"/>
    <x v="0"/>
    <x v="0"/>
    <x v="0"/>
    <x v="0"/>
    <x v="8"/>
    <x v="0"/>
    <x v="2"/>
    <x v="3"/>
    <x v="0"/>
    <x v="0"/>
    <x v="0"/>
    <x v="0"/>
    <x v="0"/>
    <x v="0"/>
    <x v="0"/>
    <x v="0"/>
    <x v="0"/>
    <x v="0"/>
    <x v="0"/>
    <x v="0"/>
    <x v="0"/>
    <x v="0"/>
    <x v="0"/>
    <x v="0"/>
    <x v="0"/>
    <m/>
    <m/>
    <m/>
    <m/>
    <m/>
    <m/>
  </r>
  <r>
    <x v="0"/>
    <x v="0"/>
    <x v="0"/>
    <x v="0"/>
    <x v="0"/>
    <x v="9"/>
    <x v="0"/>
    <x v="2"/>
    <x v="3"/>
    <x v="0"/>
    <x v="0"/>
    <x v="0"/>
    <x v="0"/>
    <x v="0"/>
    <x v="0"/>
    <x v="0"/>
    <x v="0"/>
    <x v="0"/>
    <x v="0"/>
    <x v="0"/>
    <x v="0"/>
    <x v="0"/>
    <x v="0"/>
    <x v="0"/>
    <x v="0"/>
    <x v="0"/>
    <m/>
    <m/>
    <m/>
    <m/>
    <m/>
    <m/>
  </r>
  <r>
    <x v="0"/>
    <x v="0"/>
    <x v="0"/>
    <x v="0"/>
    <x v="0"/>
    <x v="10"/>
    <x v="0"/>
    <x v="3"/>
    <x v="3"/>
    <x v="0"/>
    <x v="0"/>
    <x v="0"/>
    <x v="0"/>
    <x v="0"/>
    <x v="0"/>
    <x v="0"/>
    <x v="0"/>
    <x v="0"/>
    <x v="0"/>
    <x v="0"/>
    <x v="0"/>
    <x v="0"/>
    <x v="0"/>
    <x v="0"/>
    <x v="0"/>
    <x v="0"/>
    <m/>
    <m/>
    <m/>
    <m/>
    <m/>
    <m/>
  </r>
  <r>
    <x v="0"/>
    <x v="0"/>
    <x v="0"/>
    <x v="0"/>
    <x v="0"/>
    <x v="11"/>
    <x v="0"/>
    <x v="3"/>
    <x v="4"/>
    <x v="3"/>
    <x v="3"/>
    <x v="3"/>
    <x v="3"/>
    <x v="3"/>
    <x v="3"/>
    <x v="3"/>
    <x v="3"/>
    <x v="3"/>
    <x v="3"/>
    <x v="3"/>
    <x v="3"/>
    <x v="3"/>
    <x v="3"/>
    <x v="3"/>
    <x v="3"/>
    <x v="3"/>
    <n v="-14881"/>
    <n v="-15724"/>
    <n v="-16551"/>
    <n v="-17179"/>
    <n v="-17721"/>
    <n v="-18271"/>
  </r>
  <r>
    <x v="0"/>
    <x v="0"/>
    <x v="0"/>
    <x v="0"/>
    <x v="0"/>
    <x v="12"/>
    <x v="0"/>
    <x v="3"/>
    <x v="2"/>
    <x v="2"/>
    <x v="2"/>
    <x v="2"/>
    <x v="2"/>
    <x v="2"/>
    <x v="2"/>
    <x v="2"/>
    <x v="2"/>
    <x v="2"/>
    <x v="2"/>
    <x v="2"/>
    <x v="2"/>
    <x v="2"/>
    <x v="2"/>
    <x v="2"/>
    <x v="2"/>
    <x v="2"/>
    <n v="0"/>
    <n v="0"/>
    <n v="0"/>
    <n v="0"/>
    <n v="0"/>
    <n v="0"/>
  </r>
  <r>
    <x v="1"/>
    <x v="0"/>
    <x v="1"/>
    <x v="1"/>
    <x v="0"/>
    <x v="0"/>
    <x v="0"/>
    <x v="4"/>
    <x v="5"/>
    <x v="0"/>
    <x v="0"/>
    <x v="0"/>
    <x v="0"/>
    <x v="0"/>
    <x v="0"/>
    <x v="0"/>
    <x v="0"/>
    <x v="0"/>
    <x v="0"/>
    <x v="0"/>
    <x v="0"/>
    <x v="0"/>
    <x v="0"/>
    <x v="0"/>
    <x v="0"/>
    <x v="0"/>
    <m/>
    <m/>
    <m/>
    <m/>
    <m/>
    <m/>
  </r>
  <r>
    <x v="1"/>
    <x v="0"/>
    <x v="1"/>
    <x v="1"/>
    <x v="0"/>
    <x v="1"/>
    <x v="0"/>
    <x v="5"/>
    <x v="2"/>
    <x v="2"/>
    <x v="2"/>
    <x v="2"/>
    <x v="4"/>
    <x v="2"/>
    <x v="2"/>
    <x v="2"/>
    <x v="2"/>
    <x v="2"/>
    <x v="2"/>
    <x v="2"/>
    <x v="2"/>
    <x v="2"/>
    <x v="2"/>
    <x v="2"/>
    <x v="2"/>
    <x v="2"/>
    <n v="0"/>
    <n v="0"/>
    <n v="0"/>
    <n v="0"/>
    <n v="0"/>
    <n v="0"/>
  </r>
  <r>
    <x v="1"/>
    <x v="0"/>
    <x v="1"/>
    <x v="1"/>
    <x v="0"/>
    <x v="2"/>
    <x v="0"/>
    <x v="2"/>
    <x v="2"/>
    <x v="0"/>
    <x v="0"/>
    <x v="0"/>
    <x v="0"/>
    <x v="0"/>
    <x v="0"/>
    <x v="0"/>
    <x v="0"/>
    <x v="0"/>
    <x v="0"/>
    <x v="0"/>
    <x v="0"/>
    <x v="0"/>
    <x v="0"/>
    <x v="0"/>
    <x v="0"/>
    <x v="0"/>
    <m/>
    <m/>
    <m/>
    <m/>
    <m/>
    <m/>
  </r>
  <r>
    <x v="1"/>
    <x v="0"/>
    <x v="1"/>
    <x v="1"/>
    <x v="0"/>
    <x v="3"/>
    <x v="0"/>
    <x v="2"/>
    <x v="2"/>
    <x v="0"/>
    <x v="0"/>
    <x v="0"/>
    <x v="0"/>
    <x v="0"/>
    <x v="0"/>
    <x v="0"/>
    <x v="0"/>
    <x v="0"/>
    <x v="0"/>
    <x v="0"/>
    <x v="0"/>
    <x v="0"/>
    <x v="0"/>
    <x v="0"/>
    <x v="0"/>
    <x v="0"/>
    <m/>
    <m/>
    <m/>
    <m/>
    <m/>
    <m/>
  </r>
  <r>
    <x v="1"/>
    <x v="0"/>
    <x v="1"/>
    <x v="1"/>
    <x v="0"/>
    <x v="4"/>
    <x v="0"/>
    <x v="6"/>
    <x v="6"/>
    <x v="0"/>
    <x v="0"/>
    <x v="0"/>
    <x v="0"/>
    <x v="0"/>
    <x v="0"/>
    <x v="0"/>
    <x v="0"/>
    <x v="0"/>
    <x v="0"/>
    <x v="0"/>
    <x v="0"/>
    <x v="0"/>
    <x v="0"/>
    <x v="0"/>
    <x v="0"/>
    <x v="0"/>
    <m/>
    <m/>
    <m/>
    <m/>
    <m/>
    <m/>
  </r>
  <r>
    <x v="1"/>
    <x v="0"/>
    <x v="1"/>
    <x v="1"/>
    <x v="0"/>
    <x v="5"/>
    <x v="0"/>
    <x v="3"/>
    <x v="3"/>
    <x v="0"/>
    <x v="0"/>
    <x v="0"/>
    <x v="0"/>
    <x v="0"/>
    <x v="0"/>
    <x v="0"/>
    <x v="0"/>
    <x v="0"/>
    <x v="0"/>
    <x v="0"/>
    <x v="0"/>
    <x v="0"/>
    <x v="0"/>
    <x v="0"/>
    <x v="0"/>
    <x v="0"/>
    <m/>
    <m/>
    <m/>
    <m/>
    <m/>
    <m/>
  </r>
  <r>
    <x v="1"/>
    <x v="0"/>
    <x v="1"/>
    <x v="1"/>
    <x v="0"/>
    <x v="6"/>
    <x v="0"/>
    <x v="2"/>
    <x v="2"/>
    <x v="2"/>
    <x v="2"/>
    <x v="2"/>
    <x v="2"/>
    <x v="2"/>
    <x v="2"/>
    <x v="2"/>
    <x v="2"/>
    <x v="2"/>
    <x v="2"/>
    <x v="2"/>
    <x v="2"/>
    <x v="2"/>
    <x v="2"/>
    <x v="2"/>
    <x v="2"/>
    <x v="2"/>
    <n v="0"/>
    <n v="0"/>
    <n v="0"/>
    <n v="0"/>
    <n v="0"/>
    <n v="0"/>
  </r>
  <r>
    <x v="1"/>
    <x v="0"/>
    <x v="1"/>
    <x v="1"/>
    <x v="0"/>
    <x v="7"/>
    <x v="0"/>
    <x v="3"/>
    <x v="3"/>
    <x v="0"/>
    <x v="0"/>
    <x v="0"/>
    <x v="0"/>
    <x v="0"/>
    <x v="0"/>
    <x v="0"/>
    <x v="0"/>
    <x v="0"/>
    <x v="0"/>
    <x v="0"/>
    <x v="0"/>
    <x v="0"/>
    <x v="0"/>
    <x v="0"/>
    <x v="0"/>
    <x v="0"/>
    <m/>
    <m/>
    <m/>
    <m/>
    <m/>
    <m/>
  </r>
  <r>
    <x v="1"/>
    <x v="0"/>
    <x v="1"/>
    <x v="1"/>
    <x v="0"/>
    <x v="8"/>
    <x v="0"/>
    <x v="2"/>
    <x v="3"/>
    <x v="0"/>
    <x v="0"/>
    <x v="0"/>
    <x v="0"/>
    <x v="0"/>
    <x v="0"/>
    <x v="0"/>
    <x v="0"/>
    <x v="0"/>
    <x v="0"/>
    <x v="0"/>
    <x v="0"/>
    <x v="0"/>
    <x v="0"/>
    <x v="0"/>
    <x v="0"/>
    <x v="0"/>
    <m/>
    <m/>
    <m/>
    <m/>
    <m/>
    <m/>
  </r>
  <r>
    <x v="1"/>
    <x v="0"/>
    <x v="1"/>
    <x v="1"/>
    <x v="0"/>
    <x v="9"/>
    <x v="0"/>
    <x v="2"/>
    <x v="3"/>
    <x v="0"/>
    <x v="0"/>
    <x v="0"/>
    <x v="0"/>
    <x v="0"/>
    <x v="0"/>
    <x v="0"/>
    <x v="0"/>
    <x v="0"/>
    <x v="0"/>
    <x v="0"/>
    <x v="0"/>
    <x v="0"/>
    <x v="0"/>
    <x v="0"/>
    <x v="0"/>
    <x v="0"/>
    <m/>
    <m/>
    <m/>
    <m/>
    <m/>
    <m/>
  </r>
  <r>
    <x v="1"/>
    <x v="0"/>
    <x v="1"/>
    <x v="1"/>
    <x v="0"/>
    <x v="10"/>
    <x v="0"/>
    <x v="3"/>
    <x v="3"/>
    <x v="0"/>
    <x v="0"/>
    <x v="0"/>
    <x v="0"/>
    <x v="0"/>
    <x v="0"/>
    <x v="0"/>
    <x v="0"/>
    <x v="0"/>
    <x v="0"/>
    <x v="0"/>
    <x v="0"/>
    <x v="0"/>
    <x v="0"/>
    <x v="0"/>
    <x v="0"/>
    <x v="0"/>
    <m/>
    <m/>
    <m/>
    <m/>
    <m/>
    <m/>
  </r>
  <r>
    <x v="1"/>
    <x v="0"/>
    <x v="1"/>
    <x v="1"/>
    <x v="0"/>
    <x v="11"/>
    <x v="0"/>
    <x v="3"/>
    <x v="7"/>
    <x v="4"/>
    <x v="4"/>
    <x v="4"/>
    <x v="5"/>
    <x v="4"/>
    <x v="4"/>
    <x v="4"/>
    <x v="4"/>
    <x v="4"/>
    <x v="4"/>
    <x v="4"/>
    <x v="4"/>
    <x v="4"/>
    <x v="4"/>
    <x v="4"/>
    <x v="4"/>
    <x v="4"/>
    <n v="-32511"/>
    <n v="-32511"/>
    <n v="-32511"/>
    <n v="-32511"/>
    <n v="-32511"/>
    <n v="-32511"/>
  </r>
  <r>
    <x v="1"/>
    <x v="0"/>
    <x v="1"/>
    <x v="1"/>
    <x v="0"/>
    <x v="12"/>
    <x v="0"/>
    <x v="3"/>
    <x v="2"/>
    <x v="2"/>
    <x v="2"/>
    <x v="2"/>
    <x v="2"/>
    <x v="2"/>
    <x v="2"/>
    <x v="2"/>
    <x v="2"/>
    <x v="2"/>
    <x v="2"/>
    <x v="2"/>
    <x v="2"/>
    <x v="2"/>
    <x v="2"/>
    <x v="2"/>
    <x v="2"/>
    <x v="2"/>
    <n v="0"/>
    <n v="0"/>
    <n v="0"/>
    <n v="0"/>
    <n v="0"/>
    <n v="0"/>
  </r>
  <r>
    <x v="2"/>
    <x v="0"/>
    <x v="2"/>
    <x v="2"/>
    <x v="0"/>
    <x v="0"/>
    <x v="0"/>
    <x v="2"/>
    <x v="2"/>
    <x v="0"/>
    <x v="0"/>
    <x v="0"/>
    <x v="0"/>
    <x v="0"/>
    <x v="0"/>
    <x v="0"/>
    <x v="0"/>
    <x v="0"/>
    <x v="0"/>
    <x v="0"/>
    <x v="0"/>
    <x v="0"/>
    <x v="0"/>
    <x v="0"/>
    <x v="0"/>
    <x v="0"/>
    <m/>
    <m/>
    <m/>
    <m/>
    <m/>
    <m/>
  </r>
  <r>
    <x v="2"/>
    <x v="0"/>
    <x v="2"/>
    <x v="2"/>
    <x v="0"/>
    <x v="1"/>
    <x v="0"/>
    <x v="7"/>
    <x v="8"/>
    <x v="5"/>
    <x v="5"/>
    <x v="5"/>
    <x v="6"/>
    <x v="5"/>
    <x v="5"/>
    <x v="5"/>
    <x v="5"/>
    <x v="5"/>
    <x v="5"/>
    <x v="5"/>
    <x v="5"/>
    <x v="5"/>
    <x v="5"/>
    <x v="5"/>
    <x v="5"/>
    <x v="5"/>
    <n v="8"/>
    <n v="8"/>
    <n v="7"/>
    <n v="7"/>
    <n v="7"/>
    <n v="7"/>
  </r>
  <r>
    <x v="2"/>
    <x v="0"/>
    <x v="2"/>
    <x v="2"/>
    <x v="0"/>
    <x v="2"/>
    <x v="0"/>
    <x v="3"/>
    <x v="3"/>
    <x v="0"/>
    <x v="0"/>
    <x v="0"/>
    <x v="0"/>
    <x v="0"/>
    <x v="0"/>
    <x v="0"/>
    <x v="0"/>
    <x v="0"/>
    <x v="0"/>
    <x v="0"/>
    <x v="0"/>
    <x v="0"/>
    <x v="0"/>
    <x v="0"/>
    <x v="0"/>
    <x v="0"/>
    <m/>
    <m/>
    <m/>
    <m/>
    <m/>
    <m/>
  </r>
  <r>
    <x v="2"/>
    <x v="0"/>
    <x v="2"/>
    <x v="2"/>
    <x v="0"/>
    <x v="3"/>
    <x v="0"/>
    <x v="3"/>
    <x v="3"/>
    <x v="0"/>
    <x v="0"/>
    <x v="0"/>
    <x v="0"/>
    <x v="0"/>
    <x v="0"/>
    <x v="0"/>
    <x v="0"/>
    <x v="0"/>
    <x v="0"/>
    <x v="0"/>
    <x v="0"/>
    <x v="0"/>
    <x v="0"/>
    <x v="0"/>
    <x v="0"/>
    <x v="0"/>
    <m/>
    <m/>
    <m/>
    <m/>
    <m/>
    <m/>
  </r>
  <r>
    <x v="2"/>
    <x v="0"/>
    <x v="2"/>
    <x v="2"/>
    <x v="0"/>
    <x v="4"/>
    <x v="0"/>
    <x v="3"/>
    <x v="3"/>
    <x v="0"/>
    <x v="0"/>
    <x v="0"/>
    <x v="0"/>
    <x v="0"/>
    <x v="0"/>
    <x v="0"/>
    <x v="0"/>
    <x v="0"/>
    <x v="0"/>
    <x v="0"/>
    <x v="0"/>
    <x v="0"/>
    <x v="0"/>
    <x v="0"/>
    <x v="0"/>
    <x v="0"/>
    <m/>
    <m/>
    <m/>
    <m/>
    <m/>
    <m/>
  </r>
  <r>
    <x v="2"/>
    <x v="0"/>
    <x v="2"/>
    <x v="2"/>
    <x v="0"/>
    <x v="5"/>
    <x v="0"/>
    <x v="3"/>
    <x v="3"/>
    <x v="0"/>
    <x v="0"/>
    <x v="0"/>
    <x v="0"/>
    <x v="0"/>
    <x v="0"/>
    <x v="0"/>
    <x v="0"/>
    <x v="0"/>
    <x v="0"/>
    <x v="0"/>
    <x v="0"/>
    <x v="0"/>
    <x v="0"/>
    <x v="0"/>
    <x v="0"/>
    <x v="0"/>
    <m/>
    <m/>
    <m/>
    <m/>
    <m/>
    <m/>
  </r>
  <r>
    <x v="2"/>
    <x v="0"/>
    <x v="2"/>
    <x v="2"/>
    <x v="0"/>
    <x v="6"/>
    <x v="0"/>
    <x v="2"/>
    <x v="2"/>
    <x v="2"/>
    <x v="2"/>
    <x v="2"/>
    <x v="2"/>
    <x v="2"/>
    <x v="2"/>
    <x v="2"/>
    <x v="2"/>
    <x v="2"/>
    <x v="2"/>
    <x v="2"/>
    <x v="2"/>
    <x v="2"/>
    <x v="2"/>
    <x v="2"/>
    <x v="2"/>
    <x v="2"/>
    <n v="0"/>
    <n v="0"/>
    <n v="0"/>
    <n v="0"/>
    <n v="0"/>
    <n v="0"/>
  </r>
  <r>
    <x v="2"/>
    <x v="0"/>
    <x v="2"/>
    <x v="2"/>
    <x v="0"/>
    <x v="7"/>
    <x v="0"/>
    <x v="3"/>
    <x v="3"/>
    <x v="0"/>
    <x v="0"/>
    <x v="0"/>
    <x v="0"/>
    <x v="0"/>
    <x v="0"/>
    <x v="0"/>
    <x v="0"/>
    <x v="0"/>
    <x v="0"/>
    <x v="0"/>
    <x v="0"/>
    <x v="0"/>
    <x v="0"/>
    <x v="0"/>
    <x v="0"/>
    <x v="0"/>
    <m/>
    <m/>
    <m/>
    <m/>
    <m/>
    <m/>
  </r>
  <r>
    <x v="2"/>
    <x v="0"/>
    <x v="2"/>
    <x v="2"/>
    <x v="0"/>
    <x v="8"/>
    <x v="0"/>
    <x v="2"/>
    <x v="3"/>
    <x v="0"/>
    <x v="0"/>
    <x v="0"/>
    <x v="0"/>
    <x v="0"/>
    <x v="0"/>
    <x v="0"/>
    <x v="0"/>
    <x v="0"/>
    <x v="0"/>
    <x v="0"/>
    <x v="0"/>
    <x v="0"/>
    <x v="0"/>
    <x v="0"/>
    <x v="0"/>
    <x v="0"/>
    <m/>
    <m/>
    <m/>
    <m/>
    <m/>
    <m/>
  </r>
  <r>
    <x v="2"/>
    <x v="0"/>
    <x v="2"/>
    <x v="2"/>
    <x v="0"/>
    <x v="9"/>
    <x v="0"/>
    <x v="2"/>
    <x v="3"/>
    <x v="0"/>
    <x v="0"/>
    <x v="0"/>
    <x v="0"/>
    <x v="0"/>
    <x v="0"/>
    <x v="0"/>
    <x v="0"/>
    <x v="0"/>
    <x v="0"/>
    <x v="0"/>
    <x v="0"/>
    <x v="0"/>
    <x v="0"/>
    <x v="0"/>
    <x v="0"/>
    <x v="0"/>
    <m/>
    <m/>
    <m/>
    <m/>
    <m/>
    <m/>
  </r>
  <r>
    <x v="2"/>
    <x v="0"/>
    <x v="2"/>
    <x v="2"/>
    <x v="0"/>
    <x v="10"/>
    <x v="0"/>
    <x v="3"/>
    <x v="3"/>
    <x v="0"/>
    <x v="0"/>
    <x v="0"/>
    <x v="0"/>
    <x v="0"/>
    <x v="0"/>
    <x v="0"/>
    <x v="0"/>
    <x v="0"/>
    <x v="0"/>
    <x v="0"/>
    <x v="0"/>
    <x v="0"/>
    <x v="0"/>
    <x v="0"/>
    <x v="0"/>
    <x v="0"/>
    <m/>
    <m/>
    <m/>
    <m/>
    <m/>
    <m/>
  </r>
  <r>
    <x v="2"/>
    <x v="0"/>
    <x v="2"/>
    <x v="2"/>
    <x v="0"/>
    <x v="11"/>
    <x v="0"/>
    <x v="3"/>
    <x v="9"/>
    <x v="6"/>
    <x v="6"/>
    <x v="6"/>
    <x v="7"/>
    <x v="6"/>
    <x v="6"/>
    <x v="6"/>
    <x v="6"/>
    <x v="6"/>
    <x v="6"/>
    <x v="6"/>
    <x v="6"/>
    <x v="6"/>
    <x v="6"/>
    <x v="6"/>
    <x v="6"/>
    <x v="6"/>
    <n v="-82"/>
    <n v="-90"/>
    <n v="-97"/>
    <n v="-104"/>
    <n v="-111"/>
    <n v="-118"/>
  </r>
  <r>
    <x v="2"/>
    <x v="0"/>
    <x v="2"/>
    <x v="2"/>
    <x v="0"/>
    <x v="12"/>
    <x v="0"/>
    <x v="3"/>
    <x v="2"/>
    <x v="2"/>
    <x v="2"/>
    <x v="2"/>
    <x v="2"/>
    <x v="2"/>
    <x v="2"/>
    <x v="2"/>
    <x v="2"/>
    <x v="2"/>
    <x v="2"/>
    <x v="2"/>
    <x v="2"/>
    <x v="2"/>
    <x v="2"/>
    <x v="2"/>
    <x v="2"/>
    <x v="2"/>
    <n v="0"/>
    <n v="0"/>
    <n v="0"/>
    <n v="0"/>
    <n v="0"/>
    <n v="0"/>
  </r>
  <r>
    <x v="3"/>
    <x v="0"/>
    <x v="3"/>
    <x v="3"/>
    <x v="0"/>
    <x v="0"/>
    <x v="0"/>
    <x v="8"/>
    <x v="10"/>
    <x v="0"/>
    <x v="0"/>
    <x v="0"/>
    <x v="0"/>
    <x v="0"/>
    <x v="0"/>
    <x v="0"/>
    <x v="0"/>
    <x v="0"/>
    <x v="0"/>
    <x v="0"/>
    <x v="0"/>
    <x v="0"/>
    <x v="0"/>
    <x v="0"/>
    <x v="0"/>
    <x v="0"/>
    <m/>
    <m/>
    <m/>
    <m/>
    <m/>
    <m/>
  </r>
  <r>
    <x v="3"/>
    <x v="0"/>
    <x v="3"/>
    <x v="3"/>
    <x v="0"/>
    <x v="1"/>
    <x v="0"/>
    <x v="9"/>
    <x v="8"/>
    <x v="5"/>
    <x v="5"/>
    <x v="5"/>
    <x v="8"/>
    <x v="7"/>
    <x v="7"/>
    <x v="7"/>
    <x v="7"/>
    <x v="7"/>
    <x v="7"/>
    <x v="2"/>
    <x v="2"/>
    <x v="2"/>
    <x v="2"/>
    <x v="2"/>
    <x v="2"/>
    <x v="2"/>
    <n v="0"/>
    <n v="0"/>
    <n v="0"/>
    <n v="0"/>
    <n v="0"/>
    <n v="0"/>
  </r>
  <r>
    <x v="3"/>
    <x v="0"/>
    <x v="3"/>
    <x v="3"/>
    <x v="0"/>
    <x v="2"/>
    <x v="0"/>
    <x v="2"/>
    <x v="2"/>
    <x v="0"/>
    <x v="0"/>
    <x v="0"/>
    <x v="0"/>
    <x v="0"/>
    <x v="0"/>
    <x v="0"/>
    <x v="0"/>
    <x v="0"/>
    <x v="0"/>
    <x v="0"/>
    <x v="0"/>
    <x v="0"/>
    <x v="0"/>
    <x v="0"/>
    <x v="0"/>
    <x v="0"/>
    <m/>
    <m/>
    <m/>
    <m/>
    <m/>
    <m/>
  </r>
  <r>
    <x v="3"/>
    <x v="0"/>
    <x v="3"/>
    <x v="3"/>
    <x v="0"/>
    <x v="3"/>
    <x v="0"/>
    <x v="2"/>
    <x v="2"/>
    <x v="0"/>
    <x v="0"/>
    <x v="0"/>
    <x v="0"/>
    <x v="0"/>
    <x v="0"/>
    <x v="0"/>
    <x v="0"/>
    <x v="0"/>
    <x v="0"/>
    <x v="0"/>
    <x v="0"/>
    <x v="0"/>
    <x v="0"/>
    <x v="0"/>
    <x v="0"/>
    <x v="0"/>
    <m/>
    <m/>
    <m/>
    <m/>
    <m/>
    <m/>
  </r>
  <r>
    <x v="3"/>
    <x v="0"/>
    <x v="3"/>
    <x v="3"/>
    <x v="0"/>
    <x v="4"/>
    <x v="0"/>
    <x v="2"/>
    <x v="2"/>
    <x v="0"/>
    <x v="0"/>
    <x v="0"/>
    <x v="0"/>
    <x v="0"/>
    <x v="0"/>
    <x v="0"/>
    <x v="0"/>
    <x v="0"/>
    <x v="0"/>
    <x v="0"/>
    <x v="0"/>
    <x v="0"/>
    <x v="0"/>
    <x v="0"/>
    <x v="0"/>
    <x v="0"/>
    <m/>
    <m/>
    <m/>
    <m/>
    <m/>
    <m/>
  </r>
  <r>
    <x v="3"/>
    <x v="0"/>
    <x v="3"/>
    <x v="3"/>
    <x v="0"/>
    <x v="5"/>
    <x v="0"/>
    <x v="3"/>
    <x v="3"/>
    <x v="0"/>
    <x v="0"/>
    <x v="0"/>
    <x v="0"/>
    <x v="0"/>
    <x v="0"/>
    <x v="0"/>
    <x v="0"/>
    <x v="0"/>
    <x v="0"/>
    <x v="0"/>
    <x v="0"/>
    <x v="0"/>
    <x v="0"/>
    <x v="0"/>
    <x v="0"/>
    <x v="0"/>
    <m/>
    <m/>
    <m/>
    <m/>
    <m/>
    <m/>
  </r>
  <r>
    <x v="3"/>
    <x v="0"/>
    <x v="3"/>
    <x v="3"/>
    <x v="0"/>
    <x v="6"/>
    <x v="0"/>
    <x v="2"/>
    <x v="2"/>
    <x v="2"/>
    <x v="2"/>
    <x v="2"/>
    <x v="2"/>
    <x v="2"/>
    <x v="2"/>
    <x v="2"/>
    <x v="2"/>
    <x v="2"/>
    <x v="2"/>
    <x v="2"/>
    <x v="2"/>
    <x v="2"/>
    <x v="2"/>
    <x v="2"/>
    <x v="2"/>
    <x v="2"/>
    <n v="0"/>
    <n v="0"/>
    <n v="0"/>
    <n v="0"/>
    <n v="0"/>
    <n v="0"/>
  </r>
  <r>
    <x v="3"/>
    <x v="0"/>
    <x v="3"/>
    <x v="3"/>
    <x v="0"/>
    <x v="7"/>
    <x v="0"/>
    <x v="3"/>
    <x v="3"/>
    <x v="0"/>
    <x v="0"/>
    <x v="0"/>
    <x v="0"/>
    <x v="0"/>
    <x v="0"/>
    <x v="0"/>
    <x v="0"/>
    <x v="0"/>
    <x v="0"/>
    <x v="0"/>
    <x v="0"/>
    <x v="0"/>
    <x v="0"/>
    <x v="0"/>
    <x v="0"/>
    <x v="0"/>
    <m/>
    <m/>
    <m/>
    <m/>
    <m/>
    <m/>
  </r>
  <r>
    <x v="3"/>
    <x v="0"/>
    <x v="3"/>
    <x v="3"/>
    <x v="0"/>
    <x v="8"/>
    <x v="0"/>
    <x v="2"/>
    <x v="3"/>
    <x v="0"/>
    <x v="0"/>
    <x v="0"/>
    <x v="0"/>
    <x v="0"/>
    <x v="0"/>
    <x v="0"/>
    <x v="0"/>
    <x v="0"/>
    <x v="0"/>
    <x v="0"/>
    <x v="0"/>
    <x v="0"/>
    <x v="0"/>
    <x v="0"/>
    <x v="0"/>
    <x v="0"/>
    <m/>
    <m/>
    <m/>
    <m/>
    <m/>
    <m/>
  </r>
  <r>
    <x v="3"/>
    <x v="0"/>
    <x v="3"/>
    <x v="3"/>
    <x v="0"/>
    <x v="9"/>
    <x v="0"/>
    <x v="2"/>
    <x v="3"/>
    <x v="0"/>
    <x v="0"/>
    <x v="0"/>
    <x v="0"/>
    <x v="0"/>
    <x v="0"/>
    <x v="0"/>
    <x v="0"/>
    <x v="0"/>
    <x v="0"/>
    <x v="0"/>
    <x v="0"/>
    <x v="0"/>
    <x v="0"/>
    <x v="0"/>
    <x v="0"/>
    <x v="0"/>
    <m/>
    <m/>
    <m/>
    <m/>
    <m/>
    <m/>
  </r>
  <r>
    <x v="3"/>
    <x v="0"/>
    <x v="3"/>
    <x v="3"/>
    <x v="0"/>
    <x v="10"/>
    <x v="0"/>
    <x v="3"/>
    <x v="3"/>
    <x v="0"/>
    <x v="0"/>
    <x v="0"/>
    <x v="0"/>
    <x v="0"/>
    <x v="0"/>
    <x v="0"/>
    <x v="0"/>
    <x v="0"/>
    <x v="0"/>
    <x v="0"/>
    <x v="0"/>
    <x v="0"/>
    <x v="0"/>
    <x v="0"/>
    <x v="0"/>
    <x v="0"/>
    <m/>
    <m/>
    <m/>
    <m/>
    <m/>
    <m/>
  </r>
  <r>
    <x v="3"/>
    <x v="0"/>
    <x v="3"/>
    <x v="3"/>
    <x v="0"/>
    <x v="11"/>
    <x v="0"/>
    <x v="3"/>
    <x v="11"/>
    <x v="7"/>
    <x v="7"/>
    <x v="7"/>
    <x v="9"/>
    <x v="8"/>
    <x v="8"/>
    <x v="8"/>
    <x v="8"/>
    <x v="8"/>
    <x v="8"/>
    <x v="7"/>
    <x v="7"/>
    <x v="7"/>
    <x v="7"/>
    <x v="7"/>
    <x v="7"/>
    <x v="7"/>
    <n v="-14263"/>
    <n v="-14263"/>
    <n v="-14263"/>
    <n v="-14263"/>
    <n v="-14263"/>
    <n v="-14263"/>
  </r>
  <r>
    <x v="3"/>
    <x v="0"/>
    <x v="3"/>
    <x v="3"/>
    <x v="0"/>
    <x v="12"/>
    <x v="0"/>
    <x v="3"/>
    <x v="2"/>
    <x v="2"/>
    <x v="2"/>
    <x v="2"/>
    <x v="2"/>
    <x v="2"/>
    <x v="2"/>
    <x v="2"/>
    <x v="2"/>
    <x v="2"/>
    <x v="2"/>
    <x v="2"/>
    <x v="2"/>
    <x v="2"/>
    <x v="2"/>
    <x v="2"/>
    <x v="2"/>
    <x v="2"/>
    <n v="0"/>
    <n v="0"/>
    <n v="0"/>
    <n v="0"/>
    <n v="0"/>
    <n v="0"/>
  </r>
  <r>
    <x v="4"/>
    <x v="0"/>
    <x v="4"/>
    <x v="2"/>
    <x v="0"/>
    <x v="0"/>
    <x v="0"/>
    <x v="10"/>
    <x v="12"/>
    <x v="0"/>
    <x v="0"/>
    <x v="0"/>
    <x v="0"/>
    <x v="0"/>
    <x v="0"/>
    <x v="0"/>
    <x v="0"/>
    <x v="0"/>
    <x v="0"/>
    <x v="0"/>
    <x v="0"/>
    <x v="0"/>
    <x v="0"/>
    <x v="0"/>
    <x v="0"/>
    <x v="0"/>
    <m/>
    <m/>
    <m/>
    <m/>
    <m/>
    <m/>
  </r>
  <r>
    <x v="4"/>
    <x v="0"/>
    <x v="4"/>
    <x v="2"/>
    <x v="0"/>
    <x v="1"/>
    <x v="0"/>
    <x v="11"/>
    <x v="2"/>
    <x v="5"/>
    <x v="2"/>
    <x v="8"/>
    <x v="2"/>
    <x v="2"/>
    <x v="2"/>
    <x v="2"/>
    <x v="2"/>
    <x v="2"/>
    <x v="2"/>
    <x v="2"/>
    <x v="2"/>
    <x v="2"/>
    <x v="2"/>
    <x v="2"/>
    <x v="2"/>
    <x v="2"/>
    <n v="0"/>
    <n v="0"/>
    <n v="0"/>
    <n v="0"/>
    <n v="0"/>
    <n v="0"/>
  </r>
  <r>
    <x v="4"/>
    <x v="0"/>
    <x v="4"/>
    <x v="2"/>
    <x v="0"/>
    <x v="2"/>
    <x v="0"/>
    <x v="12"/>
    <x v="13"/>
    <x v="0"/>
    <x v="0"/>
    <x v="0"/>
    <x v="0"/>
    <x v="0"/>
    <x v="0"/>
    <x v="0"/>
    <x v="0"/>
    <x v="0"/>
    <x v="0"/>
    <x v="0"/>
    <x v="0"/>
    <x v="0"/>
    <x v="0"/>
    <x v="0"/>
    <x v="0"/>
    <x v="0"/>
    <m/>
    <m/>
    <m/>
    <m/>
    <m/>
    <m/>
  </r>
  <r>
    <x v="4"/>
    <x v="0"/>
    <x v="4"/>
    <x v="2"/>
    <x v="0"/>
    <x v="3"/>
    <x v="0"/>
    <x v="2"/>
    <x v="2"/>
    <x v="0"/>
    <x v="0"/>
    <x v="0"/>
    <x v="0"/>
    <x v="0"/>
    <x v="0"/>
    <x v="0"/>
    <x v="0"/>
    <x v="0"/>
    <x v="0"/>
    <x v="0"/>
    <x v="0"/>
    <x v="0"/>
    <x v="0"/>
    <x v="0"/>
    <x v="0"/>
    <x v="0"/>
    <m/>
    <m/>
    <m/>
    <m/>
    <m/>
    <m/>
  </r>
  <r>
    <x v="4"/>
    <x v="0"/>
    <x v="4"/>
    <x v="2"/>
    <x v="0"/>
    <x v="4"/>
    <x v="0"/>
    <x v="13"/>
    <x v="14"/>
    <x v="0"/>
    <x v="0"/>
    <x v="0"/>
    <x v="0"/>
    <x v="0"/>
    <x v="0"/>
    <x v="0"/>
    <x v="0"/>
    <x v="0"/>
    <x v="0"/>
    <x v="0"/>
    <x v="0"/>
    <x v="0"/>
    <x v="0"/>
    <x v="0"/>
    <x v="0"/>
    <x v="0"/>
    <m/>
    <m/>
    <m/>
    <m/>
    <m/>
    <m/>
  </r>
  <r>
    <x v="4"/>
    <x v="0"/>
    <x v="4"/>
    <x v="2"/>
    <x v="0"/>
    <x v="5"/>
    <x v="0"/>
    <x v="3"/>
    <x v="3"/>
    <x v="0"/>
    <x v="0"/>
    <x v="0"/>
    <x v="0"/>
    <x v="0"/>
    <x v="0"/>
    <x v="0"/>
    <x v="0"/>
    <x v="0"/>
    <x v="0"/>
    <x v="0"/>
    <x v="0"/>
    <x v="0"/>
    <x v="0"/>
    <x v="0"/>
    <x v="0"/>
    <x v="0"/>
    <m/>
    <m/>
    <m/>
    <m/>
    <m/>
    <m/>
  </r>
  <r>
    <x v="4"/>
    <x v="0"/>
    <x v="4"/>
    <x v="2"/>
    <x v="0"/>
    <x v="6"/>
    <x v="0"/>
    <x v="14"/>
    <x v="2"/>
    <x v="2"/>
    <x v="2"/>
    <x v="2"/>
    <x v="2"/>
    <x v="2"/>
    <x v="2"/>
    <x v="2"/>
    <x v="2"/>
    <x v="2"/>
    <x v="2"/>
    <x v="2"/>
    <x v="2"/>
    <x v="2"/>
    <x v="8"/>
    <x v="2"/>
    <x v="2"/>
    <x v="2"/>
    <n v="0"/>
    <n v="0"/>
    <n v="0"/>
    <n v="0"/>
    <n v="0"/>
    <n v="0"/>
  </r>
  <r>
    <x v="4"/>
    <x v="0"/>
    <x v="4"/>
    <x v="2"/>
    <x v="0"/>
    <x v="7"/>
    <x v="0"/>
    <x v="14"/>
    <x v="3"/>
    <x v="0"/>
    <x v="0"/>
    <x v="0"/>
    <x v="0"/>
    <x v="0"/>
    <x v="0"/>
    <x v="0"/>
    <x v="0"/>
    <x v="0"/>
    <x v="0"/>
    <x v="0"/>
    <x v="0"/>
    <x v="0"/>
    <x v="8"/>
    <x v="0"/>
    <x v="0"/>
    <x v="0"/>
    <m/>
    <m/>
    <m/>
    <m/>
    <m/>
    <m/>
  </r>
  <r>
    <x v="4"/>
    <x v="0"/>
    <x v="4"/>
    <x v="2"/>
    <x v="0"/>
    <x v="8"/>
    <x v="0"/>
    <x v="2"/>
    <x v="3"/>
    <x v="0"/>
    <x v="0"/>
    <x v="0"/>
    <x v="0"/>
    <x v="0"/>
    <x v="0"/>
    <x v="0"/>
    <x v="0"/>
    <x v="0"/>
    <x v="0"/>
    <x v="0"/>
    <x v="0"/>
    <x v="0"/>
    <x v="0"/>
    <x v="0"/>
    <x v="0"/>
    <x v="0"/>
    <m/>
    <m/>
    <m/>
    <m/>
    <m/>
    <m/>
  </r>
  <r>
    <x v="4"/>
    <x v="0"/>
    <x v="4"/>
    <x v="2"/>
    <x v="0"/>
    <x v="9"/>
    <x v="0"/>
    <x v="2"/>
    <x v="3"/>
    <x v="0"/>
    <x v="0"/>
    <x v="0"/>
    <x v="0"/>
    <x v="0"/>
    <x v="0"/>
    <x v="0"/>
    <x v="0"/>
    <x v="0"/>
    <x v="0"/>
    <x v="0"/>
    <x v="0"/>
    <x v="0"/>
    <x v="0"/>
    <x v="0"/>
    <x v="0"/>
    <x v="0"/>
    <m/>
    <m/>
    <m/>
    <m/>
    <m/>
    <m/>
  </r>
  <r>
    <x v="4"/>
    <x v="0"/>
    <x v="4"/>
    <x v="2"/>
    <x v="0"/>
    <x v="10"/>
    <x v="0"/>
    <x v="14"/>
    <x v="3"/>
    <x v="0"/>
    <x v="0"/>
    <x v="0"/>
    <x v="0"/>
    <x v="0"/>
    <x v="0"/>
    <x v="0"/>
    <x v="0"/>
    <x v="0"/>
    <x v="0"/>
    <x v="0"/>
    <x v="0"/>
    <x v="0"/>
    <x v="8"/>
    <x v="0"/>
    <x v="0"/>
    <x v="0"/>
    <m/>
    <m/>
    <m/>
    <m/>
    <m/>
    <m/>
  </r>
  <r>
    <x v="4"/>
    <x v="0"/>
    <x v="4"/>
    <x v="2"/>
    <x v="0"/>
    <x v="11"/>
    <x v="0"/>
    <x v="3"/>
    <x v="15"/>
    <x v="8"/>
    <x v="8"/>
    <x v="9"/>
    <x v="10"/>
    <x v="9"/>
    <x v="9"/>
    <x v="9"/>
    <x v="9"/>
    <x v="9"/>
    <x v="9"/>
    <x v="8"/>
    <x v="8"/>
    <x v="8"/>
    <x v="9"/>
    <x v="8"/>
    <x v="8"/>
    <x v="8"/>
    <n v="23463"/>
    <n v="23463"/>
    <n v="23463"/>
    <n v="23463"/>
    <n v="23463"/>
    <n v="23463"/>
  </r>
  <r>
    <x v="4"/>
    <x v="0"/>
    <x v="4"/>
    <x v="2"/>
    <x v="0"/>
    <x v="12"/>
    <x v="0"/>
    <x v="3"/>
    <x v="2"/>
    <x v="2"/>
    <x v="2"/>
    <x v="2"/>
    <x v="2"/>
    <x v="2"/>
    <x v="2"/>
    <x v="2"/>
    <x v="2"/>
    <x v="2"/>
    <x v="2"/>
    <x v="2"/>
    <x v="2"/>
    <x v="2"/>
    <x v="2"/>
    <x v="2"/>
    <x v="2"/>
    <x v="2"/>
    <n v="0"/>
    <n v="0"/>
    <n v="0"/>
    <n v="0"/>
    <n v="0"/>
    <n v="0"/>
  </r>
  <r>
    <x v="5"/>
    <x v="0"/>
    <x v="5"/>
    <x v="2"/>
    <x v="0"/>
    <x v="0"/>
    <x v="0"/>
    <x v="15"/>
    <x v="16"/>
    <x v="0"/>
    <x v="0"/>
    <x v="0"/>
    <x v="0"/>
    <x v="0"/>
    <x v="0"/>
    <x v="0"/>
    <x v="0"/>
    <x v="0"/>
    <x v="0"/>
    <x v="0"/>
    <x v="0"/>
    <x v="0"/>
    <x v="0"/>
    <x v="0"/>
    <x v="0"/>
    <x v="0"/>
    <m/>
    <m/>
    <m/>
    <m/>
    <m/>
    <m/>
  </r>
  <r>
    <x v="5"/>
    <x v="0"/>
    <x v="5"/>
    <x v="2"/>
    <x v="0"/>
    <x v="1"/>
    <x v="0"/>
    <x v="16"/>
    <x v="17"/>
    <x v="9"/>
    <x v="9"/>
    <x v="10"/>
    <x v="11"/>
    <x v="10"/>
    <x v="10"/>
    <x v="10"/>
    <x v="10"/>
    <x v="10"/>
    <x v="10"/>
    <x v="9"/>
    <x v="9"/>
    <x v="9"/>
    <x v="10"/>
    <x v="9"/>
    <x v="9"/>
    <x v="9"/>
    <n v="829"/>
    <n v="834"/>
    <n v="837"/>
    <n v="665"/>
    <n v="594"/>
    <n v="593"/>
  </r>
  <r>
    <x v="5"/>
    <x v="0"/>
    <x v="5"/>
    <x v="2"/>
    <x v="0"/>
    <x v="2"/>
    <x v="0"/>
    <x v="17"/>
    <x v="18"/>
    <x v="0"/>
    <x v="0"/>
    <x v="0"/>
    <x v="0"/>
    <x v="0"/>
    <x v="0"/>
    <x v="0"/>
    <x v="0"/>
    <x v="0"/>
    <x v="0"/>
    <x v="0"/>
    <x v="0"/>
    <x v="0"/>
    <x v="0"/>
    <x v="0"/>
    <x v="0"/>
    <x v="0"/>
    <m/>
    <m/>
    <m/>
    <m/>
    <m/>
    <m/>
  </r>
  <r>
    <x v="5"/>
    <x v="0"/>
    <x v="5"/>
    <x v="2"/>
    <x v="0"/>
    <x v="3"/>
    <x v="0"/>
    <x v="2"/>
    <x v="2"/>
    <x v="0"/>
    <x v="0"/>
    <x v="0"/>
    <x v="0"/>
    <x v="0"/>
    <x v="0"/>
    <x v="0"/>
    <x v="0"/>
    <x v="0"/>
    <x v="0"/>
    <x v="0"/>
    <x v="0"/>
    <x v="0"/>
    <x v="0"/>
    <x v="0"/>
    <x v="0"/>
    <x v="0"/>
    <m/>
    <m/>
    <m/>
    <m/>
    <m/>
    <m/>
  </r>
  <r>
    <x v="5"/>
    <x v="0"/>
    <x v="5"/>
    <x v="2"/>
    <x v="0"/>
    <x v="4"/>
    <x v="0"/>
    <x v="18"/>
    <x v="19"/>
    <x v="0"/>
    <x v="0"/>
    <x v="0"/>
    <x v="0"/>
    <x v="0"/>
    <x v="0"/>
    <x v="0"/>
    <x v="0"/>
    <x v="0"/>
    <x v="0"/>
    <x v="0"/>
    <x v="0"/>
    <x v="0"/>
    <x v="0"/>
    <x v="0"/>
    <x v="0"/>
    <x v="0"/>
    <m/>
    <m/>
    <m/>
    <m/>
    <m/>
    <m/>
  </r>
  <r>
    <x v="5"/>
    <x v="0"/>
    <x v="5"/>
    <x v="2"/>
    <x v="0"/>
    <x v="5"/>
    <x v="0"/>
    <x v="3"/>
    <x v="3"/>
    <x v="0"/>
    <x v="0"/>
    <x v="0"/>
    <x v="0"/>
    <x v="0"/>
    <x v="0"/>
    <x v="0"/>
    <x v="0"/>
    <x v="0"/>
    <x v="0"/>
    <x v="0"/>
    <x v="0"/>
    <x v="0"/>
    <x v="0"/>
    <x v="0"/>
    <x v="0"/>
    <x v="0"/>
    <m/>
    <m/>
    <m/>
    <m/>
    <m/>
    <m/>
  </r>
  <r>
    <x v="5"/>
    <x v="0"/>
    <x v="5"/>
    <x v="2"/>
    <x v="0"/>
    <x v="6"/>
    <x v="0"/>
    <x v="19"/>
    <x v="2"/>
    <x v="2"/>
    <x v="2"/>
    <x v="2"/>
    <x v="12"/>
    <x v="2"/>
    <x v="2"/>
    <x v="2"/>
    <x v="11"/>
    <x v="2"/>
    <x v="2"/>
    <x v="2"/>
    <x v="2"/>
    <x v="2"/>
    <x v="11"/>
    <x v="2"/>
    <x v="2"/>
    <x v="2"/>
    <n v="0"/>
    <n v="0"/>
    <n v="0"/>
    <n v="0"/>
    <n v="0"/>
    <n v="0"/>
  </r>
  <r>
    <x v="5"/>
    <x v="0"/>
    <x v="5"/>
    <x v="2"/>
    <x v="0"/>
    <x v="7"/>
    <x v="0"/>
    <x v="19"/>
    <x v="3"/>
    <x v="0"/>
    <x v="0"/>
    <x v="0"/>
    <x v="12"/>
    <x v="0"/>
    <x v="0"/>
    <x v="0"/>
    <x v="11"/>
    <x v="0"/>
    <x v="0"/>
    <x v="0"/>
    <x v="0"/>
    <x v="0"/>
    <x v="11"/>
    <x v="0"/>
    <x v="0"/>
    <x v="0"/>
    <m/>
    <m/>
    <m/>
    <m/>
    <m/>
    <m/>
  </r>
  <r>
    <x v="5"/>
    <x v="0"/>
    <x v="5"/>
    <x v="2"/>
    <x v="0"/>
    <x v="8"/>
    <x v="0"/>
    <x v="2"/>
    <x v="3"/>
    <x v="0"/>
    <x v="0"/>
    <x v="0"/>
    <x v="0"/>
    <x v="0"/>
    <x v="0"/>
    <x v="0"/>
    <x v="0"/>
    <x v="0"/>
    <x v="0"/>
    <x v="0"/>
    <x v="0"/>
    <x v="0"/>
    <x v="0"/>
    <x v="0"/>
    <x v="0"/>
    <x v="0"/>
    <m/>
    <m/>
    <m/>
    <m/>
    <m/>
    <m/>
  </r>
  <r>
    <x v="5"/>
    <x v="0"/>
    <x v="5"/>
    <x v="2"/>
    <x v="0"/>
    <x v="9"/>
    <x v="0"/>
    <x v="2"/>
    <x v="3"/>
    <x v="0"/>
    <x v="0"/>
    <x v="0"/>
    <x v="0"/>
    <x v="0"/>
    <x v="0"/>
    <x v="0"/>
    <x v="0"/>
    <x v="0"/>
    <x v="0"/>
    <x v="0"/>
    <x v="0"/>
    <x v="0"/>
    <x v="0"/>
    <x v="0"/>
    <x v="0"/>
    <x v="0"/>
    <m/>
    <m/>
    <m/>
    <m/>
    <m/>
    <m/>
  </r>
  <r>
    <x v="5"/>
    <x v="0"/>
    <x v="5"/>
    <x v="2"/>
    <x v="0"/>
    <x v="10"/>
    <x v="0"/>
    <x v="19"/>
    <x v="3"/>
    <x v="0"/>
    <x v="0"/>
    <x v="0"/>
    <x v="12"/>
    <x v="0"/>
    <x v="0"/>
    <x v="0"/>
    <x v="11"/>
    <x v="0"/>
    <x v="0"/>
    <x v="0"/>
    <x v="0"/>
    <x v="0"/>
    <x v="11"/>
    <x v="0"/>
    <x v="0"/>
    <x v="0"/>
    <m/>
    <m/>
    <m/>
    <m/>
    <m/>
    <m/>
  </r>
  <r>
    <x v="5"/>
    <x v="0"/>
    <x v="5"/>
    <x v="2"/>
    <x v="0"/>
    <x v="11"/>
    <x v="0"/>
    <x v="3"/>
    <x v="20"/>
    <x v="10"/>
    <x v="10"/>
    <x v="11"/>
    <x v="13"/>
    <x v="11"/>
    <x v="11"/>
    <x v="11"/>
    <x v="12"/>
    <x v="11"/>
    <x v="11"/>
    <x v="10"/>
    <x v="10"/>
    <x v="10"/>
    <x v="12"/>
    <x v="10"/>
    <x v="10"/>
    <x v="10"/>
    <n v="41422"/>
    <n v="40588"/>
    <n v="39751"/>
    <n v="39086"/>
    <n v="38492"/>
    <n v="37899"/>
  </r>
  <r>
    <x v="5"/>
    <x v="0"/>
    <x v="5"/>
    <x v="2"/>
    <x v="0"/>
    <x v="12"/>
    <x v="0"/>
    <x v="3"/>
    <x v="2"/>
    <x v="2"/>
    <x v="2"/>
    <x v="2"/>
    <x v="2"/>
    <x v="2"/>
    <x v="2"/>
    <x v="2"/>
    <x v="2"/>
    <x v="2"/>
    <x v="2"/>
    <x v="2"/>
    <x v="2"/>
    <x v="2"/>
    <x v="2"/>
    <x v="2"/>
    <x v="2"/>
    <x v="2"/>
    <n v="0"/>
    <n v="0"/>
    <n v="0"/>
    <n v="0"/>
    <n v="0"/>
    <n v="0"/>
  </r>
  <r>
    <x v="6"/>
    <x v="0"/>
    <x v="6"/>
    <x v="2"/>
    <x v="0"/>
    <x v="0"/>
    <x v="0"/>
    <x v="20"/>
    <x v="21"/>
    <x v="0"/>
    <x v="0"/>
    <x v="0"/>
    <x v="0"/>
    <x v="0"/>
    <x v="0"/>
    <x v="0"/>
    <x v="0"/>
    <x v="0"/>
    <x v="0"/>
    <x v="0"/>
    <x v="0"/>
    <x v="0"/>
    <x v="0"/>
    <x v="0"/>
    <x v="0"/>
    <x v="0"/>
    <m/>
    <m/>
    <m/>
    <m/>
    <m/>
    <m/>
  </r>
  <r>
    <x v="6"/>
    <x v="0"/>
    <x v="6"/>
    <x v="2"/>
    <x v="0"/>
    <x v="1"/>
    <x v="0"/>
    <x v="21"/>
    <x v="2"/>
    <x v="11"/>
    <x v="2"/>
    <x v="8"/>
    <x v="2"/>
    <x v="2"/>
    <x v="2"/>
    <x v="2"/>
    <x v="2"/>
    <x v="2"/>
    <x v="2"/>
    <x v="2"/>
    <x v="2"/>
    <x v="2"/>
    <x v="2"/>
    <x v="2"/>
    <x v="2"/>
    <x v="2"/>
    <n v="0"/>
    <n v="0"/>
    <n v="0"/>
    <n v="0"/>
    <n v="0"/>
    <n v="0"/>
  </r>
  <r>
    <x v="6"/>
    <x v="0"/>
    <x v="6"/>
    <x v="2"/>
    <x v="0"/>
    <x v="2"/>
    <x v="0"/>
    <x v="3"/>
    <x v="3"/>
    <x v="0"/>
    <x v="0"/>
    <x v="0"/>
    <x v="0"/>
    <x v="0"/>
    <x v="0"/>
    <x v="0"/>
    <x v="0"/>
    <x v="0"/>
    <x v="0"/>
    <x v="0"/>
    <x v="0"/>
    <x v="0"/>
    <x v="0"/>
    <x v="0"/>
    <x v="0"/>
    <x v="0"/>
    <m/>
    <m/>
    <m/>
    <m/>
    <m/>
    <m/>
  </r>
  <r>
    <x v="6"/>
    <x v="0"/>
    <x v="6"/>
    <x v="2"/>
    <x v="0"/>
    <x v="3"/>
    <x v="0"/>
    <x v="3"/>
    <x v="3"/>
    <x v="0"/>
    <x v="0"/>
    <x v="0"/>
    <x v="0"/>
    <x v="0"/>
    <x v="0"/>
    <x v="0"/>
    <x v="0"/>
    <x v="0"/>
    <x v="0"/>
    <x v="0"/>
    <x v="0"/>
    <x v="0"/>
    <x v="0"/>
    <x v="0"/>
    <x v="0"/>
    <x v="0"/>
    <m/>
    <m/>
    <m/>
    <m/>
    <m/>
    <m/>
  </r>
  <r>
    <x v="6"/>
    <x v="0"/>
    <x v="6"/>
    <x v="2"/>
    <x v="0"/>
    <x v="4"/>
    <x v="0"/>
    <x v="3"/>
    <x v="3"/>
    <x v="0"/>
    <x v="0"/>
    <x v="0"/>
    <x v="0"/>
    <x v="0"/>
    <x v="0"/>
    <x v="0"/>
    <x v="0"/>
    <x v="0"/>
    <x v="0"/>
    <x v="0"/>
    <x v="0"/>
    <x v="0"/>
    <x v="0"/>
    <x v="0"/>
    <x v="0"/>
    <x v="0"/>
    <m/>
    <m/>
    <m/>
    <m/>
    <m/>
    <m/>
  </r>
  <r>
    <x v="6"/>
    <x v="0"/>
    <x v="6"/>
    <x v="2"/>
    <x v="0"/>
    <x v="5"/>
    <x v="0"/>
    <x v="3"/>
    <x v="3"/>
    <x v="0"/>
    <x v="0"/>
    <x v="0"/>
    <x v="0"/>
    <x v="0"/>
    <x v="0"/>
    <x v="0"/>
    <x v="0"/>
    <x v="0"/>
    <x v="0"/>
    <x v="0"/>
    <x v="0"/>
    <x v="0"/>
    <x v="0"/>
    <x v="0"/>
    <x v="0"/>
    <x v="0"/>
    <m/>
    <m/>
    <m/>
    <m/>
    <m/>
    <m/>
  </r>
  <r>
    <x v="6"/>
    <x v="0"/>
    <x v="6"/>
    <x v="2"/>
    <x v="0"/>
    <x v="6"/>
    <x v="0"/>
    <x v="2"/>
    <x v="2"/>
    <x v="2"/>
    <x v="2"/>
    <x v="2"/>
    <x v="2"/>
    <x v="2"/>
    <x v="2"/>
    <x v="2"/>
    <x v="2"/>
    <x v="2"/>
    <x v="2"/>
    <x v="2"/>
    <x v="2"/>
    <x v="2"/>
    <x v="2"/>
    <x v="2"/>
    <x v="2"/>
    <x v="2"/>
    <n v="0"/>
    <n v="0"/>
    <n v="0"/>
    <n v="0"/>
    <n v="0"/>
    <n v="0"/>
  </r>
  <r>
    <x v="6"/>
    <x v="0"/>
    <x v="6"/>
    <x v="2"/>
    <x v="0"/>
    <x v="7"/>
    <x v="0"/>
    <x v="3"/>
    <x v="3"/>
    <x v="0"/>
    <x v="0"/>
    <x v="0"/>
    <x v="0"/>
    <x v="0"/>
    <x v="0"/>
    <x v="0"/>
    <x v="0"/>
    <x v="0"/>
    <x v="0"/>
    <x v="0"/>
    <x v="0"/>
    <x v="0"/>
    <x v="0"/>
    <x v="0"/>
    <x v="0"/>
    <x v="0"/>
    <m/>
    <m/>
    <m/>
    <m/>
    <m/>
    <m/>
  </r>
  <r>
    <x v="6"/>
    <x v="0"/>
    <x v="6"/>
    <x v="2"/>
    <x v="0"/>
    <x v="8"/>
    <x v="0"/>
    <x v="2"/>
    <x v="3"/>
    <x v="0"/>
    <x v="0"/>
    <x v="0"/>
    <x v="0"/>
    <x v="0"/>
    <x v="0"/>
    <x v="0"/>
    <x v="0"/>
    <x v="0"/>
    <x v="0"/>
    <x v="0"/>
    <x v="0"/>
    <x v="0"/>
    <x v="0"/>
    <x v="0"/>
    <x v="0"/>
    <x v="0"/>
    <m/>
    <m/>
    <m/>
    <m/>
    <m/>
    <m/>
  </r>
  <r>
    <x v="6"/>
    <x v="0"/>
    <x v="6"/>
    <x v="2"/>
    <x v="0"/>
    <x v="9"/>
    <x v="0"/>
    <x v="2"/>
    <x v="3"/>
    <x v="0"/>
    <x v="0"/>
    <x v="0"/>
    <x v="0"/>
    <x v="0"/>
    <x v="0"/>
    <x v="0"/>
    <x v="0"/>
    <x v="0"/>
    <x v="0"/>
    <x v="0"/>
    <x v="0"/>
    <x v="0"/>
    <x v="0"/>
    <x v="0"/>
    <x v="0"/>
    <x v="0"/>
    <m/>
    <m/>
    <m/>
    <m/>
    <m/>
    <m/>
  </r>
  <r>
    <x v="6"/>
    <x v="0"/>
    <x v="6"/>
    <x v="2"/>
    <x v="0"/>
    <x v="10"/>
    <x v="0"/>
    <x v="3"/>
    <x v="3"/>
    <x v="0"/>
    <x v="0"/>
    <x v="0"/>
    <x v="0"/>
    <x v="0"/>
    <x v="0"/>
    <x v="0"/>
    <x v="0"/>
    <x v="0"/>
    <x v="0"/>
    <x v="0"/>
    <x v="0"/>
    <x v="0"/>
    <x v="0"/>
    <x v="0"/>
    <x v="0"/>
    <x v="0"/>
    <m/>
    <m/>
    <m/>
    <m/>
    <m/>
    <m/>
  </r>
  <r>
    <x v="6"/>
    <x v="0"/>
    <x v="6"/>
    <x v="2"/>
    <x v="0"/>
    <x v="11"/>
    <x v="0"/>
    <x v="3"/>
    <x v="22"/>
    <x v="12"/>
    <x v="11"/>
    <x v="12"/>
    <x v="14"/>
    <x v="12"/>
    <x v="12"/>
    <x v="12"/>
    <x v="13"/>
    <x v="12"/>
    <x v="12"/>
    <x v="11"/>
    <x v="11"/>
    <x v="11"/>
    <x v="13"/>
    <x v="11"/>
    <x v="11"/>
    <x v="11"/>
    <n v="-44"/>
    <n v="-44"/>
    <n v="-44"/>
    <n v="-44"/>
    <n v="-44"/>
    <n v="-44"/>
  </r>
  <r>
    <x v="6"/>
    <x v="0"/>
    <x v="6"/>
    <x v="2"/>
    <x v="0"/>
    <x v="12"/>
    <x v="0"/>
    <x v="3"/>
    <x v="2"/>
    <x v="2"/>
    <x v="2"/>
    <x v="2"/>
    <x v="2"/>
    <x v="2"/>
    <x v="2"/>
    <x v="2"/>
    <x v="2"/>
    <x v="2"/>
    <x v="2"/>
    <x v="2"/>
    <x v="2"/>
    <x v="2"/>
    <x v="2"/>
    <x v="2"/>
    <x v="2"/>
    <x v="2"/>
    <n v="0"/>
    <n v="0"/>
    <n v="0"/>
    <n v="0"/>
    <n v="0"/>
    <n v="0"/>
  </r>
  <r>
    <x v="7"/>
    <x v="0"/>
    <x v="7"/>
    <x v="0"/>
    <x v="1"/>
    <x v="0"/>
    <x v="0"/>
    <x v="22"/>
    <x v="23"/>
    <x v="0"/>
    <x v="0"/>
    <x v="0"/>
    <x v="0"/>
    <x v="0"/>
    <x v="0"/>
    <x v="0"/>
    <x v="0"/>
    <x v="0"/>
    <x v="0"/>
    <x v="0"/>
    <x v="0"/>
    <x v="0"/>
    <x v="0"/>
    <x v="0"/>
    <x v="0"/>
    <x v="0"/>
    <m/>
    <m/>
    <m/>
    <m/>
    <m/>
    <m/>
  </r>
  <r>
    <x v="7"/>
    <x v="0"/>
    <x v="7"/>
    <x v="0"/>
    <x v="1"/>
    <x v="1"/>
    <x v="0"/>
    <x v="23"/>
    <x v="24"/>
    <x v="13"/>
    <x v="12"/>
    <x v="13"/>
    <x v="15"/>
    <x v="13"/>
    <x v="13"/>
    <x v="13"/>
    <x v="14"/>
    <x v="13"/>
    <x v="13"/>
    <x v="12"/>
    <x v="12"/>
    <x v="12"/>
    <x v="2"/>
    <x v="5"/>
    <x v="2"/>
    <x v="2"/>
    <n v="0"/>
    <n v="0"/>
    <n v="0"/>
    <n v="0"/>
    <n v="0"/>
    <n v="0"/>
  </r>
  <r>
    <x v="7"/>
    <x v="0"/>
    <x v="7"/>
    <x v="0"/>
    <x v="1"/>
    <x v="2"/>
    <x v="0"/>
    <x v="24"/>
    <x v="25"/>
    <x v="0"/>
    <x v="0"/>
    <x v="0"/>
    <x v="0"/>
    <x v="0"/>
    <x v="0"/>
    <x v="0"/>
    <x v="0"/>
    <x v="0"/>
    <x v="0"/>
    <x v="0"/>
    <x v="0"/>
    <x v="0"/>
    <x v="0"/>
    <x v="0"/>
    <x v="0"/>
    <x v="0"/>
    <m/>
    <m/>
    <m/>
    <m/>
    <m/>
    <m/>
  </r>
  <r>
    <x v="7"/>
    <x v="0"/>
    <x v="7"/>
    <x v="0"/>
    <x v="1"/>
    <x v="3"/>
    <x v="0"/>
    <x v="2"/>
    <x v="2"/>
    <x v="0"/>
    <x v="0"/>
    <x v="0"/>
    <x v="0"/>
    <x v="0"/>
    <x v="0"/>
    <x v="0"/>
    <x v="0"/>
    <x v="0"/>
    <x v="0"/>
    <x v="0"/>
    <x v="0"/>
    <x v="0"/>
    <x v="0"/>
    <x v="0"/>
    <x v="0"/>
    <x v="0"/>
    <m/>
    <m/>
    <m/>
    <m/>
    <m/>
    <m/>
  </r>
  <r>
    <x v="7"/>
    <x v="0"/>
    <x v="7"/>
    <x v="0"/>
    <x v="1"/>
    <x v="4"/>
    <x v="0"/>
    <x v="2"/>
    <x v="2"/>
    <x v="0"/>
    <x v="0"/>
    <x v="0"/>
    <x v="0"/>
    <x v="0"/>
    <x v="0"/>
    <x v="0"/>
    <x v="0"/>
    <x v="0"/>
    <x v="0"/>
    <x v="0"/>
    <x v="0"/>
    <x v="0"/>
    <x v="0"/>
    <x v="0"/>
    <x v="0"/>
    <x v="0"/>
    <m/>
    <m/>
    <m/>
    <m/>
    <m/>
    <m/>
  </r>
  <r>
    <x v="7"/>
    <x v="0"/>
    <x v="7"/>
    <x v="0"/>
    <x v="1"/>
    <x v="5"/>
    <x v="0"/>
    <x v="3"/>
    <x v="3"/>
    <x v="0"/>
    <x v="0"/>
    <x v="0"/>
    <x v="0"/>
    <x v="0"/>
    <x v="0"/>
    <x v="0"/>
    <x v="0"/>
    <x v="0"/>
    <x v="0"/>
    <x v="0"/>
    <x v="0"/>
    <x v="0"/>
    <x v="0"/>
    <x v="0"/>
    <x v="0"/>
    <x v="0"/>
    <m/>
    <m/>
    <m/>
    <m/>
    <m/>
    <m/>
  </r>
  <r>
    <x v="7"/>
    <x v="0"/>
    <x v="7"/>
    <x v="0"/>
    <x v="1"/>
    <x v="6"/>
    <x v="0"/>
    <x v="25"/>
    <x v="2"/>
    <x v="2"/>
    <x v="2"/>
    <x v="2"/>
    <x v="2"/>
    <x v="2"/>
    <x v="2"/>
    <x v="14"/>
    <x v="2"/>
    <x v="2"/>
    <x v="2"/>
    <x v="2"/>
    <x v="2"/>
    <x v="2"/>
    <x v="2"/>
    <x v="2"/>
    <x v="2"/>
    <x v="2"/>
    <n v="0"/>
    <n v="0"/>
    <n v="0"/>
    <n v="0"/>
    <n v="0"/>
    <n v="0"/>
  </r>
  <r>
    <x v="7"/>
    <x v="0"/>
    <x v="7"/>
    <x v="0"/>
    <x v="1"/>
    <x v="7"/>
    <x v="0"/>
    <x v="25"/>
    <x v="3"/>
    <x v="0"/>
    <x v="0"/>
    <x v="0"/>
    <x v="0"/>
    <x v="0"/>
    <x v="0"/>
    <x v="14"/>
    <x v="0"/>
    <x v="0"/>
    <x v="0"/>
    <x v="0"/>
    <x v="0"/>
    <x v="0"/>
    <x v="0"/>
    <x v="0"/>
    <x v="0"/>
    <x v="0"/>
    <m/>
    <m/>
    <m/>
    <m/>
    <m/>
    <m/>
  </r>
  <r>
    <x v="7"/>
    <x v="0"/>
    <x v="7"/>
    <x v="0"/>
    <x v="1"/>
    <x v="8"/>
    <x v="0"/>
    <x v="2"/>
    <x v="3"/>
    <x v="0"/>
    <x v="0"/>
    <x v="0"/>
    <x v="0"/>
    <x v="0"/>
    <x v="0"/>
    <x v="0"/>
    <x v="0"/>
    <x v="0"/>
    <x v="0"/>
    <x v="0"/>
    <x v="0"/>
    <x v="0"/>
    <x v="0"/>
    <x v="0"/>
    <x v="0"/>
    <x v="0"/>
    <m/>
    <m/>
    <m/>
    <m/>
    <m/>
    <m/>
  </r>
  <r>
    <x v="7"/>
    <x v="0"/>
    <x v="7"/>
    <x v="0"/>
    <x v="1"/>
    <x v="9"/>
    <x v="0"/>
    <x v="2"/>
    <x v="3"/>
    <x v="0"/>
    <x v="0"/>
    <x v="0"/>
    <x v="0"/>
    <x v="0"/>
    <x v="0"/>
    <x v="0"/>
    <x v="0"/>
    <x v="0"/>
    <x v="0"/>
    <x v="0"/>
    <x v="0"/>
    <x v="0"/>
    <x v="0"/>
    <x v="0"/>
    <x v="0"/>
    <x v="0"/>
    <m/>
    <m/>
    <m/>
    <m/>
    <m/>
    <m/>
  </r>
  <r>
    <x v="7"/>
    <x v="0"/>
    <x v="7"/>
    <x v="0"/>
    <x v="1"/>
    <x v="10"/>
    <x v="0"/>
    <x v="25"/>
    <x v="3"/>
    <x v="0"/>
    <x v="0"/>
    <x v="0"/>
    <x v="0"/>
    <x v="0"/>
    <x v="0"/>
    <x v="14"/>
    <x v="0"/>
    <x v="0"/>
    <x v="0"/>
    <x v="0"/>
    <x v="0"/>
    <x v="0"/>
    <x v="0"/>
    <x v="0"/>
    <x v="0"/>
    <x v="0"/>
    <m/>
    <m/>
    <m/>
    <m/>
    <m/>
    <m/>
  </r>
  <r>
    <x v="7"/>
    <x v="0"/>
    <x v="7"/>
    <x v="0"/>
    <x v="1"/>
    <x v="11"/>
    <x v="0"/>
    <x v="3"/>
    <x v="26"/>
    <x v="14"/>
    <x v="13"/>
    <x v="14"/>
    <x v="16"/>
    <x v="14"/>
    <x v="14"/>
    <x v="15"/>
    <x v="15"/>
    <x v="14"/>
    <x v="14"/>
    <x v="13"/>
    <x v="13"/>
    <x v="13"/>
    <x v="14"/>
    <x v="12"/>
    <x v="12"/>
    <x v="12"/>
    <n v="-13132"/>
    <n v="-13132"/>
    <n v="-13132"/>
    <n v="-13132"/>
    <n v="-13132"/>
    <n v="-13132"/>
  </r>
  <r>
    <x v="7"/>
    <x v="0"/>
    <x v="7"/>
    <x v="0"/>
    <x v="1"/>
    <x v="12"/>
    <x v="0"/>
    <x v="3"/>
    <x v="2"/>
    <x v="2"/>
    <x v="2"/>
    <x v="2"/>
    <x v="2"/>
    <x v="2"/>
    <x v="2"/>
    <x v="2"/>
    <x v="2"/>
    <x v="2"/>
    <x v="2"/>
    <x v="2"/>
    <x v="2"/>
    <x v="2"/>
    <x v="2"/>
    <x v="2"/>
    <x v="2"/>
    <x v="2"/>
    <n v="0"/>
    <n v="0"/>
    <n v="0"/>
    <n v="0"/>
    <n v="0"/>
    <n v="0"/>
  </r>
  <r>
    <x v="7"/>
    <x v="0"/>
    <x v="7"/>
    <x v="0"/>
    <x v="0"/>
    <x v="0"/>
    <x v="0"/>
    <x v="26"/>
    <x v="27"/>
    <x v="0"/>
    <x v="0"/>
    <x v="0"/>
    <x v="0"/>
    <x v="0"/>
    <x v="0"/>
    <x v="0"/>
    <x v="0"/>
    <x v="0"/>
    <x v="0"/>
    <x v="0"/>
    <x v="0"/>
    <x v="0"/>
    <x v="0"/>
    <x v="0"/>
    <x v="0"/>
    <x v="0"/>
    <m/>
    <m/>
    <m/>
    <m/>
    <m/>
    <m/>
  </r>
  <r>
    <x v="7"/>
    <x v="0"/>
    <x v="7"/>
    <x v="0"/>
    <x v="0"/>
    <x v="1"/>
    <x v="0"/>
    <x v="27"/>
    <x v="28"/>
    <x v="15"/>
    <x v="14"/>
    <x v="15"/>
    <x v="17"/>
    <x v="15"/>
    <x v="15"/>
    <x v="16"/>
    <x v="16"/>
    <x v="15"/>
    <x v="15"/>
    <x v="14"/>
    <x v="14"/>
    <x v="14"/>
    <x v="15"/>
    <x v="13"/>
    <x v="13"/>
    <x v="13"/>
    <n v="914"/>
    <n v="875"/>
    <n v="314"/>
    <n v="354"/>
    <n v="177"/>
    <n v="67"/>
  </r>
  <r>
    <x v="7"/>
    <x v="0"/>
    <x v="7"/>
    <x v="0"/>
    <x v="0"/>
    <x v="2"/>
    <x v="0"/>
    <x v="28"/>
    <x v="29"/>
    <x v="0"/>
    <x v="0"/>
    <x v="0"/>
    <x v="0"/>
    <x v="0"/>
    <x v="0"/>
    <x v="0"/>
    <x v="0"/>
    <x v="0"/>
    <x v="0"/>
    <x v="0"/>
    <x v="0"/>
    <x v="0"/>
    <x v="0"/>
    <x v="0"/>
    <x v="0"/>
    <x v="0"/>
    <m/>
    <m/>
    <m/>
    <m/>
    <m/>
    <m/>
  </r>
  <r>
    <x v="7"/>
    <x v="0"/>
    <x v="7"/>
    <x v="0"/>
    <x v="0"/>
    <x v="3"/>
    <x v="0"/>
    <x v="2"/>
    <x v="2"/>
    <x v="0"/>
    <x v="0"/>
    <x v="0"/>
    <x v="0"/>
    <x v="0"/>
    <x v="0"/>
    <x v="0"/>
    <x v="0"/>
    <x v="0"/>
    <x v="0"/>
    <x v="0"/>
    <x v="0"/>
    <x v="0"/>
    <x v="0"/>
    <x v="0"/>
    <x v="0"/>
    <x v="0"/>
    <m/>
    <m/>
    <m/>
    <m/>
    <m/>
    <m/>
  </r>
  <r>
    <x v="7"/>
    <x v="0"/>
    <x v="7"/>
    <x v="0"/>
    <x v="0"/>
    <x v="4"/>
    <x v="0"/>
    <x v="29"/>
    <x v="30"/>
    <x v="0"/>
    <x v="0"/>
    <x v="0"/>
    <x v="0"/>
    <x v="0"/>
    <x v="0"/>
    <x v="0"/>
    <x v="0"/>
    <x v="0"/>
    <x v="0"/>
    <x v="0"/>
    <x v="0"/>
    <x v="0"/>
    <x v="0"/>
    <x v="0"/>
    <x v="0"/>
    <x v="0"/>
    <m/>
    <m/>
    <m/>
    <m/>
    <m/>
    <m/>
  </r>
  <r>
    <x v="7"/>
    <x v="0"/>
    <x v="7"/>
    <x v="0"/>
    <x v="0"/>
    <x v="5"/>
    <x v="0"/>
    <x v="3"/>
    <x v="3"/>
    <x v="0"/>
    <x v="0"/>
    <x v="0"/>
    <x v="0"/>
    <x v="0"/>
    <x v="0"/>
    <x v="0"/>
    <x v="0"/>
    <x v="0"/>
    <x v="0"/>
    <x v="0"/>
    <x v="0"/>
    <x v="0"/>
    <x v="0"/>
    <x v="0"/>
    <x v="0"/>
    <x v="0"/>
    <m/>
    <m/>
    <m/>
    <m/>
    <m/>
    <m/>
  </r>
  <r>
    <x v="7"/>
    <x v="0"/>
    <x v="7"/>
    <x v="0"/>
    <x v="0"/>
    <x v="6"/>
    <x v="0"/>
    <x v="30"/>
    <x v="2"/>
    <x v="2"/>
    <x v="2"/>
    <x v="2"/>
    <x v="18"/>
    <x v="2"/>
    <x v="2"/>
    <x v="17"/>
    <x v="2"/>
    <x v="2"/>
    <x v="2"/>
    <x v="2"/>
    <x v="2"/>
    <x v="2"/>
    <x v="2"/>
    <x v="2"/>
    <x v="2"/>
    <x v="2"/>
    <n v="0"/>
    <n v="0"/>
    <n v="0"/>
    <n v="0"/>
    <n v="0"/>
    <n v="0"/>
  </r>
  <r>
    <x v="7"/>
    <x v="0"/>
    <x v="7"/>
    <x v="0"/>
    <x v="0"/>
    <x v="7"/>
    <x v="0"/>
    <x v="30"/>
    <x v="3"/>
    <x v="0"/>
    <x v="0"/>
    <x v="0"/>
    <x v="18"/>
    <x v="0"/>
    <x v="0"/>
    <x v="17"/>
    <x v="0"/>
    <x v="0"/>
    <x v="0"/>
    <x v="0"/>
    <x v="0"/>
    <x v="0"/>
    <x v="0"/>
    <x v="0"/>
    <x v="0"/>
    <x v="0"/>
    <m/>
    <m/>
    <m/>
    <m/>
    <m/>
    <m/>
  </r>
  <r>
    <x v="7"/>
    <x v="0"/>
    <x v="7"/>
    <x v="0"/>
    <x v="0"/>
    <x v="8"/>
    <x v="0"/>
    <x v="2"/>
    <x v="3"/>
    <x v="0"/>
    <x v="0"/>
    <x v="0"/>
    <x v="0"/>
    <x v="0"/>
    <x v="0"/>
    <x v="0"/>
    <x v="0"/>
    <x v="0"/>
    <x v="0"/>
    <x v="0"/>
    <x v="0"/>
    <x v="0"/>
    <x v="0"/>
    <x v="0"/>
    <x v="0"/>
    <x v="0"/>
    <m/>
    <m/>
    <m/>
    <m/>
    <m/>
    <m/>
  </r>
  <r>
    <x v="7"/>
    <x v="0"/>
    <x v="7"/>
    <x v="0"/>
    <x v="0"/>
    <x v="9"/>
    <x v="0"/>
    <x v="2"/>
    <x v="3"/>
    <x v="0"/>
    <x v="0"/>
    <x v="0"/>
    <x v="0"/>
    <x v="0"/>
    <x v="0"/>
    <x v="0"/>
    <x v="0"/>
    <x v="0"/>
    <x v="0"/>
    <x v="0"/>
    <x v="0"/>
    <x v="0"/>
    <x v="0"/>
    <x v="0"/>
    <x v="0"/>
    <x v="0"/>
    <m/>
    <m/>
    <m/>
    <m/>
    <m/>
    <m/>
  </r>
  <r>
    <x v="7"/>
    <x v="0"/>
    <x v="7"/>
    <x v="0"/>
    <x v="0"/>
    <x v="10"/>
    <x v="0"/>
    <x v="30"/>
    <x v="3"/>
    <x v="0"/>
    <x v="0"/>
    <x v="0"/>
    <x v="18"/>
    <x v="0"/>
    <x v="0"/>
    <x v="17"/>
    <x v="0"/>
    <x v="0"/>
    <x v="0"/>
    <x v="0"/>
    <x v="0"/>
    <x v="0"/>
    <x v="0"/>
    <x v="0"/>
    <x v="0"/>
    <x v="0"/>
    <m/>
    <m/>
    <m/>
    <m/>
    <m/>
    <m/>
  </r>
  <r>
    <x v="7"/>
    <x v="0"/>
    <x v="7"/>
    <x v="0"/>
    <x v="0"/>
    <x v="11"/>
    <x v="0"/>
    <x v="3"/>
    <x v="31"/>
    <x v="16"/>
    <x v="15"/>
    <x v="16"/>
    <x v="19"/>
    <x v="16"/>
    <x v="16"/>
    <x v="18"/>
    <x v="17"/>
    <x v="16"/>
    <x v="16"/>
    <x v="15"/>
    <x v="15"/>
    <x v="15"/>
    <x v="16"/>
    <x v="14"/>
    <x v="14"/>
    <x v="14"/>
    <n v="-57274"/>
    <n v="-58149"/>
    <n v="-58463"/>
    <n v="-58817"/>
    <n v="-58994"/>
    <n v="-59061"/>
  </r>
  <r>
    <x v="7"/>
    <x v="0"/>
    <x v="7"/>
    <x v="0"/>
    <x v="0"/>
    <x v="12"/>
    <x v="0"/>
    <x v="3"/>
    <x v="2"/>
    <x v="2"/>
    <x v="2"/>
    <x v="2"/>
    <x v="2"/>
    <x v="2"/>
    <x v="2"/>
    <x v="2"/>
    <x v="2"/>
    <x v="2"/>
    <x v="2"/>
    <x v="2"/>
    <x v="2"/>
    <x v="2"/>
    <x v="2"/>
    <x v="2"/>
    <x v="2"/>
    <x v="2"/>
    <n v="0"/>
    <n v="0"/>
    <n v="0"/>
    <n v="0"/>
    <n v="0"/>
    <n v="0"/>
  </r>
  <r>
    <x v="8"/>
    <x v="0"/>
    <x v="8"/>
    <x v="4"/>
    <x v="0"/>
    <x v="0"/>
    <x v="0"/>
    <x v="31"/>
    <x v="32"/>
    <x v="0"/>
    <x v="0"/>
    <x v="0"/>
    <x v="0"/>
    <x v="0"/>
    <x v="0"/>
    <x v="0"/>
    <x v="0"/>
    <x v="0"/>
    <x v="0"/>
    <x v="0"/>
    <x v="0"/>
    <x v="0"/>
    <x v="0"/>
    <x v="0"/>
    <x v="0"/>
    <x v="0"/>
    <m/>
    <m/>
    <m/>
    <m/>
    <m/>
    <m/>
  </r>
  <r>
    <x v="8"/>
    <x v="0"/>
    <x v="8"/>
    <x v="4"/>
    <x v="0"/>
    <x v="1"/>
    <x v="0"/>
    <x v="32"/>
    <x v="33"/>
    <x v="17"/>
    <x v="16"/>
    <x v="17"/>
    <x v="20"/>
    <x v="17"/>
    <x v="17"/>
    <x v="19"/>
    <x v="18"/>
    <x v="17"/>
    <x v="17"/>
    <x v="16"/>
    <x v="16"/>
    <x v="16"/>
    <x v="17"/>
    <x v="15"/>
    <x v="15"/>
    <x v="15"/>
    <n v="24257.5"/>
    <n v="33074"/>
    <n v="33060.75"/>
    <n v="26376.75"/>
    <n v="24277.75"/>
    <n v="24276.75"/>
  </r>
  <r>
    <x v="8"/>
    <x v="0"/>
    <x v="8"/>
    <x v="4"/>
    <x v="0"/>
    <x v="2"/>
    <x v="0"/>
    <x v="33"/>
    <x v="34"/>
    <x v="0"/>
    <x v="0"/>
    <x v="0"/>
    <x v="0"/>
    <x v="0"/>
    <x v="0"/>
    <x v="0"/>
    <x v="0"/>
    <x v="0"/>
    <x v="0"/>
    <x v="0"/>
    <x v="0"/>
    <x v="0"/>
    <x v="0"/>
    <x v="0"/>
    <x v="0"/>
    <x v="0"/>
    <m/>
    <m/>
    <m/>
    <m/>
    <m/>
    <m/>
  </r>
  <r>
    <x v="8"/>
    <x v="0"/>
    <x v="8"/>
    <x v="4"/>
    <x v="0"/>
    <x v="3"/>
    <x v="0"/>
    <x v="2"/>
    <x v="2"/>
    <x v="0"/>
    <x v="0"/>
    <x v="0"/>
    <x v="0"/>
    <x v="0"/>
    <x v="0"/>
    <x v="0"/>
    <x v="0"/>
    <x v="0"/>
    <x v="0"/>
    <x v="0"/>
    <x v="0"/>
    <x v="0"/>
    <x v="0"/>
    <x v="0"/>
    <x v="0"/>
    <x v="0"/>
    <m/>
    <m/>
    <m/>
    <m/>
    <m/>
    <m/>
  </r>
  <r>
    <x v="8"/>
    <x v="0"/>
    <x v="8"/>
    <x v="4"/>
    <x v="0"/>
    <x v="4"/>
    <x v="0"/>
    <x v="34"/>
    <x v="35"/>
    <x v="0"/>
    <x v="0"/>
    <x v="0"/>
    <x v="0"/>
    <x v="0"/>
    <x v="0"/>
    <x v="0"/>
    <x v="0"/>
    <x v="0"/>
    <x v="0"/>
    <x v="0"/>
    <x v="0"/>
    <x v="0"/>
    <x v="0"/>
    <x v="0"/>
    <x v="0"/>
    <x v="0"/>
    <m/>
    <m/>
    <m/>
    <m/>
    <m/>
    <m/>
  </r>
  <r>
    <x v="8"/>
    <x v="0"/>
    <x v="8"/>
    <x v="4"/>
    <x v="0"/>
    <x v="5"/>
    <x v="0"/>
    <x v="35"/>
    <x v="36"/>
    <x v="0"/>
    <x v="0"/>
    <x v="0"/>
    <x v="0"/>
    <x v="0"/>
    <x v="0"/>
    <x v="0"/>
    <x v="0"/>
    <x v="0"/>
    <x v="0"/>
    <x v="0"/>
    <x v="0"/>
    <x v="0"/>
    <x v="0"/>
    <x v="0"/>
    <x v="0"/>
    <x v="0"/>
    <m/>
    <m/>
    <m/>
    <m/>
    <m/>
    <m/>
  </r>
  <r>
    <x v="8"/>
    <x v="0"/>
    <x v="8"/>
    <x v="4"/>
    <x v="0"/>
    <x v="6"/>
    <x v="0"/>
    <x v="36"/>
    <x v="37"/>
    <x v="2"/>
    <x v="17"/>
    <x v="18"/>
    <x v="21"/>
    <x v="18"/>
    <x v="18"/>
    <x v="20"/>
    <x v="19"/>
    <x v="18"/>
    <x v="2"/>
    <x v="2"/>
    <x v="17"/>
    <x v="17"/>
    <x v="2"/>
    <x v="2"/>
    <x v="2"/>
    <x v="2"/>
    <n v="0"/>
    <n v="0"/>
    <n v="0"/>
    <n v="0"/>
    <n v="0"/>
    <n v="0"/>
  </r>
  <r>
    <x v="8"/>
    <x v="0"/>
    <x v="8"/>
    <x v="4"/>
    <x v="0"/>
    <x v="7"/>
    <x v="0"/>
    <x v="36"/>
    <x v="37"/>
    <x v="0"/>
    <x v="17"/>
    <x v="18"/>
    <x v="21"/>
    <x v="18"/>
    <x v="18"/>
    <x v="20"/>
    <x v="19"/>
    <x v="18"/>
    <x v="0"/>
    <x v="0"/>
    <x v="17"/>
    <x v="17"/>
    <x v="0"/>
    <x v="0"/>
    <x v="0"/>
    <x v="0"/>
    <m/>
    <m/>
    <m/>
    <m/>
    <m/>
    <m/>
  </r>
  <r>
    <x v="8"/>
    <x v="0"/>
    <x v="8"/>
    <x v="4"/>
    <x v="0"/>
    <x v="8"/>
    <x v="0"/>
    <x v="2"/>
    <x v="3"/>
    <x v="0"/>
    <x v="0"/>
    <x v="0"/>
    <x v="0"/>
    <x v="0"/>
    <x v="0"/>
    <x v="0"/>
    <x v="0"/>
    <x v="0"/>
    <x v="0"/>
    <x v="0"/>
    <x v="0"/>
    <x v="0"/>
    <x v="0"/>
    <x v="0"/>
    <x v="0"/>
    <x v="0"/>
    <m/>
    <m/>
    <m/>
    <m/>
    <m/>
    <m/>
  </r>
  <r>
    <x v="8"/>
    <x v="0"/>
    <x v="8"/>
    <x v="4"/>
    <x v="0"/>
    <x v="9"/>
    <x v="0"/>
    <x v="2"/>
    <x v="3"/>
    <x v="0"/>
    <x v="0"/>
    <x v="0"/>
    <x v="0"/>
    <x v="0"/>
    <x v="0"/>
    <x v="0"/>
    <x v="0"/>
    <x v="0"/>
    <x v="0"/>
    <x v="0"/>
    <x v="0"/>
    <x v="0"/>
    <x v="0"/>
    <x v="0"/>
    <x v="0"/>
    <x v="0"/>
    <m/>
    <m/>
    <m/>
    <m/>
    <m/>
    <m/>
  </r>
  <r>
    <x v="8"/>
    <x v="0"/>
    <x v="8"/>
    <x v="4"/>
    <x v="0"/>
    <x v="10"/>
    <x v="0"/>
    <x v="36"/>
    <x v="37"/>
    <x v="0"/>
    <x v="17"/>
    <x v="18"/>
    <x v="21"/>
    <x v="18"/>
    <x v="18"/>
    <x v="20"/>
    <x v="19"/>
    <x v="18"/>
    <x v="0"/>
    <x v="0"/>
    <x v="17"/>
    <x v="17"/>
    <x v="0"/>
    <x v="0"/>
    <x v="0"/>
    <x v="0"/>
    <m/>
    <m/>
    <m/>
    <m/>
    <m/>
    <m/>
  </r>
  <r>
    <x v="8"/>
    <x v="0"/>
    <x v="8"/>
    <x v="4"/>
    <x v="0"/>
    <x v="11"/>
    <x v="0"/>
    <x v="3"/>
    <x v="38"/>
    <x v="18"/>
    <x v="18"/>
    <x v="19"/>
    <x v="22"/>
    <x v="19"/>
    <x v="19"/>
    <x v="21"/>
    <x v="20"/>
    <x v="19"/>
    <x v="18"/>
    <x v="17"/>
    <x v="18"/>
    <x v="18"/>
    <x v="18"/>
    <x v="16"/>
    <x v="16"/>
    <x v="16"/>
    <n v="1905338.25"/>
    <n v="1872264.25"/>
    <n v="1839203.5"/>
    <n v="1812826.75"/>
    <n v="1788549"/>
    <n v="1764272.25"/>
  </r>
  <r>
    <x v="8"/>
    <x v="0"/>
    <x v="8"/>
    <x v="4"/>
    <x v="0"/>
    <x v="12"/>
    <x v="0"/>
    <x v="3"/>
    <x v="2"/>
    <x v="2"/>
    <x v="2"/>
    <x v="2"/>
    <x v="2"/>
    <x v="2"/>
    <x v="2"/>
    <x v="2"/>
    <x v="2"/>
    <x v="2"/>
    <x v="2"/>
    <x v="2"/>
    <x v="2"/>
    <x v="2"/>
    <x v="2"/>
    <x v="2"/>
    <x v="2"/>
    <x v="2"/>
    <n v="0"/>
    <n v="0"/>
    <n v="0"/>
    <n v="0"/>
    <n v="0"/>
    <n v="0"/>
  </r>
  <r>
    <x v="9"/>
    <x v="0"/>
    <x v="8"/>
    <x v="2"/>
    <x v="1"/>
    <x v="0"/>
    <x v="0"/>
    <x v="37"/>
    <x v="39"/>
    <x v="0"/>
    <x v="0"/>
    <x v="0"/>
    <x v="0"/>
    <x v="0"/>
    <x v="0"/>
    <x v="0"/>
    <x v="0"/>
    <x v="0"/>
    <x v="0"/>
    <x v="0"/>
    <x v="0"/>
    <x v="0"/>
    <x v="0"/>
    <x v="0"/>
    <x v="0"/>
    <x v="0"/>
    <m/>
    <m/>
    <m/>
    <m/>
    <m/>
    <m/>
  </r>
  <r>
    <x v="9"/>
    <x v="0"/>
    <x v="8"/>
    <x v="2"/>
    <x v="1"/>
    <x v="1"/>
    <x v="0"/>
    <x v="38"/>
    <x v="40"/>
    <x v="19"/>
    <x v="19"/>
    <x v="20"/>
    <x v="23"/>
    <x v="20"/>
    <x v="20"/>
    <x v="22"/>
    <x v="21"/>
    <x v="20"/>
    <x v="19"/>
    <x v="18"/>
    <x v="19"/>
    <x v="19"/>
    <x v="19"/>
    <x v="17"/>
    <x v="17"/>
    <x v="17"/>
    <n v="3357"/>
    <n v="3355"/>
    <n v="3357"/>
    <n v="958"/>
    <n v="0"/>
    <n v="0"/>
  </r>
  <r>
    <x v="9"/>
    <x v="0"/>
    <x v="8"/>
    <x v="2"/>
    <x v="1"/>
    <x v="2"/>
    <x v="0"/>
    <x v="39"/>
    <x v="41"/>
    <x v="0"/>
    <x v="0"/>
    <x v="0"/>
    <x v="0"/>
    <x v="0"/>
    <x v="0"/>
    <x v="0"/>
    <x v="0"/>
    <x v="0"/>
    <x v="0"/>
    <x v="0"/>
    <x v="0"/>
    <x v="0"/>
    <x v="0"/>
    <x v="0"/>
    <x v="0"/>
    <x v="0"/>
    <m/>
    <m/>
    <m/>
    <m/>
    <m/>
    <m/>
  </r>
  <r>
    <x v="9"/>
    <x v="0"/>
    <x v="8"/>
    <x v="2"/>
    <x v="1"/>
    <x v="3"/>
    <x v="0"/>
    <x v="2"/>
    <x v="2"/>
    <x v="0"/>
    <x v="0"/>
    <x v="0"/>
    <x v="0"/>
    <x v="0"/>
    <x v="0"/>
    <x v="0"/>
    <x v="0"/>
    <x v="0"/>
    <x v="0"/>
    <x v="0"/>
    <x v="0"/>
    <x v="0"/>
    <x v="0"/>
    <x v="0"/>
    <x v="0"/>
    <x v="0"/>
    <m/>
    <m/>
    <m/>
    <m/>
    <m/>
    <m/>
  </r>
  <r>
    <x v="9"/>
    <x v="0"/>
    <x v="8"/>
    <x v="2"/>
    <x v="1"/>
    <x v="4"/>
    <x v="0"/>
    <x v="40"/>
    <x v="42"/>
    <x v="0"/>
    <x v="0"/>
    <x v="0"/>
    <x v="0"/>
    <x v="0"/>
    <x v="0"/>
    <x v="0"/>
    <x v="0"/>
    <x v="0"/>
    <x v="0"/>
    <x v="0"/>
    <x v="0"/>
    <x v="0"/>
    <x v="0"/>
    <x v="0"/>
    <x v="0"/>
    <x v="0"/>
    <m/>
    <m/>
    <m/>
    <m/>
    <m/>
    <m/>
  </r>
  <r>
    <x v="9"/>
    <x v="0"/>
    <x v="8"/>
    <x v="2"/>
    <x v="1"/>
    <x v="5"/>
    <x v="0"/>
    <x v="3"/>
    <x v="3"/>
    <x v="0"/>
    <x v="0"/>
    <x v="0"/>
    <x v="0"/>
    <x v="0"/>
    <x v="0"/>
    <x v="0"/>
    <x v="0"/>
    <x v="0"/>
    <x v="0"/>
    <x v="0"/>
    <x v="0"/>
    <x v="0"/>
    <x v="0"/>
    <x v="0"/>
    <x v="0"/>
    <x v="0"/>
    <m/>
    <m/>
    <m/>
    <m/>
    <m/>
    <m/>
  </r>
  <r>
    <x v="9"/>
    <x v="0"/>
    <x v="8"/>
    <x v="2"/>
    <x v="1"/>
    <x v="6"/>
    <x v="0"/>
    <x v="2"/>
    <x v="2"/>
    <x v="2"/>
    <x v="2"/>
    <x v="2"/>
    <x v="2"/>
    <x v="2"/>
    <x v="2"/>
    <x v="2"/>
    <x v="2"/>
    <x v="2"/>
    <x v="2"/>
    <x v="2"/>
    <x v="2"/>
    <x v="2"/>
    <x v="2"/>
    <x v="2"/>
    <x v="2"/>
    <x v="2"/>
    <n v="0"/>
    <n v="0"/>
    <n v="0"/>
    <n v="0"/>
    <n v="0"/>
    <n v="0"/>
  </r>
  <r>
    <x v="9"/>
    <x v="0"/>
    <x v="8"/>
    <x v="2"/>
    <x v="1"/>
    <x v="7"/>
    <x v="0"/>
    <x v="3"/>
    <x v="3"/>
    <x v="0"/>
    <x v="0"/>
    <x v="0"/>
    <x v="0"/>
    <x v="0"/>
    <x v="0"/>
    <x v="0"/>
    <x v="0"/>
    <x v="0"/>
    <x v="0"/>
    <x v="0"/>
    <x v="0"/>
    <x v="0"/>
    <x v="0"/>
    <x v="0"/>
    <x v="0"/>
    <x v="0"/>
    <m/>
    <m/>
    <m/>
    <m/>
    <m/>
    <m/>
  </r>
  <r>
    <x v="9"/>
    <x v="0"/>
    <x v="8"/>
    <x v="2"/>
    <x v="1"/>
    <x v="8"/>
    <x v="0"/>
    <x v="2"/>
    <x v="3"/>
    <x v="0"/>
    <x v="0"/>
    <x v="0"/>
    <x v="0"/>
    <x v="0"/>
    <x v="0"/>
    <x v="0"/>
    <x v="0"/>
    <x v="0"/>
    <x v="0"/>
    <x v="0"/>
    <x v="0"/>
    <x v="0"/>
    <x v="0"/>
    <x v="0"/>
    <x v="0"/>
    <x v="0"/>
    <m/>
    <m/>
    <m/>
    <m/>
    <m/>
    <m/>
  </r>
  <r>
    <x v="9"/>
    <x v="0"/>
    <x v="8"/>
    <x v="2"/>
    <x v="1"/>
    <x v="9"/>
    <x v="0"/>
    <x v="2"/>
    <x v="3"/>
    <x v="0"/>
    <x v="0"/>
    <x v="0"/>
    <x v="0"/>
    <x v="0"/>
    <x v="0"/>
    <x v="0"/>
    <x v="0"/>
    <x v="0"/>
    <x v="0"/>
    <x v="0"/>
    <x v="0"/>
    <x v="0"/>
    <x v="0"/>
    <x v="0"/>
    <x v="0"/>
    <x v="0"/>
    <m/>
    <m/>
    <m/>
    <m/>
    <m/>
    <m/>
  </r>
  <r>
    <x v="9"/>
    <x v="0"/>
    <x v="8"/>
    <x v="2"/>
    <x v="1"/>
    <x v="10"/>
    <x v="0"/>
    <x v="3"/>
    <x v="3"/>
    <x v="0"/>
    <x v="0"/>
    <x v="0"/>
    <x v="0"/>
    <x v="0"/>
    <x v="0"/>
    <x v="0"/>
    <x v="0"/>
    <x v="0"/>
    <x v="0"/>
    <x v="0"/>
    <x v="0"/>
    <x v="0"/>
    <x v="0"/>
    <x v="0"/>
    <x v="0"/>
    <x v="0"/>
    <m/>
    <m/>
    <m/>
    <m/>
    <m/>
    <m/>
  </r>
  <r>
    <x v="9"/>
    <x v="0"/>
    <x v="8"/>
    <x v="2"/>
    <x v="1"/>
    <x v="11"/>
    <x v="0"/>
    <x v="3"/>
    <x v="43"/>
    <x v="20"/>
    <x v="20"/>
    <x v="21"/>
    <x v="24"/>
    <x v="21"/>
    <x v="21"/>
    <x v="23"/>
    <x v="22"/>
    <x v="21"/>
    <x v="20"/>
    <x v="19"/>
    <x v="20"/>
    <x v="20"/>
    <x v="20"/>
    <x v="18"/>
    <x v="18"/>
    <x v="18"/>
    <n v="-61987"/>
    <n v="-65342"/>
    <n v="-68699"/>
    <n v="-69657"/>
    <n v="-69657"/>
    <n v="-69657"/>
  </r>
  <r>
    <x v="9"/>
    <x v="0"/>
    <x v="8"/>
    <x v="2"/>
    <x v="1"/>
    <x v="12"/>
    <x v="0"/>
    <x v="3"/>
    <x v="2"/>
    <x v="2"/>
    <x v="2"/>
    <x v="2"/>
    <x v="2"/>
    <x v="2"/>
    <x v="2"/>
    <x v="2"/>
    <x v="2"/>
    <x v="2"/>
    <x v="2"/>
    <x v="2"/>
    <x v="2"/>
    <x v="2"/>
    <x v="2"/>
    <x v="2"/>
    <x v="2"/>
    <x v="2"/>
    <n v="0"/>
    <n v="0"/>
    <n v="0"/>
    <n v="0"/>
    <n v="0"/>
    <n v="0"/>
  </r>
  <r>
    <x v="9"/>
    <x v="0"/>
    <x v="8"/>
    <x v="2"/>
    <x v="0"/>
    <x v="0"/>
    <x v="0"/>
    <x v="41"/>
    <x v="44"/>
    <x v="0"/>
    <x v="0"/>
    <x v="0"/>
    <x v="0"/>
    <x v="0"/>
    <x v="0"/>
    <x v="0"/>
    <x v="0"/>
    <x v="0"/>
    <x v="0"/>
    <x v="0"/>
    <x v="0"/>
    <x v="0"/>
    <x v="0"/>
    <x v="0"/>
    <x v="0"/>
    <x v="0"/>
    <m/>
    <m/>
    <m/>
    <m/>
    <m/>
    <m/>
  </r>
  <r>
    <x v="9"/>
    <x v="0"/>
    <x v="8"/>
    <x v="2"/>
    <x v="0"/>
    <x v="1"/>
    <x v="0"/>
    <x v="42"/>
    <x v="45"/>
    <x v="21"/>
    <x v="21"/>
    <x v="22"/>
    <x v="25"/>
    <x v="22"/>
    <x v="22"/>
    <x v="24"/>
    <x v="23"/>
    <x v="22"/>
    <x v="21"/>
    <x v="20"/>
    <x v="21"/>
    <x v="21"/>
    <x v="21"/>
    <x v="19"/>
    <x v="19"/>
    <x v="19"/>
    <n v="16082.5"/>
    <n v="14955"/>
    <n v="14454.75"/>
    <n v="11374.75"/>
    <n v="10165.75"/>
    <n v="10077.75"/>
  </r>
  <r>
    <x v="9"/>
    <x v="0"/>
    <x v="8"/>
    <x v="2"/>
    <x v="0"/>
    <x v="2"/>
    <x v="0"/>
    <x v="43"/>
    <x v="46"/>
    <x v="0"/>
    <x v="0"/>
    <x v="0"/>
    <x v="0"/>
    <x v="0"/>
    <x v="0"/>
    <x v="0"/>
    <x v="0"/>
    <x v="0"/>
    <x v="0"/>
    <x v="0"/>
    <x v="0"/>
    <x v="0"/>
    <x v="0"/>
    <x v="0"/>
    <x v="0"/>
    <x v="0"/>
    <m/>
    <m/>
    <m/>
    <m/>
    <m/>
    <m/>
  </r>
  <r>
    <x v="9"/>
    <x v="0"/>
    <x v="8"/>
    <x v="2"/>
    <x v="0"/>
    <x v="3"/>
    <x v="0"/>
    <x v="2"/>
    <x v="2"/>
    <x v="0"/>
    <x v="0"/>
    <x v="0"/>
    <x v="0"/>
    <x v="0"/>
    <x v="0"/>
    <x v="0"/>
    <x v="0"/>
    <x v="0"/>
    <x v="0"/>
    <x v="0"/>
    <x v="0"/>
    <x v="0"/>
    <x v="0"/>
    <x v="0"/>
    <x v="0"/>
    <x v="0"/>
    <m/>
    <m/>
    <m/>
    <m/>
    <m/>
    <m/>
  </r>
  <r>
    <x v="9"/>
    <x v="0"/>
    <x v="8"/>
    <x v="2"/>
    <x v="0"/>
    <x v="4"/>
    <x v="0"/>
    <x v="44"/>
    <x v="47"/>
    <x v="0"/>
    <x v="0"/>
    <x v="0"/>
    <x v="0"/>
    <x v="0"/>
    <x v="0"/>
    <x v="0"/>
    <x v="0"/>
    <x v="0"/>
    <x v="0"/>
    <x v="0"/>
    <x v="0"/>
    <x v="0"/>
    <x v="0"/>
    <x v="0"/>
    <x v="0"/>
    <x v="0"/>
    <m/>
    <m/>
    <m/>
    <m/>
    <m/>
    <m/>
  </r>
  <r>
    <x v="9"/>
    <x v="0"/>
    <x v="8"/>
    <x v="2"/>
    <x v="0"/>
    <x v="5"/>
    <x v="0"/>
    <x v="45"/>
    <x v="48"/>
    <x v="0"/>
    <x v="0"/>
    <x v="0"/>
    <x v="0"/>
    <x v="0"/>
    <x v="0"/>
    <x v="0"/>
    <x v="0"/>
    <x v="0"/>
    <x v="0"/>
    <x v="0"/>
    <x v="0"/>
    <x v="0"/>
    <x v="0"/>
    <x v="0"/>
    <x v="0"/>
    <x v="0"/>
    <m/>
    <m/>
    <m/>
    <m/>
    <m/>
    <m/>
  </r>
  <r>
    <x v="9"/>
    <x v="0"/>
    <x v="8"/>
    <x v="2"/>
    <x v="0"/>
    <x v="6"/>
    <x v="0"/>
    <x v="46"/>
    <x v="49"/>
    <x v="2"/>
    <x v="22"/>
    <x v="23"/>
    <x v="26"/>
    <x v="23"/>
    <x v="23"/>
    <x v="25"/>
    <x v="24"/>
    <x v="23"/>
    <x v="2"/>
    <x v="21"/>
    <x v="22"/>
    <x v="2"/>
    <x v="22"/>
    <x v="2"/>
    <x v="2"/>
    <x v="2"/>
    <n v="0"/>
    <n v="0"/>
    <n v="0"/>
    <n v="0"/>
    <n v="0"/>
    <n v="0"/>
  </r>
  <r>
    <x v="9"/>
    <x v="0"/>
    <x v="8"/>
    <x v="2"/>
    <x v="0"/>
    <x v="7"/>
    <x v="0"/>
    <x v="46"/>
    <x v="49"/>
    <x v="0"/>
    <x v="22"/>
    <x v="23"/>
    <x v="26"/>
    <x v="23"/>
    <x v="23"/>
    <x v="25"/>
    <x v="24"/>
    <x v="23"/>
    <x v="0"/>
    <x v="21"/>
    <x v="22"/>
    <x v="0"/>
    <x v="22"/>
    <x v="0"/>
    <x v="0"/>
    <x v="0"/>
    <m/>
    <m/>
    <m/>
    <m/>
    <m/>
    <m/>
  </r>
  <r>
    <x v="9"/>
    <x v="0"/>
    <x v="8"/>
    <x v="2"/>
    <x v="0"/>
    <x v="8"/>
    <x v="0"/>
    <x v="2"/>
    <x v="3"/>
    <x v="0"/>
    <x v="0"/>
    <x v="0"/>
    <x v="0"/>
    <x v="0"/>
    <x v="0"/>
    <x v="0"/>
    <x v="0"/>
    <x v="0"/>
    <x v="0"/>
    <x v="0"/>
    <x v="0"/>
    <x v="0"/>
    <x v="0"/>
    <x v="0"/>
    <x v="0"/>
    <x v="0"/>
    <m/>
    <m/>
    <m/>
    <m/>
    <m/>
    <m/>
  </r>
  <r>
    <x v="9"/>
    <x v="0"/>
    <x v="8"/>
    <x v="2"/>
    <x v="0"/>
    <x v="9"/>
    <x v="0"/>
    <x v="2"/>
    <x v="3"/>
    <x v="0"/>
    <x v="0"/>
    <x v="0"/>
    <x v="0"/>
    <x v="0"/>
    <x v="0"/>
    <x v="0"/>
    <x v="0"/>
    <x v="0"/>
    <x v="0"/>
    <x v="0"/>
    <x v="0"/>
    <x v="0"/>
    <x v="0"/>
    <x v="0"/>
    <x v="0"/>
    <x v="0"/>
    <m/>
    <m/>
    <m/>
    <m/>
    <m/>
    <m/>
  </r>
  <r>
    <x v="9"/>
    <x v="0"/>
    <x v="8"/>
    <x v="2"/>
    <x v="0"/>
    <x v="10"/>
    <x v="0"/>
    <x v="46"/>
    <x v="49"/>
    <x v="0"/>
    <x v="22"/>
    <x v="23"/>
    <x v="26"/>
    <x v="23"/>
    <x v="23"/>
    <x v="25"/>
    <x v="24"/>
    <x v="23"/>
    <x v="0"/>
    <x v="21"/>
    <x v="22"/>
    <x v="0"/>
    <x v="22"/>
    <x v="0"/>
    <x v="0"/>
    <x v="0"/>
    <m/>
    <m/>
    <m/>
    <m/>
    <m/>
    <m/>
  </r>
  <r>
    <x v="9"/>
    <x v="0"/>
    <x v="8"/>
    <x v="2"/>
    <x v="0"/>
    <x v="11"/>
    <x v="0"/>
    <x v="3"/>
    <x v="50"/>
    <x v="22"/>
    <x v="23"/>
    <x v="24"/>
    <x v="27"/>
    <x v="24"/>
    <x v="24"/>
    <x v="26"/>
    <x v="25"/>
    <x v="24"/>
    <x v="22"/>
    <x v="22"/>
    <x v="23"/>
    <x v="22"/>
    <x v="23"/>
    <x v="20"/>
    <x v="20"/>
    <x v="20"/>
    <n v="1406909.25"/>
    <n v="1391954.25"/>
    <n v="1377499.5"/>
    <n v="1366124.75"/>
    <n v="1355959"/>
    <n v="1345881.25"/>
  </r>
  <r>
    <x v="9"/>
    <x v="0"/>
    <x v="8"/>
    <x v="2"/>
    <x v="0"/>
    <x v="12"/>
    <x v="0"/>
    <x v="3"/>
    <x v="2"/>
    <x v="2"/>
    <x v="2"/>
    <x v="2"/>
    <x v="2"/>
    <x v="2"/>
    <x v="2"/>
    <x v="2"/>
    <x v="2"/>
    <x v="2"/>
    <x v="2"/>
    <x v="2"/>
    <x v="2"/>
    <x v="2"/>
    <x v="2"/>
    <x v="2"/>
    <x v="2"/>
    <x v="2"/>
    <n v="0"/>
    <n v="0"/>
    <n v="0"/>
    <n v="0"/>
    <n v="0"/>
    <n v="0"/>
  </r>
  <r>
    <x v="10"/>
    <x v="0"/>
    <x v="8"/>
    <x v="4"/>
    <x v="1"/>
    <x v="0"/>
    <x v="0"/>
    <x v="47"/>
    <x v="51"/>
    <x v="0"/>
    <x v="0"/>
    <x v="0"/>
    <x v="0"/>
    <x v="0"/>
    <x v="0"/>
    <x v="0"/>
    <x v="0"/>
    <x v="0"/>
    <x v="0"/>
    <x v="0"/>
    <x v="0"/>
    <x v="0"/>
    <x v="0"/>
    <x v="0"/>
    <x v="0"/>
    <x v="0"/>
    <m/>
    <m/>
    <m/>
    <m/>
    <m/>
    <m/>
  </r>
  <r>
    <x v="10"/>
    <x v="0"/>
    <x v="8"/>
    <x v="4"/>
    <x v="1"/>
    <x v="1"/>
    <x v="0"/>
    <x v="48"/>
    <x v="52"/>
    <x v="23"/>
    <x v="24"/>
    <x v="25"/>
    <x v="28"/>
    <x v="25"/>
    <x v="25"/>
    <x v="27"/>
    <x v="26"/>
    <x v="25"/>
    <x v="23"/>
    <x v="23"/>
    <x v="24"/>
    <x v="23"/>
    <x v="24"/>
    <x v="21"/>
    <x v="21"/>
    <x v="21"/>
    <n v="7778"/>
    <n v="7778"/>
    <n v="7778"/>
    <n v="7944"/>
    <n v="7953"/>
    <n v="7953"/>
  </r>
  <r>
    <x v="10"/>
    <x v="0"/>
    <x v="8"/>
    <x v="4"/>
    <x v="1"/>
    <x v="2"/>
    <x v="0"/>
    <x v="2"/>
    <x v="2"/>
    <x v="0"/>
    <x v="0"/>
    <x v="0"/>
    <x v="0"/>
    <x v="0"/>
    <x v="0"/>
    <x v="0"/>
    <x v="0"/>
    <x v="0"/>
    <x v="0"/>
    <x v="0"/>
    <x v="0"/>
    <x v="0"/>
    <x v="0"/>
    <x v="0"/>
    <x v="0"/>
    <x v="0"/>
    <m/>
    <m/>
    <m/>
    <m/>
    <m/>
    <m/>
  </r>
  <r>
    <x v="10"/>
    <x v="0"/>
    <x v="8"/>
    <x v="4"/>
    <x v="1"/>
    <x v="3"/>
    <x v="0"/>
    <x v="2"/>
    <x v="2"/>
    <x v="0"/>
    <x v="0"/>
    <x v="0"/>
    <x v="0"/>
    <x v="0"/>
    <x v="0"/>
    <x v="0"/>
    <x v="0"/>
    <x v="0"/>
    <x v="0"/>
    <x v="0"/>
    <x v="0"/>
    <x v="0"/>
    <x v="0"/>
    <x v="0"/>
    <x v="0"/>
    <x v="0"/>
    <m/>
    <m/>
    <m/>
    <m/>
    <m/>
    <m/>
  </r>
  <r>
    <x v="10"/>
    <x v="0"/>
    <x v="8"/>
    <x v="4"/>
    <x v="1"/>
    <x v="4"/>
    <x v="0"/>
    <x v="49"/>
    <x v="53"/>
    <x v="0"/>
    <x v="0"/>
    <x v="0"/>
    <x v="0"/>
    <x v="0"/>
    <x v="0"/>
    <x v="0"/>
    <x v="0"/>
    <x v="0"/>
    <x v="0"/>
    <x v="0"/>
    <x v="0"/>
    <x v="0"/>
    <x v="0"/>
    <x v="0"/>
    <x v="0"/>
    <x v="0"/>
    <m/>
    <m/>
    <m/>
    <m/>
    <m/>
    <m/>
  </r>
  <r>
    <x v="10"/>
    <x v="0"/>
    <x v="8"/>
    <x v="4"/>
    <x v="1"/>
    <x v="5"/>
    <x v="0"/>
    <x v="3"/>
    <x v="3"/>
    <x v="0"/>
    <x v="0"/>
    <x v="0"/>
    <x v="0"/>
    <x v="0"/>
    <x v="0"/>
    <x v="0"/>
    <x v="0"/>
    <x v="0"/>
    <x v="0"/>
    <x v="0"/>
    <x v="0"/>
    <x v="0"/>
    <x v="0"/>
    <x v="0"/>
    <x v="0"/>
    <x v="0"/>
    <m/>
    <m/>
    <m/>
    <m/>
    <m/>
    <m/>
  </r>
  <r>
    <x v="10"/>
    <x v="0"/>
    <x v="8"/>
    <x v="4"/>
    <x v="1"/>
    <x v="6"/>
    <x v="0"/>
    <x v="2"/>
    <x v="2"/>
    <x v="2"/>
    <x v="2"/>
    <x v="2"/>
    <x v="2"/>
    <x v="2"/>
    <x v="2"/>
    <x v="2"/>
    <x v="2"/>
    <x v="2"/>
    <x v="2"/>
    <x v="2"/>
    <x v="2"/>
    <x v="2"/>
    <x v="2"/>
    <x v="2"/>
    <x v="2"/>
    <x v="2"/>
    <n v="0"/>
    <n v="0"/>
    <n v="0"/>
    <n v="0"/>
    <n v="0"/>
    <n v="0"/>
  </r>
  <r>
    <x v="10"/>
    <x v="0"/>
    <x v="8"/>
    <x v="4"/>
    <x v="1"/>
    <x v="7"/>
    <x v="0"/>
    <x v="3"/>
    <x v="3"/>
    <x v="0"/>
    <x v="0"/>
    <x v="0"/>
    <x v="0"/>
    <x v="0"/>
    <x v="0"/>
    <x v="0"/>
    <x v="0"/>
    <x v="0"/>
    <x v="0"/>
    <x v="0"/>
    <x v="0"/>
    <x v="0"/>
    <x v="0"/>
    <x v="0"/>
    <x v="0"/>
    <x v="0"/>
    <m/>
    <m/>
    <m/>
    <m/>
    <m/>
    <m/>
  </r>
  <r>
    <x v="10"/>
    <x v="0"/>
    <x v="8"/>
    <x v="4"/>
    <x v="1"/>
    <x v="8"/>
    <x v="0"/>
    <x v="2"/>
    <x v="3"/>
    <x v="0"/>
    <x v="0"/>
    <x v="0"/>
    <x v="0"/>
    <x v="0"/>
    <x v="0"/>
    <x v="0"/>
    <x v="0"/>
    <x v="0"/>
    <x v="0"/>
    <x v="0"/>
    <x v="0"/>
    <x v="0"/>
    <x v="0"/>
    <x v="0"/>
    <x v="0"/>
    <x v="0"/>
    <m/>
    <m/>
    <m/>
    <m/>
    <m/>
    <m/>
  </r>
  <r>
    <x v="10"/>
    <x v="0"/>
    <x v="8"/>
    <x v="4"/>
    <x v="1"/>
    <x v="9"/>
    <x v="0"/>
    <x v="2"/>
    <x v="3"/>
    <x v="0"/>
    <x v="0"/>
    <x v="0"/>
    <x v="0"/>
    <x v="0"/>
    <x v="0"/>
    <x v="0"/>
    <x v="0"/>
    <x v="0"/>
    <x v="0"/>
    <x v="0"/>
    <x v="0"/>
    <x v="0"/>
    <x v="0"/>
    <x v="0"/>
    <x v="0"/>
    <x v="0"/>
    <m/>
    <m/>
    <m/>
    <m/>
    <m/>
    <m/>
  </r>
  <r>
    <x v="10"/>
    <x v="0"/>
    <x v="8"/>
    <x v="4"/>
    <x v="1"/>
    <x v="10"/>
    <x v="0"/>
    <x v="3"/>
    <x v="3"/>
    <x v="0"/>
    <x v="0"/>
    <x v="0"/>
    <x v="0"/>
    <x v="0"/>
    <x v="0"/>
    <x v="0"/>
    <x v="0"/>
    <x v="0"/>
    <x v="0"/>
    <x v="0"/>
    <x v="0"/>
    <x v="0"/>
    <x v="0"/>
    <x v="0"/>
    <x v="0"/>
    <x v="0"/>
    <m/>
    <m/>
    <m/>
    <m/>
    <m/>
    <m/>
  </r>
  <r>
    <x v="10"/>
    <x v="0"/>
    <x v="8"/>
    <x v="4"/>
    <x v="1"/>
    <x v="11"/>
    <x v="0"/>
    <x v="3"/>
    <x v="54"/>
    <x v="24"/>
    <x v="25"/>
    <x v="26"/>
    <x v="29"/>
    <x v="26"/>
    <x v="26"/>
    <x v="28"/>
    <x v="27"/>
    <x v="26"/>
    <x v="24"/>
    <x v="24"/>
    <x v="25"/>
    <x v="24"/>
    <x v="25"/>
    <x v="22"/>
    <x v="22"/>
    <x v="22"/>
    <n v="-346304"/>
    <n v="-354082"/>
    <n v="-361860"/>
    <n v="-369804"/>
    <n v="-377757"/>
    <n v="-385710"/>
  </r>
  <r>
    <x v="10"/>
    <x v="0"/>
    <x v="8"/>
    <x v="4"/>
    <x v="1"/>
    <x v="12"/>
    <x v="0"/>
    <x v="3"/>
    <x v="2"/>
    <x v="2"/>
    <x v="2"/>
    <x v="2"/>
    <x v="2"/>
    <x v="2"/>
    <x v="2"/>
    <x v="2"/>
    <x v="2"/>
    <x v="2"/>
    <x v="2"/>
    <x v="2"/>
    <x v="2"/>
    <x v="2"/>
    <x v="2"/>
    <x v="2"/>
    <x v="2"/>
    <x v="2"/>
    <n v="0"/>
    <n v="0"/>
    <n v="0"/>
    <n v="0"/>
    <n v="0"/>
    <n v="0"/>
  </r>
  <r>
    <x v="10"/>
    <x v="0"/>
    <x v="8"/>
    <x v="1"/>
    <x v="0"/>
    <x v="0"/>
    <x v="0"/>
    <x v="50"/>
    <x v="55"/>
    <x v="0"/>
    <x v="0"/>
    <x v="0"/>
    <x v="0"/>
    <x v="0"/>
    <x v="0"/>
    <x v="0"/>
    <x v="0"/>
    <x v="0"/>
    <x v="0"/>
    <x v="0"/>
    <x v="0"/>
    <x v="0"/>
    <x v="0"/>
    <x v="0"/>
    <x v="0"/>
    <x v="0"/>
    <m/>
    <m/>
    <m/>
    <m/>
    <m/>
    <m/>
  </r>
  <r>
    <x v="10"/>
    <x v="0"/>
    <x v="8"/>
    <x v="1"/>
    <x v="0"/>
    <x v="1"/>
    <x v="0"/>
    <x v="51"/>
    <x v="56"/>
    <x v="25"/>
    <x v="26"/>
    <x v="27"/>
    <x v="30"/>
    <x v="27"/>
    <x v="27"/>
    <x v="29"/>
    <x v="28"/>
    <x v="27"/>
    <x v="25"/>
    <x v="25"/>
    <x v="26"/>
    <x v="25"/>
    <x v="26"/>
    <x v="23"/>
    <x v="23"/>
    <x v="23"/>
    <n v="2053.5"/>
    <n v="1803"/>
    <n v="1800.75"/>
    <n v="1615.75"/>
    <n v="1412.75"/>
    <n v="1412.75"/>
  </r>
  <r>
    <x v="10"/>
    <x v="0"/>
    <x v="8"/>
    <x v="1"/>
    <x v="0"/>
    <x v="2"/>
    <x v="0"/>
    <x v="52"/>
    <x v="57"/>
    <x v="0"/>
    <x v="0"/>
    <x v="0"/>
    <x v="0"/>
    <x v="0"/>
    <x v="0"/>
    <x v="0"/>
    <x v="0"/>
    <x v="0"/>
    <x v="0"/>
    <x v="0"/>
    <x v="0"/>
    <x v="0"/>
    <x v="0"/>
    <x v="0"/>
    <x v="0"/>
    <x v="0"/>
    <m/>
    <m/>
    <m/>
    <m/>
    <m/>
    <m/>
  </r>
  <r>
    <x v="10"/>
    <x v="0"/>
    <x v="8"/>
    <x v="1"/>
    <x v="0"/>
    <x v="3"/>
    <x v="0"/>
    <x v="2"/>
    <x v="2"/>
    <x v="0"/>
    <x v="0"/>
    <x v="0"/>
    <x v="0"/>
    <x v="0"/>
    <x v="0"/>
    <x v="0"/>
    <x v="0"/>
    <x v="0"/>
    <x v="0"/>
    <x v="0"/>
    <x v="0"/>
    <x v="0"/>
    <x v="0"/>
    <x v="0"/>
    <x v="0"/>
    <x v="0"/>
    <m/>
    <m/>
    <m/>
    <m/>
    <m/>
    <m/>
  </r>
  <r>
    <x v="10"/>
    <x v="0"/>
    <x v="8"/>
    <x v="1"/>
    <x v="0"/>
    <x v="4"/>
    <x v="0"/>
    <x v="53"/>
    <x v="58"/>
    <x v="0"/>
    <x v="0"/>
    <x v="0"/>
    <x v="0"/>
    <x v="0"/>
    <x v="0"/>
    <x v="0"/>
    <x v="0"/>
    <x v="0"/>
    <x v="0"/>
    <x v="0"/>
    <x v="0"/>
    <x v="0"/>
    <x v="0"/>
    <x v="0"/>
    <x v="0"/>
    <x v="0"/>
    <m/>
    <m/>
    <m/>
    <m/>
    <m/>
    <m/>
  </r>
  <r>
    <x v="10"/>
    <x v="0"/>
    <x v="8"/>
    <x v="1"/>
    <x v="0"/>
    <x v="5"/>
    <x v="0"/>
    <x v="54"/>
    <x v="59"/>
    <x v="0"/>
    <x v="0"/>
    <x v="0"/>
    <x v="0"/>
    <x v="0"/>
    <x v="0"/>
    <x v="0"/>
    <x v="0"/>
    <x v="0"/>
    <x v="0"/>
    <x v="0"/>
    <x v="0"/>
    <x v="0"/>
    <x v="0"/>
    <x v="0"/>
    <x v="0"/>
    <x v="0"/>
    <m/>
    <m/>
    <m/>
    <m/>
    <m/>
    <m/>
  </r>
  <r>
    <x v="10"/>
    <x v="0"/>
    <x v="8"/>
    <x v="1"/>
    <x v="0"/>
    <x v="6"/>
    <x v="0"/>
    <x v="55"/>
    <x v="2"/>
    <x v="2"/>
    <x v="27"/>
    <x v="28"/>
    <x v="31"/>
    <x v="28"/>
    <x v="28"/>
    <x v="30"/>
    <x v="29"/>
    <x v="28"/>
    <x v="26"/>
    <x v="26"/>
    <x v="27"/>
    <x v="26"/>
    <x v="27"/>
    <x v="2"/>
    <x v="2"/>
    <x v="2"/>
    <n v="0"/>
    <n v="0"/>
    <n v="0"/>
    <n v="0"/>
    <n v="0"/>
    <n v="0"/>
  </r>
  <r>
    <x v="10"/>
    <x v="0"/>
    <x v="8"/>
    <x v="1"/>
    <x v="0"/>
    <x v="7"/>
    <x v="0"/>
    <x v="55"/>
    <x v="3"/>
    <x v="0"/>
    <x v="27"/>
    <x v="28"/>
    <x v="31"/>
    <x v="28"/>
    <x v="28"/>
    <x v="30"/>
    <x v="29"/>
    <x v="28"/>
    <x v="26"/>
    <x v="26"/>
    <x v="27"/>
    <x v="26"/>
    <x v="27"/>
    <x v="0"/>
    <x v="0"/>
    <x v="0"/>
    <m/>
    <m/>
    <m/>
    <m/>
    <m/>
    <m/>
  </r>
  <r>
    <x v="10"/>
    <x v="0"/>
    <x v="8"/>
    <x v="1"/>
    <x v="0"/>
    <x v="8"/>
    <x v="0"/>
    <x v="2"/>
    <x v="3"/>
    <x v="0"/>
    <x v="0"/>
    <x v="0"/>
    <x v="0"/>
    <x v="0"/>
    <x v="0"/>
    <x v="0"/>
    <x v="0"/>
    <x v="0"/>
    <x v="0"/>
    <x v="0"/>
    <x v="0"/>
    <x v="0"/>
    <x v="0"/>
    <x v="0"/>
    <x v="0"/>
    <x v="0"/>
    <m/>
    <m/>
    <m/>
    <m/>
    <m/>
    <m/>
  </r>
  <r>
    <x v="10"/>
    <x v="0"/>
    <x v="8"/>
    <x v="1"/>
    <x v="0"/>
    <x v="9"/>
    <x v="0"/>
    <x v="2"/>
    <x v="3"/>
    <x v="0"/>
    <x v="0"/>
    <x v="0"/>
    <x v="0"/>
    <x v="0"/>
    <x v="0"/>
    <x v="0"/>
    <x v="0"/>
    <x v="0"/>
    <x v="0"/>
    <x v="0"/>
    <x v="0"/>
    <x v="0"/>
    <x v="0"/>
    <x v="0"/>
    <x v="0"/>
    <x v="0"/>
    <m/>
    <m/>
    <m/>
    <m/>
    <m/>
    <m/>
  </r>
  <r>
    <x v="10"/>
    <x v="0"/>
    <x v="8"/>
    <x v="1"/>
    <x v="0"/>
    <x v="10"/>
    <x v="0"/>
    <x v="55"/>
    <x v="3"/>
    <x v="0"/>
    <x v="27"/>
    <x v="28"/>
    <x v="31"/>
    <x v="28"/>
    <x v="28"/>
    <x v="30"/>
    <x v="29"/>
    <x v="28"/>
    <x v="26"/>
    <x v="26"/>
    <x v="27"/>
    <x v="26"/>
    <x v="27"/>
    <x v="0"/>
    <x v="0"/>
    <x v="0"/>
    <m/>
    <m/>
    <m/>
    <m/>
    <m/>
    <m/>
  </r>
  <r>
    <x v="10"/>
    <x v="0"/>
    <x v="8"/>
    <x v="1"/>
    <x v="0"/>
    <x v="11"/>
    <x v="0"/>
    <x v="3"/>
    <x v="60"/>
    <x v="26"/>
    <x v="28"/>
    <x v="29"/>
    <x v="32"/>
    <x v="29"/>
    <x v="29"/>
    <x v="31"/>
    <x v="30"/>
    <x v="29"/>
    <x v="27"/>
    <x v="27"/>
    <x v="28"/>
    <x v="27"/>
    <x v="28"/>
    <x v="24"/>
    <x v="24"/>
    <x v="24"/>
    <n v="1005991.25"/>
    <n v="1004188.25"/>
    <n v="1002387.5"/>
    <n v="1000771.75"/>
    <n v="999359"/>
    <n v="997946.25"/>
  </r>
  <r>
    <x v="10"/>
    <x v="0"/>
    <x v="8"/>
    <x v="1"/>
    <x v="0"/>
    <x v="12"/>
    <x v="0"/>
    <x v="3"/>
    <x v="2"/>
    <x v="2"/>
    <x v="2"/>
    <x v="2"/>
    <x v="2"/>
    <x v="2"/>
    <x v="2"/>
    <x v="2"/>
    <x v="2"/>
    <x v="2"/>
    <x v="2"/>
    <x v="2"/>
    <x v="2"/>
    <x v="2"/>
    <x v="2"/>
    <x v="2"/>
    <x v="2"/>
    <x v="2"/>
    <n v="0"/>
    <n v="0"/>
    <n v="0"/>
    <n v="0"/>
    <n v="0"/>
    <n v="0"/>
  </r>
  <r>
    <x v="11"/>
    <x v="0"/>
    <x v="8"/>
    <x v="0"/>
    <x v="1"/>
    <x v="0"/>
    <x v="0"/>
    <x v="56"/>
    <x v="61"/>
    <x v="0"/>
    <x v="0"/>
    <x v="0"/>
    <x v="0"/>
    <x v="0"/>
    <x v="0"/>
    <x v="0"/>
    <x v="0"/>
    <x v="0"/>
    <x v="0"/>
    <x v="0"/>
    <x v="0"/>
    <x v="0"/>
    <x v="0"/>
    <x v="0"/>
    <x v="0"/>
    <x v="0"/>
    <m/>
    <m/>
    <m/>
    <m/>
    <m/>
    <m/>
  </r>
  <r>
    <x v="11"/>
    <x v="0"/>
    <x v="8"/>
    <x v="0"/>
    <x v="1"/>
    <x v="1"/>
    <x v="0"/>
    <x v="57"/>
    <x v="62"/>
    <x v="27"/>
    <x v="29"/>
    <x v="30"/>
    <x v="33"/>
    <x v="30"/>
    <x v="30"/>
    <x v="32"/>
    <x v="31"/>
    <x v="30"/>
    <x v="28"/>
    <x v="28"/>
    <x v="29"/>
    <x v="28"/>
    <x v="29"/>
    <x v="25"/>
    <x v="25"/>
    <x v="25"/>
    <n v="14976"/>
    <n v="14975"/>
    <n v="14975"/>
    <n v="13987"/>
    <n v="13594"/>
    <n v="13593"/>
  </r>
  <r>
    <x v="11"/>
    <x v="0"/>
    <x v="8"/>
    <x v="0"/>
    <x v="1"/>
    <x v="2"/>
    <x v="0"/>
    <x v="58"/>
    <x v="63"/>
    <x v="0"/>
    <x v="0"/>
    <x v="0"/>
    <x v="0"/>
    <x v="0"/>
    <x v="0"/>
    <x v="0"/>
    <x v="0"/>
    <x v="0"/>
    <x v="0"/>
    <x v="0"/>
    <x v="0"/>
    <x v="0"/>
    <x v="0"/>
    <x v="0"/>
    <x v="0"/>
    <x v="0"/>
    <m/>
    <m/>
    <m/>
    <m/>
    <m/>
    <m/>
  </r>
  <r>
    <x v="11"/>
    <x v="0"/>
    <x v="8"/>
    <x v="0"/>
    <x v="1"/>
    <x v="3"/>
    <x v="0"/>
    <x v="2"/>
    <x v="2"/>
    <x v="0"/>
    <x v="0"/>
    <x v="0"/>
    <x v="0"/>
    <x v="0"/>
    <x v="0"/>
    <x v="0"/>
    <x v="0"/>
    <x v="0"/>
    <x v="0"/>
    <x v="0"/>
    <x v="0"/>
    <x v="0"/>
    <x v="0"/>
    <x v="0"/>
    <x v="0"/>
    <x v="0"/>
    <m/>
    <m/>
    <m/>
    <m/>
    <m/>
    <m/>
  </r>
  <r>
    <x v="11"/>
    <x v="0"/>
    <x v="8"/>
    <x v="0"/>
    <x v="1"/>
    <x v="4"/>
    <x v="0"/>
    <x v="59"/>
    <x v="64"/>
    <x v="0"/>
    <x v="0"/>
    <x v="0"/>
    <x v="0"/>
    <x v="0"/>
    <x v="0"/>
    <x v="0"/>
    <x v="0"/>
    <x v="0"/>
    <x v="0"/>
    <x v="0"/>
    <x v="0"/>
    <x v="0"/>
    <x v="0"/>
    <x v="0"/>
    <x v="0"/>
    <x v="0"/>
    <m/>
    <m/>
    <m/>
    <m/>
    <m/>
    <m/>
  </r>
  <r>
    <x v="11"/>
    <x v="0"/>
    <x v="8"/>
    <x v="0"/>
    <x v="1"/>
    <x v="5"/>
    <x v="0"/>
    <x v="3"/>
    <x v="3"/>
    <x v="0"/>
    <x v="0"/>
    <x v="0"/>
    <x v="0"/>
    <x v="0"/>
    <x v="0"/>
    <x v="0"/>
    <x v="0"/>
    <x v="0"/>
    <x v="0"/>
    <x v="0"/>
    <x v="0"/>
    <x v="0"/>
    <x v="0"/>
    <x v="0"/>
    <x v="0"/>
    <x v="0"/>
    <m/>
    <m/>
    <m/>
    <m/>
    <m/>
    <m/>
  </r>
  <r>
    <x v="11"/>
    <x v="0"/>
    <x v="8"/>
    <x v="0"/>
    <x v="1"/>
    <x v="6"/>
    <x v="0"/>
    <x v="60"/>
    <x v="2"/>
    <x v="2"/>
    <x v="2"/>
    <x v="2"/>
    <x v="2"/>
    <x v="2"/>
    <x v="2"/>
    <x v="2"/>
    <x v="2"/>
    <x v="2"/>
    <x v="2"/>
    <x v="29"/>
    <x v="30"/>
    <x v="29"/>
    <x v="30"/>
    <x v="26"/>
    <x v="2"/>
    <x v="2"/>
    <n v="0"/>
    <n v="0"/>
    <n v="0"/>
    <n v="0"/>
    <n v="0"/>
    <n v="0"/>
  </r>
  <r>
    <x v="11"/>
    <x v="0"/>
    <x v="8"/>
    <x v="0"/>
    <x v="1"/>
    <x v="7"/>
    <x v="0"/>
    <x v="60"/>
    <x v="3"/>
    <x v="0"/>
    <x v="0"/>
    <x v="0"/>
    <x v="0"/>
    <x v="0"/>
    <x v="0"/>
    <x v="0"/>
    <x v="0"/>
    <x v="0"/>
    <x v="0"/>
    <x v="29"/>
    <x v="30"/>
    <x v="29"/>
    <x v="30"/>
    <x v="26"/>
    <x v="0"/>
    <x v="0"/>
    <m/>
    <m/>
    <m/>
    <m/>
    <m/>
    <m/>
  </r>
  <r>
    <x v="11"/>
    <x v="0"/>
    <x v="8"/>
    <x v="0"/>
    <x v="1"/>
    <x v="8"/>
    <x v="0"/>
    <x v="2"/>
    <x v="3"/>
    <x v="0"/>
    <x v="0"/>
    <x v="0"/>
    <x v="0"/>
    <x v="0"/>
    <x v="0"/>
    <x v="0"/>
    <x v="0"/>
    <x v="0"/>
    <x v="0"/>
    <x v="0"/>
    <x v="0"/>
    <x v="0"/>
    <x v="0"/>
    <x v="0"/>
    <x v="0"/>
    <x v="0"/>
    <m/>
    <m/>
    <m/>
    <m/>
    <m/>
    <m/>
  </r>
  <r>
    <x v="11"/>
    <x v="0"/>
    <x v="8"/>
    <x v="0"/>
    <x v="1"/>
    <x v="9"/>
    <x v="0"/>
    <x v="2"/>
    <x v="3"/>
    <x v="0"/>
    <x v="0"/>
    <x v="0"/>
    <x v="0"/>
    <x v="0"/>
    <x v="0"/>
    <x v="0"/>
    <x v="0"/>
    <x v="0"/>
    <x v="0"/>
    <x v="0"/>
    <x v="0"/>
    <x v="0"/>
    <x v="0"/>
    <x v="0"/>
    <x v="0"/>
    <x v="0"/>
    <m/>
    <m/>
    <m/>
    <m/>
    <m/>
    <m/>
  </r>
  <r>
    <x v="11"/>
    <x v="0"/>
    <x v="8"/>
    <x v="0"/>
    <x v="1"/>
    <x v="10"/>
    <x v="0"/>
    <x v="60"/>
    <x v="3"/>
    <x v="0"/>
    <x v="0"/>
    <x v="0"/>
    <x v="0"/>
    <x v="0"/>
    <x v="0"/>
    <x v="0"/>
    <x v="0"/>
    <x v="0"/>
    <x v="0"/>
    <x v="29"/>
    <x v="30"/>
    <x v="29"/>
    <x v="30"/>
    <x v="26"/>
    <x v="0"/>
    <x v="0"/>
    <m/>
    <m/>
    <m/>
    <m/>
    <m/>
    <m/>
  </r>
  <r>
    <x v="11"/>
    <x v="0"/>
    <x v="8"/>
    <x v="0"/>
    <x v="1"/>
    <x v="11"/>
    <x v="0"/>
    <x v="3"/>
    <x v="65"/>
    <x v="28"/>
    <x v="30"/>
    <x v="31"/>
    <x v="34"/>
    <x v="31"/>
    <x v="31"/>
    <x v="33"/>
    <x v="32"/>
    <x v="31"/>
    <x v="29"/>
    <x v="30"/>
    <x v="31"/>
    <x v="30"/>
    <x v="31"/>
    <x v="27"/>
    <x v="26"/>
    <x v="26"/>
    <n v="-221329"/>
    <n v="-236304"/>
    <n v="-251279"/>
    <n v="-265266"/>
    <n v="-278860"/>
    <n v="-292453"/>
  </r>
  <r>
    <x v="11"/>
    <x v="0"/>
    <x v="8"/>
    <x v="0"/>
    <x v="1"/>
    <x v="12"/>
    <x v="0"/>
    <x v="3"/>
    <x v="2"/>
    <x v="2"/>
    <x v="2"/>
    <x v="2"/>
    <x v="2"/>
    <x v="2"/>
    <x v="2"/>
    <x v="2"/>
    <x v="2"/>
    <x v="2"/>
    <x v="2"/>
    <x v="2"/>
    <x v="2"/>
    <x v="2"/>
    <x v="2"/>
    <x v="2"/>
    <x v="2"/>
    <x v="2"/>
    <n v="0"/>
    <n v="0"/>
    <n v="0"/>
    <n v="0"/>
    <n v="0"/>
    <n v="0"/>
  </r>
  <r>
    <x v="11"/>
    <x v="0"/>
    <x v="8"/>
    <x v="0"/>
    <x v="0"/>
    <x v="0"/>
    <x v="0"/>
    <x v="61"/>
    <x v="66"/>
    <x v="0"/>
    <x v="0"/>
    <x v="0"/>
    <x v="0"/>
    <x v="0"/>
    <x v="0"/>
    <x v="0"/>
    <x v="0"/>
    <x v="0"/>
    <x v="0"/>
    <x v="0"/>
    <x v="0"/>
    <x v="0"/>
    <x v="0"/>
    <x v="0"/>
    <x v="0"/>
    <x v="0"/>
    <m/>
    <m/>
    <m/>
    <m/>
    <m/>
    <m/>
  </r>
  <r>
    <x v="11"/>
    <x v="0"/>
    <x v="8"/>
    <x v="0"/>
    <x v="0"/>
    <x v="1"/>
    <x v="0"/>
    <x v="62"/>
    <x v="67"/>
    <x v="29"/>
    <x v="31"/>
    <x v="32"/>
    <x v="35"/>
    <x v="32"/>
    <x v="32"/>
    <x v="34"/>
    <x v="33"/>
    <x v="32"/>
    <x v="30"/>
    <x v="31"/>
    <x v="32"/>
    <x v="31"/>
    <x v="32"/>
    <x v="28"/>
    <x v="27"/>
    <x v="27"/>
    <n v="83076.5"/>
    <n v="80288"/>
    <n v="79287.75"/>
    <n v="58061.75"/>
    <n v="48198.75"/>
    <n v="47660.75"/>
  </r>
  <r>
    <x v="11"/>
    <x v="0"/>
    <x v="8"/>
    <x v="0"/>
    <x v="0"/>
    <x v="2"/>
    <x v="0"/>
    <x v="63"/>
    <x v="68"/>
    <x v="0"/>
    <x v="0"/>
    <x v="0"/>
    <x v="0"/>
    <x v="0"/>
    <x v="0"/>
    <x v="0"/>
    <x v="0"/>
    <x v="0"/>
    <x v="0"/>
    <x v="0"/>
    <x v="0"/>
    <x v="0"/>
    <x v="0"/>
    <x v="0"/>
    <x v="0"/>
    <x v="0"/>
    <m/>
    <m/>
    <m/>
    <m/>
    <m/>
    <m/>
  </r>
  <r>
    <x v="11"/>
    <x v="0"/>
    <x v="8"/>
    <x v="0"/>
    <x v="0"/>
    <x v="3"/>
    <x v="0"/>
    <x v="2"/>
    <x v="2"/>
    <x v="0"/>
    <x v="0"/>
    <x v="0"/>
    <x v="0"/>
    <x v="0"/>
    <x v="0"/>
    <x v="0"/>
    <x v="0"/>
    <x v="0"/>
    <x v="0"/>
    <x v="0"/>
    <x v="0"/>
    <x v="0"/>
    <x v="0"/>
    <x v="0"/>
    <x v="0"/>
    <x v="0"/>
    <m/>
    <m/>
    <m/>
    <m/>
    <m/>
    <m/>
  </r>
  <r>
    <x v="11"/>
    <x v="0"/>
    <x v="8"/>
    <x v="0"/>
    <x v="0"/>
    <x v="4"/>
    <x v="0"/>
    <x v="64"/>
    <x v="69"/>
    <x v="0"/>
    <x v="0"/>
    <x v="0"/>
    <x v="0"/>
    <x v="0"/>
    <x v="0"/>
    <x v="0"/>
    <x v="0"/>
    <x v="0"/>
    <x v="0"/>
    <x v="0"/>
    <x v="0"/>
    <x v="0"/>
    <x v="0"/>
    <x v="0"/>
    <x v="0"/>
    <x v="0"/>
    <m/>
    <m/>
    <m/>
    <m/>
    <m/>
    <m/>
  </r>
  <r>
    <x v="11"/>
    <x v="0"/>
    <x v="8"/>
    <x v="0"/>
    <x v="0"/>
    <x v="5"/>
    <x v="0"/>
    <x v="3"/>
    <x v="3"/>
    <x v="0"/>
    <x v="0"/>
    <x v="0"/>
    <x v="0"/>
    <x v="0"/>
    <x v="0"/>
    <x v="0"/>
    <x v="0"/>
    <x v="0"/>
    <x v="0"/>
    <x v="0"/>
    <x v="0"/>
    <x v="0"/>
    <x v="0"/>
    <x v="0"/>
    <x v="0"/>
    <x v="0"/>
    <m/>
    <m/>
    <m/>
    <m/>
    <m/>
    <m/>
  </r>
  <r>
    <x v="11"/>
    <x v="0"/>
    <x v="8"/>
    <x v="0"/>
    <x v="0"/>
    <x v="6"/>
    <x v="0"/>
    <x v="65"/>
    <x v="2"/>
    <x v="2"/>
    <x v="2"/>
    <x v="33"/>
    <x v="36"/>
    <x v="33"/>
    <x v="33"/>
    <x v="35"/>
    <x v="34"/>
    <x v="33"/>
    <x v="31"/>
    <x v="32"/>
    <x v="33"/>
    <x v="32"/>
    <x v="33"/>
    <x v="29"/>
    <x v="2"/>
    <x v="2"/>
    <n v="0"/>
    <n v="0"/>
    <n v="0"/>
    <n v="0"/>
    <n v="0"/>
    <n v="0"/>
  </r>
  <r>
    <x v="11"/>
    <x v="0"/>
    <x v="8"/>
    <x v="0"/>
    <x v="0"/>
    <x v="7"/>
    <x v="0"/>
    <x v="65"/>
    <x v="3"/>
    <x v="0"/>
    <x v="0"/>
    <x v="33"/>
    <x v="36"/>
    <x v="33"/>
    <x v="33"/>
    <x v="35"/>
    <x v="34"/>
    <x v="33"/>
    <x v="31"/>
    <x v="32"/>
    <x v="33"/>
    <x v="32"/>
    <x v="33"/>
    <x v="29"/>
    <x v="0"/>
    <x v="0"/>
    <m/>
    <m/>
    <m/>
    <m/>
    <m/>
    <m/>
  </r>
  <r>
    <x v="11"/>
    <x v="0"/>
    <x v="8"/>
    <x v="0"/>
    <x v="0"/>
    <x v="8"/>
    <x v="0"/>
    <x v="2"/>
    <x v="3"/>
    <x v="0"/>
    <x v="0"/>
    <x v="0"/>
    <x v="0"/>
    <x v="0"/>
    <x v="0"/>
    <x v="0"/>
    <x v="0"/>
    <x v="0"/>
    <x v="0"/>
    <x v="0"/>
    <x v="0"/>
    <x v="0"/>
    <x v="0"/>
    <x v="0"/>
    <x v="0"/>
    <x v="0"/>
    <m/>
    <m/>
    <m/>
    <m/>
    <m/>
    <m/>
  </r>
  <r>
    <x v="11"/>
    <x v="0"/>
    <x v="8"/>
    <x v="0"/>
    <x v="0"/>
    <x v="9"/>
    <x v="0"/>
    <x v="2"/>
    <x v="3"/>
    <x v="0"/>
    <x v="0"/>
    <x v="0"/>
    <x v="0"/>
    <x v="0"/>
    <x v="0"/>
    <x v="0"/>
    <x v="0"/>
    <x v="0"/>
    <x v="0"/>
    <x v="0"/>
    <x v="0"/>
    <x v="0"/>
    <x v="0"/>
    <x v="0"/>
    <x v="0"/>
    <x v="0"/>
    <m/>
    <m/>
    <m/>
    <m/>
    <m/>
    <m/>
  </r>
  <r>
    <x v="11"/>
    <x v="0"/>
    <x v="8"/>
    <x v="0"/>
    <x v="0"/>
    <x v="10"/>
    <x v="0"/>
    <x v="65"/>
    <x v="3"/>
    <x v="0"/>
    <x v="0"/>
    <x v="33"/>
    <x v="36"/>
    <x v="33"/>
    <x v="33"/>
    <x v="35"/>
    <x v="34"/>
    <x v="33"/>
    <x v="31"/>
    <x v="32"/>
    <x v="33"/>
    <x v="32"/>
    <x v="33"/>
    <x v="29"/>
    <x v="0"/>
    <x v="0"/>
    <m/>
    <m/>
    <m/>
    <m/>
    <m/>
    <m/>
  </r>
  <r>
    <x v="11"/>
    <x v="0"/>
    <x v="8"/>
    <x v="0"/>
    <x v="0"/>
    <x v="11"/>
    <x v="0"/>
    <x v="3"/>
    <x v="70"/>
    <x v="30"/>
    <x v="32"/>
    <x v="34"/>
    <x v="37"/>
    <x v="34"/>
    <x v="34"/>
    <x v="36"/>
    <x v="35"/>
    <x v="34"/>
    <x v="32"/>
    <x v="33"/>
    <x v="34"/>
    <x v="33"/>
    <x v="34"/>
    <x v="30"/>
    <x v="28"/>
    <x v="28"/>
    <n v="-4555848.75"/>
    <n v="-4636136.75"/>
    <n v="-4715424.5"/>
    <n v="-4773486.25"/>
    <n v="-4821685"/>
    <n v="-4869345.75"/>
  </r>
  <r>
    <x v="11"/>
    <x v="0"/>
    <x v="8"/>
    <x v="0"/>
    <x v="0"/>
    <x v="12"/>
    <x v="0"/>
    <x v="3"/>
    <x v="2"/>
    <x v="2"/>
    <x v="2"/>
    <x v="2"/>
    <x v="2"/>
    <x v="2"/>
    <x v="2"/>
    <x v="2"/>
    <x v="2"/>
    <x v="2"/>
    <x v="2"/>
    <x v="2"/>
    <x v="2"/>
    <x v="2"/>
    <x v="2"/>
    <x v="2"/>
    <x v="2"/>
    <x v="2"/>
    <n v="0"/>
    <n v="0"/>
    <n v="0"/>
    <n v="0"/>
    <n v="0"/>
    <n v="0"/>
  </r>
  <r>
    <x v="12"/>
    <x v="0"/>
    <x v="9"/>
    <x v="4"/>
    <x v="0"/>
    <x v="0"/>
    <x v="0"/>
    <x v="66"/>
    <x v="71"/>
    <x v="0"/>
    <x v="0"/>
    <x v="0"/>
    <x v="0"/>
    <x v="0"/>
    <x v="0"/>
    <x v="0"/>
    <x v="0"/>
    <x v="0"/>
    <x v="0"/>
    <x v="0"/>
    <x v="0"/>
    <x v="0"/>
    <x v="0"/>
    <x v="0"/>
    <x v="0"/>
    <x v="0"/>
    <m/>
    <m/>
    <m/>
    <m/>
    <m/>
    <m/>
  </r>
  <r>
    <x v="12"/>
    <x v="0"/>
    <x v="9"/>
    <x v="4"/>
    <x v="0"/>
    <x v="1"/>
    <x v="0"/>
    <x v="67"/>
    <x v="72"/>
    <x v="31"/>
    <x v="33"/>
    <x v="35"/>
    <x v="38"/>
    <x v="35"/>
    <x v="35"/>
    <x v="37"/>
    <x v="36"/>
    <x v="35"/>
    <x v="33"/>
    <x v="34"/>
    <x v="35"/>
    <x v="34"/>
    <x v="35"/>
    <x v="31"/>
    <x v="29"/>
    <x v="29"/>
    <n v="111"/>
    <n v="1980"/>
    <n v="1980"/>
    <n v="10266"/>
    <n v="13579"/>
    <n v="13577"/>
  </r>
  <r>
    <x v="12"/>
    <x v="0"/>
    <x v="9"/>
    <x v="4"/>
    <x v="0"/>
    <x v="2"/>
    <x v="0"/>
    <x v="68"/>
    <x v="73"/>
    <x v="0"/>
    <x v="0"/>
    <x v="0"/>
    <x v="0"/>
    <x v="0"/>
    <x v="0"/>
    <x v="0"/>
    <x v="0"/>
    <x v="0"/>
    <x v="0"/>
    <x v="0"/>
    <x v="0"/>
    <x v="0"/>
    <x v="0"/>
    <x v="0"/>
    <x v="0"/>
    <x v="0"/>
    <m/>
    <m/>
    <m/>
    <m/>
    <m/>
    <m/>
  </r>
  <r>
    <x v="12"/>
    <x v="0"/>
    <x v="9"/>
    <x v="4"/>
    <x v="0"/>
    <x v="3"/>
    <x v="0"/>
    <x v="2"/>
    <x v="2"/>
    <x v="0"/>
    <x v="0"/>
    <x v="0"/>
    <x v="0"/>
    <x v="0"/>
    <x v="0"/>
    <x v="0"/>
    <x v="0"/>
    <x v="0"/>
    <x v="0"/>
    <x v="0"/>
    <x v="0"/>
    <x v="0"/>
    <x v="0"/>
    <x v="0"/>
    <x v="0"/>
    <x v="0"/>
    <m/>
    <m/>
    <m/>
    <m/>
    <m/>
    <m/>
  </r>
  <r>
    <x v="12"/>
    <x v="0"/>
    <x v="9"/>
    <x v="4"/>
    <x v="0"/>
    <x v="4"/>
    <x v="0"/>
    <x v="69"/>
    <x v="74"/>
    <x v="0"/>
    <x v="0"/>
    <x v="0"/>
    <x v="0"/>
    <x v="0"/>
    <x v="0"/>
    <x v="0"/>
    <x v="0"/>
    <x v="0"/>
    <x v="0"/>
    <x v="0"/>
    <x v="0"/>
    <x v="0"/>
    <x v="0"/>
    <x v="0"/>
    <x v="0"/>
    <x v="0"/>
    <m/>
    <m/>
    <m/>
    <m/>
    <m/>
    <m/>
  </r>
  <r>
    <x v="12"/>
    <x v="0"/>
    <x v="9"/>
    <x v="4"/>
    <x v="0"/>
    <x v="5"/>
    <x v="0"/>
    <x v="3"/>
    <x v="3"/>
    <x v="0"/>
    <x v="0"/>
    <x v="0"/>
    <x v="0"/>
    <x v="0"/>
    <x v="0"/>
    <x v="0"/>
    <x v="0"/>
    <x v="0"/>
    <x v="0"/>
    <x v="0"/>
    <x v="0"/>
    <x v="0"/>
    <x v="0"/>
    <x v="0"/>
    <x v="0"/>
    <x v="0"/>
    <m/>
    <m/>
    <m/>
    <m/>
    <m/>
    <m/>
  </r>
  <r>
    <x v="12"/>
    <x v="0"/>
    <x v="9"/>
    <x v="4"/>
    <x v="0"/>
    <x v="6"/>
    <x v="0"/>
    <x v="70"/>
    <x v="75"/>
    <x v="2"/>
    <x v="34"/>
    <x v="36"/>
    <x v="39"/>
    <x v="36"/>
    <x v="2"/>
    <x v="38"/>
    <x v="2"/>
    <x v="36"/>
    <x v="2"/>
    <x v="2"/>
    <x v="17"/>
    <x v="17"/>
    <x v="2"/>
    <x v="2"/>
    <x v="2"/>
    <x v="2"/>
    <n v="0"/>
    <n v="0"/>
    <n v="0"/>
    <n v="0"/>
    <n v="0"/>
    <n v="0"/>
  </r>
  <r>
    <x v="12"/>
    <x v="0"/>
    <x v="9"/>
    <x v="4"/>
    <x v="0"/>
    <x v="7"/>
    <x v="0"/>
    <x v="70"/>
    <x v="75"/>
    <x v="0"/>
    <x v="34"/>
    <x v="36"/>
    <x v="39"/>
    <x v="36"/>
    <x v="0"/>
    <x v="38"/>
    <x v="0"/>
    <x v="36"/>
    <x v="0"/>
    <x v="0"/>
    <x v="17"/>
    <x v="17"/>
    <x v="0"/>
    <x v="0"/>
    <x v="0"/>
    <x v="0"/>
    <m/>
    <m/>
    <m/>
    <m/>
    <m/>
    <m/>
  </r>
  <r>
    <x v="12"/>
    <x v="0"/>
    <x v="9"/>
    <x v="4"/>
    <x v="0"/>
    <x v="8"/>
    <x v="0"/>
    <x v="2"/>
    <x v="3"/>
    <x v="0"/>
    <x v="0"/>
    <x v="0"/>
    <x v="0"/>
    <x v="0"/>
    <x v="0"/>
    <x v="0"/>
    <x v="0"/>
    <x v="0"/>
    <x v="0"/>
    <x v="0"/>
    <x v="0"/>
    <x v="0"/>
    <x v="0"/>
    <x v="0"/>
    <x v="0"/>
    <x v="0"/>
    <m/>
    <m/>
    <m/>
    <m/>
    <m/>
    <m/>
  </r>
  <r>
    <x v="12"/>
    <x v="0"/>
    <x v="9"/>
    <x v="4"/>
    <x v="0"/>
    <x v="9"/>
    <x v="0"/>
    <x v="2"/>
    <x v="3"/>
    <x v="0"/>
    <x v="0"/>
    <x v="0"/>
    <x v="0"/>
    <x v="0"/>
    <x v="0"/>
    <x v="0"/>
    <x v="0"/>
    <x v="0"/>
    <x v="0"/>
    <x v="0"/>
    <x v="0"/>
    <x v="0"/>
    <x v="0"/>
    <x v="0"/>
    <x v="0"/>
    <x v="0"/>
    <m/>
    <m/>
    <m/>
    <m/>
    <m/>
    <m/>
  </r>
  <r>
    <x v="12"/>
    <x v="0"/>
    <x v="9"/>
    <x v="4"/>
    <x v="0"/>
    <x v="10"/>
    <x v="0"/>
    <x v="70"/>
    <x v="75"/>
    <x v="0"/>
    <x v="34"/>
    <x v="36"/>
    <x v="39"/>
    <x v="36"/>
    <x v="0"/>
    <x v="38"/>
    <x v="0"/>
    <x v="36"/>
    <x v="0"/>
    <x v="0"/>
    <x v="17"/>
    <x v="17"/>
    <x v="0"/>
    <x v="0"/>
    <x v="0"/>
    <x v="0"/>
    <m/>
    <m/>
    <m/>
    <m/>
    <m/>
    <m/>
  </r>
  <r>
    <x v="12"/>
    <x v="0"/>
    <x v="9"/>
    <x v="4"/>
    <x v="0"/>
    <x v="11"/>
    <x v="0"/>
    <x v="3"/>
    <x v="76"/>
    <x v="32"/>
    <x v="35"/>
    <x v="37"/>
    <x v="40"/>
    <x v="37"/>
    <x v="36"/>
    <x v="39"/>
    <x v="37"/>
    <x v="37"/>
    <x v="34"/>
    <x v="35"/>
    <x v="36"/>
    <x v="35"/>
    <x v="36"/>
    <x v="32"/>
    <x v="30"/>
    <x v="30"/>
    <n v="710246"/>
    <n v="708266"/>
    <n v="706286"/>
    <n v="696020"/>
    <n v="682441"/>
    <n v="668864"/>
  </r>
  <r>
    <x v="12"/>
    <x v="0"/>
    <x v="9"/>
    <x v="4"/>
    <x v="0"/>
    <x v="12"/>
    <x v="0"/>
    <x v="3"/>
    <x v="2"/>
    <x v="2"/>
    <x v="2"/>
    <x v="2"/>
    <x v="2"/>
    <x v="2"/>
    <x v="2"/>
    <x v="2"/>
    <x v="2"/>
    <x v="2"/>
    <x v="2"/>
    <x v="2"/>
    <x v="2"/>
    <x v="2"/>
    <x v="2"/>
    <x v="2"/>
    <x v="2"/>
    <x v="2"/>
    <n v="0"/>
    <n v="0"/>
    <n v="0"/>
    <n v="0"/>
    <n v="0"/>
    <n v="0"/>
  </r>
  <r>
    <x v="13"/>
    <x v="0"/>
    <x v="9"/>
    <x v="2"/>
    <x v="0"/>
    <x v="0"/>
    <x v="0"/>
    <x v="71"/>
    <x v="77"/>
    <x v="0"/>
    <x v="0"/>
    <x v="0"/>
    <x v="0"/>
    <x v="0"/>
    <x v="0"/>
    <x v="0"/>
    <x v="0"/>
    <x v="0"/>
    <x v="0"/>
    <x v="0"/>
    <x v="0"/>
    <x v="0"/>
    <x v="0"/>
    <x v="0"/>
    <x v="0"/>
    <x v="0"/>
    <m/>
    <m/>
    <m/>
    <m/>
    <m/>
    <m/>
  </r>
  <r>
    <x v="13"/>
    <x v="0"/>
    <x v="9"/>
    <x v="2"/>
    <x v="0"/>
    <x v="1"/>
    <x v="0"/>
    <x v="72"/>
    <x v="78"/>
    <x v="33"/>
    <x v="36"/>
    <x v="38"/>
    <x v="41"/>
    <x v="38"/>
    <x v="37"/>
    <x v="40"/>
    <x v="38"/>
    <x v="38"/>
    <x v="35"/>
    <x v="36"/>
    <x v="37"/>
    <x v="36"/>
    <x v="37"/>
    <x v="33"/>
    <x v="31"/>
    <x v="31"/>
    <n v="21842"/>
    <n v="20158"/>
    <n v="18027"/>
    <n v="12805"/>
    <n v="9040"/>
    <n v="9023"/>
  </r>
  <r>
    <x v="13"/>
    <x v="0"/>
    <x v="9"/>
    <x v="2"/>
    <x v="0"/>
    <x v="2"/>
    <x v="0"/>
    <x v="73"/>
    <x v="79"/>
    <x v="0"/>
    <x v="0"/>
    <x v="0"/>
    <x v="0"/>
    <x v="0"/>
    <x v="0"/>
    <x v="0"/>
    <x v="0"/>
    <x v="0"/>
    <x v="0"/>
    <x v="0"/>
    <x v="0"/>
    <x v="0"/>
    <x v="0"/>
    <x v="0"/>
    <x v="0"/>
    <x v="0"/>
    <m/>
    <m/>
    <m/>
    <m/>
    <m/>
    <m/>
  </r>
  <r>
    <x v="13"/>
    <x v="0"/>
    <x v="9"/>
    <x v="2"/>
    <x v="0"/>
    <x v="3"/>
    <x v="0"/>
    <x v="2"/>
    <x v="2"/>
    <x v="0"/>
    <x v="0"/>
    <x v="0"/>
    <x v="0"/>
    <x v="0"/>
    <x v="0"/>
    <x v="0"/>
    <x v="0"/>
    <x v="0"/>
    <x v="0"/>
    <x v="0"/>
    <x v="0"/>
    <x v="0"/>
    <x v="0"/>
    <x v="0"/>
    <x v="0"/>
    <x v="0"/>
    <m/>
    <m/>
    <m/>
    <m/>
    <m/>
    <m/>
  </r>
  <r>
    <x v="13"/>
    <x v="0"/>
    <x v="9"/>
    <x v="2"/>
    <x v="0"/>
    <x v="4"/>
    <x v="0"/>
    <x v="74"/>
    <x v="80"/>
    <x v="0"/>
    <x v="0"/>
    <x v="0"/>
    <x v="0"/>
    <x v="0"/>
    <x v="0"/>
    <x v="0"/>
    <x v="0"/>
    <x v="0"/>
    <x v="0"/>
    <x v="0"/>
    <x v="0"/>
    <x v="0"/>
    <x v="0"/>
    <x v="0"/>
    <x v="0"/>
    <x v="0"/>
    <m/>
    <m/>
    <m/>
    <m/>
    <m/>
    <m/>
  </r>
  <r>
    <x v="13"/>
    <x v="0"/>
    <x v="9"/>
    <x v="2"/>
    <x v="0"/>
    <x v="5"/>
    <x v="0"/>
    <x v="3"/>
    <x v="3"/>
    <x v="0"/>
    <x v="0"/>
    <x v="0"/>
    <x v="0"/>
    <x v="0"/>
    <x v="0"/>
    <x v="0"/>
    <x v="0"/>
    <x v="0"/>
    <x v="0"/>
    <x v="0"/>
    <x v="0"/>
    <x v="0"/>
    <x v="0"/>
    <x v="0"/>
    <x v="0"/>
    <x v="0"/>
    <m/>
    <m/>
    <m/>
    <m/>
    <m/>
    <m/>
  </r>
  <r>
    <x v="13"/>
    <x v="0"/>
    <x v="9"/>
    <x v="2"/>
    <x v="0"/>
    <x v="6"/>
    <x v="0"/>
    <x v="75"/>
    <x v="81"/>
    <x v="2"/>
    <x v="37"/>
    <x v="39"/>
    <x v="42"/>
    <x v="39"/>
    <x v="38"/>
    <x v="41"/>
    <x v="39"/>
    <x v="39"/>
    <x v="36"/>
    <x v="37"/>
    <x v="38"/>
    <x v="37"/>
    <x v="2"/>
    <x v="2"/>
    <x v="2"/>
    <x v="2"/>
    <n v="0"/>
    <n v="0"/>
    <n v="0"/>
    <n v="0"/>
    <n v="0"/>
    <n v="0"/>
  </r>
  <r>
    <x v="13"/>
    <x v="0"/>
    <x v="9"/>
    <x v="2"/>
    <x v="0"/>
    <x v="7"/>
    <x v="0"/>
    <x v="75"/>
    <x v="81"/>
    <x v="0"/>
    <x v="37"/>
    <x v="39"/>
    <x v="42"/>
    <x v="39"/>
    <x v="38"/>
    <x v="41"/>
    <x v="39"/>
    <x v="39"/>
    <x v="36"/>
    <x v="37"/>
    <x v="38"/>
    <x v="37"/>
    <x v="0"/>
    <x v="0"/>
    <x v="0"/>
    <x v="0"/>
    <m/>
    <m/>
    <m/>
    <m/>
    <m/>
    <m/>
  </r>
  <r>
    <x v="13"/>
    <x v="0"/>
    <x v="9"/>
    <x v="2"/>
    <x v="0"/>
    <x v="8"/>
    <x v="0"/>
    <x v="2"/>
    <x v="3"/>
    <x v="0"/>
    <x v="0"/>
    <x v="0"/>
    <x v="0"/>
    <x v="0"/>
    <x v="0"/>
    <x v="0"/>
    <x v="0"/>
    <x v="0"/>
    <x v="0"/>
    <x v="0"/>
    <x v="0"/>
    <x v="0"/>
    <x v="0"/>
    <x v="0"/>
    <x v="0"/>
    <x v="0"/>
    <m/>
    <m/>
    <m/>
    <m/>
    <m/>
    <m/>
  </r>
  <r>
    <x v="13"/>
    <x v="0"/>
    <x v="9"/>
    <x v="2"/>
    <x v="0"/>
    <x v="9"/>
    <x v="0"/>
    <x v="2"/>
    <x v="3"/>
    <x v="0"/>
    <x v="0"/>
    <x v="0"/>
    <x v="0"/>
    <x v="0"/>
    <x v="0"/>
    <x v="0"/>
    <x v="0"/>
    <x v="0"/>
    <x v="0"/>
    <x v="0"/>
    <x v="0"/>
    <x v="0"/>
    <x v="0"/>
    <x v="0"/>
    <x v="0"/>
    <x v="0"/>
    <m/>
    <m/>
    <m/>
    <m/>
    <m/>
    <m/>
  </r>
  <r>
    <x v="13"/>
    <x v="0"/>
    <x v="9"/>
    <x v="2"/>
    <x v="0"/>
    <x v="10"/>
    <x v="0"/>
    <x v="75"/>
    <x v="81"/>
    <x v="0"/>
    <x v="37"/>
    <x v="39"/>
    <x v="42"/>
    <x v="39"/>
    <x v="38"/>
    <x v="41"/>
    <x v="39"/>
    <x v="39"/>
    <x v="36"/>
    <x v="37"/>
    <x v="38"/>
    <x v="37"/>
    <x v="0"/>
    <x v="0"/>
    <x v="0"/>
    <x v="0"/>
    <m/>
    <m/>
    <m/>
    <m/>
    <m/>
    <m/>
  </r>
  <r>
    <x v="13"/>
    <x v="0"/>
    <x v="9"/>
    <x v="2"/>
    <x v="0"/>
    <x v="11"/>
    <x v="0"/>
    <x v="3"/>
    <x v="82"/>
    <x v="34"/>
    <x v="38"/>
    <x v="40"/>
    <x v="43"/>
    <x v="40"/>
    <x v="39"/>
    <x v="42"/>
    <x v="40"/>
    <x v="40"/>
    <x v="37"/>
    <x v="38"/>
    <x v="39"/>
    <x v="38"/>
    <x v="38"/>
    <x v="34"/>
    <x v="32"/>
    <x v="32"/>
    <n v="-212996"/>
    <n v="-233154"/>
    <n v="-251181"/>
    <n v="-263986"/>
    <n v="-273026"/>
    <n v="-282049"/>
  </r>
  <r>
    <x v="13"/>
    <x v="0"/>
    <x v="9"/>
    <x v="2"/>
    <x v="0"/>
    <x v="12"/>
    <x v="0"/>
    <x v="3"/>
    <x v="2"/>
    <x v="2"/>
    <x v="2"/>
    <x v="2"/>
    <x v="2"/>
    <x v="2"/>
    <x v="2"/>
    <x v="2"/>
    <x v="2"/>
    <x v="2"/>
    <x v="2"/>
    <x v="2"/>
    <x v="2"/>
    <x v="2"/>
    <x v="2"/>
    <x v="2"/>
    <x v="2"/>
    <x v="2"/>
    <n v="0"/>
    <n v="0"/>
    <n v="0"/>
    <n v="0"/>
    <n v="0"/>
    <n v="0"/>
  </r>
  <r>
    <x v="14"/>
    <x v="0"/>
    <x v="9"/>
    <x v="1"/>
    <x v="0"/>
    <x v="0"/>
    <x v="0"/>
    <x v="76"/>
    <x v="83"/>
    <x v="0"/>
    <x v="0"/>
    <x v="0"/>
    <x v="0"/>
    <x v="0"/>
    <x v="0"/>
    <x v="0"/>
    <x v="0"/>
    <x v="0"/>
    <x v="0"/>
    <x v="0"/>
    <x v="0"/>
    <x v="0"/>
    <x v="0"/>
    <x v="0"/>
    <x v="0"/>
    <x v="0"/>
    <m/>
    <m/>
    <m/>
    <m/>
    <m/>
    <m/>
  </r>
  <r>
    <x v="14"/>
    <x v="0"/>
    <x v="9"/>
    <x v="1"/>
    <x v="0"/>
    <x v="1"/>
    <x v="0"/>
    <x v="77"/>
    <x v="84"/>
    <x v="35"/>
    <x v="39"/>
    <x v="41"/>
    <x v="44"/>
    <x v="41"/>
    <x v="40"/>
    <x v="43"/>
    <x v="41"/>
    <x v="41"/>
    <x v="38"/>
    <x v="39"/>
    <x v="40"/>
    <x v="39"/>
    <x v="39"/>
    <x v="35"/>
    <x v="33"/>
    <x v="33"/>
    <n v="11214"/>
    <n v="3214"/>
    <n v="3064"/>
    <n v="1584"/>
    <n v="994"/>
    <n v="993"/>
  </r>
  <r>
    <x v="14"/>
    <x v="0"/>
    <x v="9"/>
    <x v="1"/>
    <x v="0"/>
    <x v="2"/>
    <x v="0"/>
    <x v="78"/>
    <x v="85"/>
    <x v="0"/>
    <x v="0"/>
    <x v="0"/>
    <x v="0"/>
    <x v="0"/>
    <x v="0"/>
    <x v="0"/>
    <x v="0"/>
    <x v="0"/>
    <x v="0"/>
    <x v="0"/>
    <x v="0"/>
    <x v="0"/>
    <x v="0"/>
    <x v="0"/>
    <x v="0"/>
    <x v="0"/>
    <m/>
    <m/>
    <m/>
    <m/>
    <m/>
    <m/>
  </r>
  <r>
    <x v="14"/>
    <x v="0"/>
    <x v="9"/>
    <x v="1"/>
    <x v="0"/>
    <x v="3"/>
    <x v="0"/>
    <x v="2"/>
    <x v="2"/>
    <x v="0"/>
    <x v="0"/>
    <x v="0"/>
    <x v="0"/>
    <x v="0"/>
    <x v="0"/>
    <x v="0"/>
    <x v="0"/>
    <x v="0"/>
    <x v="0"/>
    <x v="0"/>
    <x v="0"/>
    <x v="0"/>
    <x v="0"/>
    <x v="0"/>
    <x v="0"/>
    <x v="0"/>
    <m/>
    <m/>
    <m/>
    <m/>
    <m/>
    <m/>
  </r>
  <r>
    <x v="14"/>
    <x v="0"/>
    <x v="9"/>
    <x v="1"/>
    <x v="0"/>
    <x v="4"/>
    <x v="0"/>
    <x v="79"/>
    <x v="86"/>
    <x v="0"/>
    <x v="0"/>
    <x v="0"/>
    <x v="0"/>
    <x v="0"/>
    <x v="0"/>
    <x v="0"/>
    <x v="0"/>
    <x v="0"/>
    <x v="0"/>
    <x v="0"/>
    <x v="0"/>
    <x v="0"/>
    <x v="0"/>
    <x v="0"/>
    <x v="0"/>
    <x v="0"/>
    <m/>
    <m/>
    <m/>
    <m/>
    <m/>
    <m/>
  </r>
  <r>
    <x v="14"/>
    <x v="0"/>
    <x v="9"/>
    <x v="1"/>
    <x v="0"/>
    <x v="5"/>
    <x v="0"/>
    <x v="3"/>
    <x v="3"/>
    <x v="0"/>
    <x v="0"/>
    <x v="0"/>
    <x v="0"/>
    <x v="0"/>
    <x v="0"/>
    <x v="0"/>
    <x v="0"/>
    <x v="0"/>
    <x v="0"/>
    <x v="0"/>
    <x v="0"/>
    <x v="0"/>
    <x v="0"/>
    <x v="0"/>
    <x v="0"/>
    <x v="0"/>
    <m/>
    <m/>
    <m/>
    <m/>
    <m/>
    <m/>
  </r>
  <r>
    <x v="14"/>
    <x v="0"/>
    <x v="9"/>
    <x v="1"/>
    <x v="0"/>
    <x v="6"/>
    <x v="0"/>
    <x v="80"/>
    <x v="2"/>
    <x v="2"/>
    <x v="2"/>
    <x v="2"/>
    <x v="45"/>
    <x v="42"/>
    <x v="41"/>
    <x v="44"/>
    <x v="42"/>
    <x v="42"/>
    <x v="39"/>
    <x v="40"/>
    <x v="41"/>
    <x v="40"/>
    <x v="40"/>
    <x v="2"/>
    <x v="2"/>
    <x v="2"/>
    <n v="0"/>
    <n v="0"/>
    <n v="0"/>
    <n v="0"/>
    <n v="0"/>
    <n v="0"/>
  </r>
  <r>
    <x v="14"/>
    <x v="0"/>
    <x v="9"/>
    <x v="1"/>
    <x v="0"/>
    <x v="7"/>
    <x v="0"/>
    <x v="80"/>
    <x v="3"/>
    <x v="0"/>
    <x v="0"/>
    <x v="0"/>
    <x v="45"/>
    <x v="42"/>
    <x v="41"/>
    <x v="44"/>
    <x v="42"/>
    <x v="42"/>
    <x v="39"/>
    <x v="40"/>
    <x v="41"/>
    <x v="40"/>
    <x v="40"/>
    <x v="0"/>
    <x v="0"/>
    <x v="0"/>
    <m/>
    <m/>
    <m/>
    <m/>
    <m/>
    <m/>
  </r>
  <r>
    <x v="14"/>
    <x v="0"/>
    <x v="9"/>
    <x v="1"/>
    <x v="0"/>
    <x v="8"/>
    <x v="0"/>
    <x v="2"/>
    <x v="3"/>
    <x v="0"/>
    <x v="0"/>
    <x v="0"/>
    <x v="0"/>
    <x v="0"/>
    <x v="0"/>
    <x v="0"/>
    <x v="0"/>
    <x v="0"/>
    <x v="0"/>
    <x v="0"/>
    <x v="0"/>
    <x v="0"/>
    <x v="0"/>
    <x v="0"/>
    <x v="0"/>
    <x v="0"/>
    <m/>
    <m/>
    <m/>
    <m/>
    <m/>
    <m/>
  </r>
  <r>
    <x v="14"/>
    <x v="0"/>
    <x v="9"/>
    <x v="1"/>
    <x v="0"/>
    <x v="9"/>
    <x v="0"/>
    <x v="2"/>
    <x v="3"/>
    <x v="0"/>
    <x v="0"/>
    <x v="0"/>
    <x v="0"/>
    <x v="0"/>
    <x v="0"/>
    <x v="0"/>
    <x v="0"/>
    <x v="0"/>
    <x v="0"/>
    <x v="0"/>
    <x v="0"/>
    <x v="0"/>
    <x v="0"/>
    <x v="0"/>
    <x v="0"/>
    <x v="0"/>
    <m/>
    <m/>
    <m/>
    <m/>
    <m/>
    <m/>
  </r>
  <r>
    <x v="14"/>
    <x v="0"/>
    <x v="9"/>
    <x v="1"/>
    <x v="0"/>
    <x v="10"/>
    <x v="0"/>
    <x v="80"/>
    <x v="3"/>
    <x v="0"/>
    <x v="0"/>
    <x v="0"/>
    <x v="45"/>
    <x v="42"/>
    <x v="41"/>
    <x v="44"/>
    <x v="42"/>
    <x v="42"/>
    <x v="39"/>
    <x v="40"/>
    <x v="41"/>
    <x v="40"/>
    <x v="40"/>
    <x v="0"/>
    <x v="0"/>
    <x v="0"/>
    <m/>
    <m/>
    <m/>
    <m/>
    <m/>
    <m/>
  </r>
  <r>
    <x v="14"/>
    <x v="0"/>
    <x v="9"/>
    <x v="1"/>
    <x v="0"/>
    <x v="11"/>
    <x v="0"/>
    <x v="3"/>
    <x v="87"/>
    <x v="36"/>
    <x v="40"/>
    <x v="42"/>
    <x v="46"/>
    <x v="43"/>
    <x v="42"/>
    <x v="45"/>
    <x v="43"/>
    <x v="43"/>
    <x v="40"/>
    <x v="41"/>
    <x v="42"/>
    <x v="41"/>
    <x v="41"/>
    <x v="36"/>
    <x v="34"/>
    <x v="34"/>
    <n v="205842"/>
    <n v="202628"/>
    <n v="199564"/>
    <n v="197980"/>
    <n v="196986"/>
    <n v="195993"/>
  </r>
  <r>
    <x v="14"/>
    <x v="0"/>
    <x v="9"/>
    <x v="1"/>
    <x v="0"/>
    <x v="12"/>
    <x v="0"/>
    <x v="3"/>
    <x v="2"/>
    <x v="2"/>
    <x v="2"/>
    <x v="2"/>
    <x v="2"/>
    <x v="2"/>
    <x v="2"/>
    <x v="2"/>
    <x v="2"/>
    <x v="2"/>
    <x v="2"/>
    <x v="2"/>
    <x v="2"/>
    <x v="2"/>
    <x v="2"/>
    <x v="2"/>
    <x v="2"/>
    <x v="2"/>
    <n v="0"/>
    <n v="0"/>
    <n v="0"/>
    <n v="0"/>
    <n v="0"/>
    <n v="0"/>
  </r>
  <r>
    <x v="15"/>
    <x v="0"/>
    <x v="9"/>
    <x v="0"/>
    <x v="1"/>
    <x v="0"/>
    <x v="0"/>
    <x v="81"/>
    <x v="88"/>
    <x v="0"/>
    <x v="0"/>
    <x v="0"/>
    <x v="0"/>
    <x v="0"/>
    <x v="0"/>
    <x v="0"/>
    <x v="0"/>
    <x v="0"/>
    <x v="0"/>
    <x v="0"/>
    <x v="0"/>
    <x v="0"/>
    <x v="0"/>
    <x v="0"/>
    <x v="0"/>
    <x v="0"/>
    <m/>
    <m/>
    <m/>
    <m/>
    <m/>
    <m/>
  </r>
  <r>
    <x v="15"/>
    <x v="0"/>
    <x v="9"/>
    <x v="0"/>
    <x v="1"/>
    <x v="1"/>
    <x v="0"/>
    <x v="82"/>
    <x v="89"/>
    <x v="37"/>
    <x v="41"/>
    <x v="43"/>
    <x v="47"/>
    <x v="44"/>
    <x v="43"/>
    <x v="46"/>
    <x v="44"/>
    <x v="44"/>
    <x v="41"/>
    <x v="42"/>
    <x v="43"/>
    <x v="42"/>
    <x v="42"/>
    <x v="37"/>
    <x v="35"/>
    <x v="35"/>
    <n v="45"/>
    <n v="46"/>
    <n v="45"/>
    <n v="12"/>
    <n v="0"/>
    <n v="0"/>
  </r>
  <r>
    <x v="15"/>
    <x v="0"/>
    <x v="9"/>
    <x v="0"/>
    <x v="1"/>
    <x v="2"/>
    <x v="0"/>
    <x v="2"/>
    <x v="2"/>
    <x v="0"/>
    <x v="0"/>
    <x v="0"/>
    <x v="0"/>
    <x v="0"/>
    <x v="0"/>
    <x v="0"/>
    <x v="0"/>
    <x v="0"/>
    <x v="0"/>
    <x v="0"/>
    <x v="0"/>
    <x v="0"/>
    <x v="0"/>
    <x v="0"/>
    <x v="0"/>
    <x v="0"/>
    <m/>
    <m/>
    <m/>
    <m/>
    <m/>
    <m/>
  </r>
  <r>
    <x v="15"/>
    <x v="0"/>
    <x v="9"/>
    <x v="0"/>
    <x v="1"/>
    <x v="3"/>
    <x v="0"/>
    <x v="2"/>
    <x v="2"/>
    <x v="0"/>
    <x v="0"/>
    <x v="0"/>
    <x v="0"/>
    <x v="0"/>
    <x v="0"/>
    <x v="0"/>
    <x v="0"/>
    <x v="0"/>
    <x v="0"/>
    <x v="0"/>
    <x v="0"/>
    <x v="0"/>
    <x v="0"/>
    <x v="0"/>
    <x v="0"/>
    <x v="0"/>
    <m/>
    <m/>
    <m/>
    <m/>
    <m/>
    <m/>
  </r>
  <r>
    <x v="15"/>
    <x v="0"/>
    <x v="9"/>
    <x v="0"/>
    <x v="1"/>
    <x v="4"/>
    <x v="0"/>
    <x v="2"/>
    <x v="2"/>
    <x v="0"/>
    <x v="0"/>
    <x v="0"/>
    <x v="0"/>
    <x v="0"/>
    <x v="0"/>
    <x v="0"/>
    <x v="0"/>
    <x v="0"/>
    <x v="0"/>
    <x v="0"/>
    <x v="0"/>
    <x v="0"/>
    <x v="0"/>
    <x v="0"/>
    <x v="0"/>
    <x v="0"/>
    <m/>
    <m/>
    <m/>
    <m/>
    <m/>
    <m/>
  </r>
  <r>
    <x v="15"/>
    <x v="0"/>
    <x v="9"/>
    <x v="0"/>
    <x v="1"/>
    <x v="5"/>
    <x v="0"/>
    <x v="3"/>
    <x v="3"/>
    <x v="0"/>
    <x v="0"/>
    <x v="0"/>
    <x v="0"/>
    <x v="0"/>
    <x v="0"/>
    <x v="0"/>
    <x v="0"/>
    <x v="0"/>
    <x v="0"/>
    <x v="0"/>
    <x v="0"/>
    <x v="0"/>
    <x v="0"/>
    <x v="0"/>
    <x v="0"/>
    <x v="0"/>
    <m/>
    <m/>
    <m/>
    <m/>
    <m/>
    <m/>
  </r>
  <r>
    <x v="15"/>
    <x v="0"/>
    <x v="9"/>
    <x v="0"/>
    <x v="1"/>
    <x v="6"/>
    <x v="0"/>
    <x v="2"/>
    <x v="2"/>
    <x v="2"/>
    <x v="2"/>
    <x v="2"/>
    <x v="2"/>
    <x v="2"/>
    <x v="2"/>
    <x v="2"/>
    <x v="2"/>
    <x v="2"/>
    <x v="2"/>
    <x v="2"/>
    <x v="2"/>
    <x v="2"/>
    <x v="2"/>
    <x v="2"/>
    <x v="2"/>
    <x v="2"/>
    <n v="0"/>
    <n v="0"/>
    <n v="0"/>
    <n v="0"/>
    <n v="0"/>
    <n v="0"/>
  </r>
  <r>
    <x v="15"/>
    <x v="0"/>
    <x v="9"/>
    <x v="0"/>
    <x v="1"/>
    <x v="7"/>
    <x v="0"/>
    <x v="3"/>
    <x v="3"/>
    <x v="0"/>
    <x v="0"/>
    <x v="0"/>
    <x v="0"/>
    <x v="0"/>
    <x v="0"/>
    <x v="0"/>
    <x v="0"/>
    <x v="0"/>
    <x v="0"/>
    <x v="0"/>
    <x v="0"/>
    <x v="0"/>
    <x v="0"/>
    <x v="0"/>
    <x v="0"/>
    <x v="0"/>
    <m/>
    <m/>
    <m/>
    <m/>
    <m/>
    <m/>
  </r>
  <r>
    <x v="15"/>
    <x v="0"/>
    <x v="9"/>
    <x v="0"/>
    <x v="1"/>
    <x v="8"/>
    <x v="0"/>
    <x v="2"/>
    <x v="3"/>
    <x v="0"/>
    <x v="0"/>
    <x v="0"/>
    <x v="0"/>
    <x v="0"/>
    <x v="0"/>
    <x v="0"/>
    <x v="0"/>
    <x v="0"/>
    <x v="0"/>
    <x v="0"/>
    <x v="0"/>
    <x v="0"/>
    <x v="0"/>
    <x v="0"/>
    <x v="0"/>
    <x v="0"/>
    <m/>
    <m/>
    <m/>
    <m/>
    <m/>
    <m/>
  </r>
  <r>
    <x v="15"/>
    <x v="0"/>
    <x v="9"/>
    <x v="0"/>
    <x v="1"/>
    <x v="9"/>
    <x v="0"/>
    <x v="2"/>
    <x v="3"/>
    <x v="0"/>
    <x v="0"/>
    <x v="0"/>
    <x v="0"/>
    <x v="0"/>
    <x v="0"/>
    <x v="0"/>
    <x v="0"/>
    <x v="0"/>
    <x v="0"/>
    <x v="0"/>
    <x v="0"/>
    <x v="0"/>
    <x v="0"/>
    <x v="0"/>
    <x v="0"/>
    <x v="0"/>
    <m/>
    <m/>
    <m/>
    <m/>
    <m/>
    <m/>
  </r>
  <r>
    <x v="15"/>
    <x v="0"/>
    <x v="9"/>
    <x v="0"/>
    <x v="1"/>
    <x v="10"/>
    <x v="0"/>
    <x v="3"/>
    <x v="3"/>
    <x v="0"/>
    <x v="0"/>
    <x v="0"/>
    <x v="0"/>
    <x v="0"/>
    <x v="0"/>
    <x v="0"/>
    <x v="0"/>
    <x v="0"/>
    <x v="0"/>
    <x v="0"/>
    <x v="0"/>
    <x v="0"/>
    <x v="0"/>
    <x v="0"/>
    <x v="0"/>
    <x v="0"/>
    <m/>
    <m/>
    <m/>
    <m/>
    <m/>
    <m/>
  </r>
  <r>
    <x v="15"/>
    <x v="0"/>
    <x v="9"/>
    <x v="0"/>
    <x v="1"/>
    <x v="11"/>
    <x v="0"/>
    <x v="3"/>
    <x v="90"/>
    <x v="38"/>
    <x v="42"/>
    <x v="44"/>
    <x v="48"/>
    <x v="45"/>
    <x v="44"/>
    <x v="47"/>
    <x v="45"/>
    <x v="45"/>
    <x v="42"/>
    <x v="43"/>
    <x v="44"/>
    <x v="43"/>
    <x v="43"/>
    <x v="38"/>
    <x v="36"/>
    <x v="36"/>
    <n v="-9831"/>
    <n v="-9877"/>
    <n v="-9922"/>
    <n v="-9934"/>
    <n v="-9934"/>
    <n v="-9934"/>
  </r>
  <r>
    <x v="15"/>
    <x v="0"/>
    <x v="9"/>
    <x v="0"/>
    <x v="1"/>
    <x v="12"/>
    <x v="0"/>
    <x v="3"/>
    <x v="2"/>
    <x v="2"/>
    <x v="2"/>
    <x v="2"/>
    <x v="2"/>
    <x v="2"/>
    <x v="2"/>
    <x v="2"/>
    <x v="2"/>
    <x v="2"/>
    <x v="2"/>
    <x v="2"/>
    <x v="2"/>
    <x v="2"/>
    <x v="2"/>
    <x v="2"/>
    <x v="2"/>
    <x v="2"/>
    <n v="0"/>
    <n v="0"/>
    <n v="0"/>
    <n v="0"/>
    <n v="0"/>
    <n v="0"/>
  </r>
  <r>
    <x v="16"/>
    <x v="0"/>
    <x v="9"/>
    <x v="0"/>
    <x v="1"/>
    <x v="0"/>
    <x v="0"/>
    <x v="83"/>
    <x v="91"/>
    <x v="0"/>
    <x v="0"/>
    <x v="0"/>
    <x v="0"/>
    <x v="0"/>
    <x v="0"/>
    <x v="0"/>
    <x v="0"/>
    <x v="0"/>
    <x v="0"/>
    <x v="0"/>
    <x v="0"/>
    <x v="0"/>
    <x v="0"/>
    <x v="0"/>
    <x v="0"/>
    <x v="0"/>
    <m/>
    <m/>
    <m/>
    <m/>
    <m/>
    <m/>
  </r>
  <r>
    <x v="16"/>
    <x v="0"/>
    <x v="9"/>
    <x v="0"/>
    <x v="1"/>
    <x v="1"/>
    <x v="0"/>
    <x v="84"/>
    <x v="92"/>
    <x v="39"/>
    <x v="43"/>
    <x v="45"/>
    <x v="49"/>
    <x v="46"/>
    <x v="45"/>
    <x v="48"/>
    <x v="46"/>
    <x v="46"/>
    <x v="43"/>
    <x v="44"/>
    <x v="45"/>
    <x v="44"/>
    <x v="44"/>
    <x v="39"/>
    <x v="37"/>
    <x v="37"/>
    <n v="783"/>
    <n v="781"/>
    <n v="781"/>
    <n v="673"/>
    <n v="632"/>
    <n v="632"/>
  </r>
  <r>
    <x v="16"/>
    <x v="0"/>
    <x v="9"/>
    <x v="0"/>
    <x v="1"/>
    <x v="2"/>
    <x v="0"/>
    <x v="2"/>
    <x v="2"/>
    <x v="0"/>
    <x v="0"/>
    <x v="0"/>
    <x v="0"/>
    <x v="0"/>
    <x v="0"/>
    <x v="0"/>
    <x v="0"/>
    <x v="0"/>
    <x v="0"/>
    <x v="0"/>
    <x v="0"/>
    <x v="0"/>
    <x v="0"/>
    <x v="0"/>
    <x v="0"/>
    <x v="0"/>
    <m/>
    <m/>
    <m/>
    <m/>
    <m/>
    <m/>
  </r>
  <r>
    <x v="16"/>
    <x v="0"/>
    <x v="9"/>
    <x v="0"/>
    <x v="1"/>
    <x v="3"/>
    <x v="0"/>
    <x v="2"/>
    <x v="2"/>
    <x v="0"/>
    <x v="0"/>
    <x v="0"/>
    <x v="0"/>
    <x v="0"/>
    <x v="0"/>
    <x v="0"/>
    <x v="0"/>
    <x v="0"/>
    <x v="0"/>
    <x v="0"/>
    <x v="0"/>
    <x v="0"/>
    <x v="0"/>
    <x v="0"/>
    <x v="0"/>
    <x v="0"/>
    <m/>
    <m/>
    <m/>
    <m/>
    <m/>
    <m/>
  </r>
  <r>
    <x v="16"/>
    <x v="0"/>
    <x v="9"/>
    <x v="0"/>
    <x v="1"/>
    <x v="4"/>
    <x v="0"/>
    <x v="2"/>
    <x v="2"/>
    <x v="0"/>
    <x v="0"/>
    <x v="0"/>
    <x v="0"/>
    <x v="0"/>
    <x v="0"/>
    <x v="0"/>
    <x v="0"/>
    <x v="0"/>
    <x v="0"/>
    <x v="0"/>
    <x v="0"/>
    <x v="0"/>
    <x v="0"/>
    <x v="0"/>
    <x v="0"/>
    <x v="0"/>
    <m/>
    <m/>
    <m/>
    <m/>
    <m/>
    <m/>
  </r>
  <r>
    <x v="16"/>
    <x v="0"/>
    <x v="9"/>
    <x v="0"/>
    <x v="1"/>
    <x v="5"/>
    <x v="0"/>
    <x v="3"/>
    <x v="3"/>
    <x v="0"/>
    <x v="0"/>
    <x v="0"/>
    <x v="0"/>
    <x v="0"/>
    <x v="0"/>
    <x v="0"/>
    <x v="0"/>
    <x v="0"/>
    <x v="0"/>
    <x v="0"/>
    <x v="0"/>
    <x v="0"/>
    <x v="0"/>
    <x v="0"/>
    <x v="0"/>
    <x v="0"/>
    <m/>
    <m/>
    <m/>
    <m/>
    <m/>
    <m/>
  </r>
  <r>
    <x v="16"/>
    <x v="0"/>
    <x v="9"/>
    <x v="0"/>
    <x v="1"/>
    <x v="6"/>
    <x v="0"/>
    <x v="2"/>
    <x v="2"/>
    <x v="2"/>
    <x v="2"/>
    <x v="2"/>
    <x v="2"/>
    <x v="2"/>
    <x v="2"/>
    <x v="2"/>
    <x v="2"/>
    <x v="2"/>
    <x v="2"/>
    <x v="2"/>
    <x v="2"/>
    <x v="2"/>
    <x v="2"/>
    <x v="2"/>
    <x v="2"/>
    <x v="2"/>
    <n v="0"/>
    <n v="0"/>
    <n v="0"/>
    <n v="0"/>
    <n v="0"/>
    <n v="0"/>
  </r>
  <r>
    <x v="16"/>
    <x v="0"/>
    <x v="9"/>
    <x v="0"/>
    <x v="1"/>
    <x v="7"/>
    <x v="0"/>
    <x v="3"/>
    <x v="3"/>
    <x v="0"/>
    <x v="0"/>
    <x v="0"/>
    <x v="0"/>
    <x v="0"/>
    <x v="0"/>
    <x v="0"/>
    <x v="0"/>
    <x v="0"/>
    <x v="0"/>
    <x v="0"/>
    <x v="0"/>
    <x v="0"/>
    <x v="0"/>
    <x v="0"/>
    <x v="0"/>
    <x v="0"/>
    <m/>
    <m/>
    <m/>
    <m/>
    <m/>
    <m/>
  </r>
  <r>
    <x v="16"/>
    <x v="0"/>
    <x v="9"/>
    <x v="0"/>
    <x v="1"/>
    <x v="8"/>
    <x v="0"/>
    <x v="2"/>
    <x v="3"/>
    <x v="0"/>
    <x v="0"/>
    <x v="0"/>
    <x v="0"/>
    <x v="0"/>
    <x v="0"/>
    <x v="0"/>
    <x v="0"/>
    <x v="0"/>
    <x v="0"/>
    <x v="0"/>
    <x v="0"/>
    <x v="0"/>
    <x v="0"/>
    <x v="0"/>
    <x v="0"/>
    <x v="0"/>
    <m/>
    <m/>
    <m/>
    <m/>
    <m/>
    <m/>
  </r>
  <r>
    <x v="16"/>
    <x v="0"/>
    <x v="9"/>
    <x v="0"/>
    <x v="1"/>
    <x v="9"/>
    <x v="0"/>
    <x v="2"/>
    <x v="3"/>
    <x v="0"/>
    <x v="0"/>
    <x v="0"/>
    <x v="0"/>
    <x v="0"/>
    <x v="0"/>
    <x v="0"/>
    <x v="0"/>
    <x v="0"/>
    <x v="0"/>
    <x v="0"/>
    <x v="0"/>
    <x v="0"/>
    <x v="0"/>
    <x v="0"/>
    <x v="0"/>
    <x v="0"/>
    <m/>
    <m/>
    <m/>
    <m/>
    <m/>
    <m/>
  </r>
  <r>
    <x v="16"/>
    <x v="0"/>
    <x v="9"/>
    <x v="0"/>
    <x v="1"/>
    <x v="10"/>
    <x v="0"/>
    <x v="3"/>
    <x v="3"/>
    <x v="0"/>
    <x v="0"/>
    <x v="0"/>
    <x v="0"/>
    <x v="0"/>
    <x v="0"/>
    <x v="0"/>
    <x v="0"/>
    <x v="0"/>
    <x v="0"/>
    <x v="0"/>
    <x v="0"/>
    <x v="0"/>
    <x v="0"/>
    <x v="0"/>
    <x v="0"/>
    <x v="0"/>
    <m/>
    <m/>
    <m/>
    <m/>
    <m/>
    <m/>
  </r>
  <r>
    <x v="16"/>
    <x v="0"/>
    <x v="9"/>
    <x v="0"/>
    <x v="1"/>
    <x v="11"/>
    <x v="0"/>
    <x v="3"/>
    <x v="93"/>
    <x v="40"/>
    <x v="44"/>
    <x v="46"/>
    <x v="50"/>
    <x v="47"/>
    <x v="46"/>
    <x v="49"/>
    <x v="47"/>
    <x v="47"/>
    <x v="44"/>
    <x v="45"/>
    <x v="46"/>
    <x v="45"/>
    <x v="45"/>
    <x v="40"/>
    <x v="38"/>
    <x v="38"/>
    <n v="-16645"/>
    <n v="-17426"/>
    <n v="-18207"/>
    <n v="-18880"/>
    <n v="-19512"/>
    <n v="-20144"/>
  </r>
  <r>
    <x v="16"/>
    <x v="0"/>
    <x v="9"/>
    <x v="0"/>
    <x v="1"/>
    <x v="12"/>
    <x v="0"/>
    <x v="3"/>
    <x v="2"/>
    <x v="2"/>
    <x v="2"/>
    <x v="2"/>
    <x v="2"/>
    <x v="2"/>
    <x v="2"/>
    <x v="2"/>
    <x v="2"/>
    <x v="2"/>
    <x v="2"/>
    <x v="2"/>
    <x v="2"/>
    <x v="2"/>
    <x v="2"/>
    <x v="2"/>
    <x v="2"/>
    <x v="2"/>
    <n v="0"/>
    <n v="0"/>
    <n v="0"/>
    <n v="0"/>
    <n v="0"/>
    <n v="0"/>
  </r>
  <r>
    <x v="16"/>
    <x v="0"/>
    <x v="9"/>
    <x v="0"/>
    <x v="0"/>
    <x v="0"/>
    <x v="0"/>
    <x v="85"/>
    <x v="94"/>
    <x v="0"/>
    <x v="0"/>
    <x v="0"/>
    <x v="0"/>
    <x v="0"/>
    <x v="0"/>
    <x v="0"/>
    <x v="0"/>
    <x v="0"/>
    <x v="0"/>
    <x v="0"/>
    <x v="0"/>
    <x v="0"/>
    <x v="0"/>
    <x v="0"/>
    <x v="0"/>
    <x v="0"/>
    <m/>
    <m/>
    <m/>
    <m/>
    <m/>
    <m/>
  </r>
  <r>
    <x v="16"/>
    <x v="0"/>
    <x v="9"/>
    <x v="0"/>
    <x v="0"/>
    <x v="1"/>
    <x v="0"/>
    <x v="86"/>
    <x v="95"/>
    <x v="41"/>
    <x v="45"/>
    <x v="47"/>
    <x v="51"/>
    <x v="48"/>
    <x v="47"/>
    <x v="50"/>
    <x v="48"/>
    <x v="48"/>
    <x v="45"/>
    <x v="46"/>
    <x v="47"/>
    <x v="46"/>
    <x v="46"/>
    <x v="41"/>
    <x v="39"/>
    <x v="39"/>
    <n v="28962"/>
    <n v="28956"/>
    <n v="28415"/>
    <n v="15289"/>
    <n v="10133"/>
    <n v="10129"/>
  </r>
  <r>
    <x v="16"/>
    <x v="0"/>
    <x v="9"/>
    <x v="0"/>
    <x v="0"/>
    <x v="2"/>
    <x v="0"/>
    <x v="87"/>
    <x v="96"/>
    <x v="0"/>
    <x v="0"/>
    <x v="0"/>
    <x v="0"/>
    <x v="0"/>
    <x v="0"/>
    <x v="0"/>
    <x v="0"/>
    <x v="0"/>
    <x v="0"/>
    <x v="0"/>
    <x v="0"/>
    <x v="0"/>
    <x v="0"/>
    <x v="0"/>
    <x v="0"/>
    <x v="0"/>
    <m/>
    <m/>
    <m/>
    <m/>
    <m/>
    <m/>
  </r>
  <r>
    <x v="16"/>
    <x v="0"/>
    <x v="9"/>
    <x v="0"/>
    <x v="0"/>
    <x v="3"/>
    <x v="0"/>
    <x v="2"/>
    <x v="2"/>
    <x v="0"/>
    <x v="0"/>
    <x v="0"/>
    <x v="0"/>
    <x v="0"/>
    <x v="0"/>
    <x v="0"/>
    <x v="0"/>
    <x v="0"/>
    <x v="0"/>
    <x v="0"/>
    <x v="0"/>
    <x v="0"/>
    <x v="0"/>
    <x v="0"/>
    <x v="0"/>
    <x v="0"/>
    <m/>
    <m/>
    <m/>
    <m/>
    <m/>
    <m/>
  </r>
  <r>
    <x v="16"/>
    <x v="0"/>
    <x v="9"/>
    <x v="0"/>
    <x v="0"/>
    <x v="4"/>
    <x v="0"/>
    <x v="88"/>
    <x v="97"/>
    <x v="0"/>
    <x v="0"/>
    <x v="0"/>
    <x v="0"/>
    <x v="0"/>
    <x v="0"/>
    <x v="0"/>
    <x v="0"/>
    <x v="0"/>
    <x v="0"/>
    <x v="0"/>
    <x v="0"/>
    <x v="0"/>
    <x v="0"/>
    <x v="0"/>
    <x v="0"/>
    <x v="0"/>
    <m/>
    <m/>
    <m/>
    <m/>
    <m/>
    <m/>
  </r>
  <r>
    <x v="16"/>
    <x v="0"/>
    <x v="9"/>
    <x v="0"/>
    <x v="0"/>
    <x v="5"/>
    <x v="0"/>
    <x v="3"/>
    <x v="3"/>
    <x v="0"/>
    <x v="0"/>
    <x v="0"/>
    <x v="0"/>
    <x v="0"/>
    <x v="0"/>
    <x v="0"/>
    <x v="0"/>
    <x v="0"/>
    <x v="0"/>
    <x v="0"/>
    <x v="0"/>
    <x v="0"/>
    <x v="0"/>
    <x v="0"/>
    <x v="0"/>
    <x v="0"/>
    <m/>
    <m/>
    <m/>
    <m/>
    <m/>
    <m/>
  </r>
  <r>
    <x v="16"/>
    <x v="0"/>
    <x v="9"/>
    <x v="0"/>
    <x v="0"/>
    <x v="6"/>
    <x v="0"/>
    <x v="89"/>
    <x v="2"/>
    <x v="2"/>
    <x v="46"/>
    <x v="2"/>
    <x v="52"/>
    <x v="49"/>
    <x v="2"/>
    <x v="51"/>
    <x v="49"/>
    <x v="49"/>
    <x v="46"/>
    <x v="47"/>
    <x v="48"/>
    <x v="47"/>
    <x v="47"/>
    <x v="42"/>
    <x v="2"/>
    <x v="2"/>
    <n v="0"/>
    <n v="0"/>
    <n v="0"/>
    <n v="0"/>
    <n v="0"/>
    <n v="0"/>
  </r>
  <r>
    <x v="16"/>
    <x v="0"/>
    <x v="9"/>
    <x v="0"/>
    <x v="0"/>
    <x v="7"/>
    <x v="0"/>
    <x v="89"/>
    <x v="3"/>
    <x v="0"/>
    <x v="46"/>
    <x v="0"/>
    <x v="52"/>
    <x v="49"/>
    <x v="0"/>
    <x v="51"/>
    <x v="49"/>
    <x v="49"/>
    <x v="46"/>
    <x v="47"/>
    <x v="48"/>
    <x v="47"/>
    <x v="47"/>
    <x v="42"/>
    <x v="0"/>
    <x v="0"/>
    <m/>
    <m/>
    <m/>
    <m/>
    <m/>
    <m/>
  </r>
  <r>
    <x v="16"/>
    <x v="0"/>
    <x v="9"/>
    <x v="0"/>
    <x v="0"/>
    <x v="8"/>
    <x v="0"/>
    <x v="2"/>
    <x v="3"/>
    <x v="0"/>
    <x v="0"/>
    <x v="0"/>
    <x v="0"/>
    <x v="0"/>
    <x v="0"/>
    <x v="0"/>
    <x v="0"/>
    <x v="0"/>
    <x v="0"/>
    <x v="0"/>
    <x v="0"/>
    <x v="0"/>
    <x v="0"/>
    <x v="0"/>
    <x v="0"/>
    <x v="0"/>
    <m/>
    <m/>
    <m/>
    <m/>
    <m/>
    <m/>
  </r>
  <r>
    <x v="16"/>
    <x v="0"/>
    <x v="9"/>
    <x v="0"/>
    <x v="0"/>
    <x v="9"/>
    <x v="0"/>
    <x v="2"/>
    <x v="3"/>
    <x v="0"/>
    <x v="0"/>
    <x v="0"/>
    <x v="0"/>
    <x v="0"/>
    <x v="0"/>
    <x v="0"/>
    <x v="0"/>
    <x v="0"/>
    <x v="0"/>
    <x v="0"/>
    <x v="0"/>
    <x v="0"/>
    <x v="0"/>
    <x v="0"/>
    <x v="0"/>
    <x v="0"/>
    <m/>
    <m/>
    <m/>
    <m/>
    <m/>
    <m/>
  </r>
  <r>
    <x v="16"/>
    <x v="0"/>
    <x v="9"/>
    <x v="0"/>
    <x v="0"/>
    <x v="10"/>
    <x v="0"/>
    <x v="89"/>
    <x v="3"/>
    <x v="0"/>
    <x v="46"/>
    <x v="0"/>
    <x v="52"/>
    <x v="49"/>
    <x v="0"/>
    <x v="51"/>
    <x v="49"/>
    <x v="49"/>
    <x v="46"/>
    <x v="47"/>
    <x v="48"/>
    <x v="47"/>
    <x v="47"/>
    <x v="42"/>
    <x v="0"/>
    <x v="0"/>
    <m/>
    <m/>
    <m/>
    <m/>
    <m/>
    <m/>
  </r>
  <r>
    <x v="16"/>
    <x v="0"/>
    <x v="9"/>
    <x v="0"/>
    <x v="0"/>
    <x v="11"/>
    <x v="0"/>
    <x v="3"/>
    <x v="98"/>
    <x v="42"/>
    <x v="47"/>
    <x v="48"/>
    <x v="53"/>
    <x v="50"/>
    <x v="48"/>
    <x v="52"/>
    <x v="50"/>
    <x v="50"/>
    <x v="47"/>
    <x v="48"/>
    <x v="49"/>
    <x v="48"/>
    <x v="48"/>
    <x v="43"/>
    <x v="40"/>
    <x v="40"/>
    <n v="-938171"/>
    <n v="-967127"/>
    <n v="-995542"/>
    <n v="-1010831"/>
    <n v="-1020964"/>
    <n v="-1031093"/>
  </r>
  <r>
    <x v="16"/>
    <x v="0"/>
    <x v="9"/>
    <x v="0"/>
    <x v="0"/>
    <x v="12"/>
    <x v="0"/>
    <x v="3"/>
    <x v="2"/>
    <x v="2"/>
    <x v="2"/>
    <x v="2"/>
    <x v="2"/>
    <x v="2"/>
    <x v="2"/>
    <x v="2"/>
    <x v="2"/>
    <x v="2"/>
    <x v="2"/>
    <x v="2"/>
    <x v="2"/>
    <x v="2"/>
    <x v="2"/>
    <x v="2"/>
    <x v="2"/>
    <x v="2"/>
    <n v="0"/>
    <n v="0"/>
    <n v="0"/>
    <n v="0"/>
    <n v="0"/>
    <n v="0"/>
  </r>
  <r>
    <x v="17"/>
    <x v="0"/>
    <x v="10"/>
    <x v="4"/>
    <x v="0"/>
    <x v="0"/>
    <x v="0"/>
    <x v="90"/>
    <x v="99"/>
    <x v="0"/>
    <x v="0"/>
    <x v="0"/>
    <x v="0"/>
    <x v="0"/>
    <x v="0"/>
    <x v="0"/>
    <x v="0"/>
    <x v="0"/>
    <x v="0"/>
    <x v="0"/>
    <x v="0"/>
    <x v="0"/>
    <x v="0"/>
    <x v="0"/>
    <x v="0"/>
    <x v="0"/>
    <m/>
    <m/>
    <m/>
    <m/>
    <m/>
    <m/>
  </r>
  <r>
    <x v="17"/>
    <x v="0"/>
    <x v="10"/>
    <x v="4"/>
    <x v="0"/>
    <x v="1"/>
    <x v="0"/>
    <x v="91"/>
    <x v="2"/>
    <x v="43"/>
    <x v="2"/>
    <x v="2"/>
    <x v="2"/>
    <x v="2"/>
    <x v="2"/>
    <x v="2"/>
    <x v="2"/>
    <x v="2"/>
    <x v="2"/>
    <x v="2"/>
    <x v="2"/>
    <x v="2"/>
    <x v="2"/>
    <x v="2"/>
    <x v="2"/>
    <x v="2"/>
    <n v="0"/>
    <n v="0"/>
    <n v="0"/>
    <n v="0"/>
    <n v="0"/>
    <n v="0"/>
  </r>
  <r>
    <x v="17"/>
    <x v="0"/>
    <x v="10"/>
    <x v="4"/>
    <x v="0"/>
    <x v="2"/>
    <x v="0"/>
    <x v="92"/>
    <x v="100"/>
    <x v="0"/>
    <x v="0"/>
    <x v="0"/>
    <x v="0"/>
    <x v="0"/>
    <x v="0"/>
    <x v="0"/>
    <x v="0"/>
    <x v="0"/>
    <x v="0"/>
    <x v="0"/>
    <x v="0"/>
    <x v="0"/>
    <x v="0"/>
    <x v="0"/>
    <x v="0"/>
    <x v="0"/>
    <m/>
    <m/>
    <m/>
    <m/>
    <m/>
    <m/>
  </r>
  <r>
    <x v="17"/>
    <x v="0"/>
    <x v="10"/>
    <x v="4"/>
    <x v="0"/>
    <x v="3"/>
    <x v="0"/>
    <x v="2"/>
    <x v="2"/>
    <x v="0"/>
    <x v="0"/>
    <x v="0"/>
    <x v="0"/>
    <x v="0"/>
    <x v="0"/>
    <x v="0"/>
    <x v="0"/>
    <x v="0"/>
    <x v="0"/>
    <x v="0"/>
    <x v="0"/>
    <x v="0"/>
    <x v="0"/>
    <x v="0"/>
    <x v="0"/>
    <x v="0"/>
    <m/>
    <m/>
    <m/>
    <m/>
    <m/>
    <m/>
  </r>
  <r>
    <x v="17"/>
    <x v="0"/>
    <x v="10"/>
    <x v="4"/>
    <x v="0"/>
    <x v="4"/>
    <x v="0"/>
    <x v="93"/>
    <x v="101"/>
    <x v="0"/>
    <x v="0"/>
    <x v="0"/>
    <x v="0"/>
    <x v="0"/>
    <x v="0"/>
    <x v="0"/>
    <x v="0"/>
    <x v="0"/>
    <x v="0"/>
    <x v="0"/>
    <x v="0"/>
    <x v="0"/>
    <x v="0"/>
    <x v="0"/>
    <x v="0"/>
    <x v="0"/>
    <m/>
    <m/>
    <m/>
    <m/>
    <m/>
    <m/>
  </r>
  <r>
    <x v="17"/>
    <x v="0"/>
    <x v="10"/>
    <x v="4"/>
    <x v="0"/>
    <x v="5"/>
    <x v="0"/>
    <x v="94"/>
    <x v="102"/>
    <x v="0"/>
    <x v="0"/>
    <x v="0"/>
    <x v="0"/>
    <x v="0"/>
    <x v="0"/>
    <x v="0"/>
    <x v="0"/>
    <x v="0"/>
    <x v="0"/>
    <x v="0"/>
    <x v="0"/>
    <x v="0"/>
    <x v="0"/>
    <x v="0"/>
    <x v="0"/>
    <x v="0"/>
    <m/>
    <m/>
    <m/>
    <m/>
    <m/>
    <m/>
  </r>
  <r>
    <x v="17"/>
    <x v="0"/>
    <x v="10"/>
    <x v="4"/>
    <x v="0"/>
    <x v="6"/>
    <x v="0"/>
    <x v="95"/>
    <x v="103"/>
    <x v="2"/>
    <x v="2"/>
    <x v="2"/>
    <x v="54"/>
    <x v="51"/>
    <x v="2"/>
    <x v="2"/>
    <x v="51"/>
    <x v="51"/>
    <x v="2"/>
    <x v="2"/>
    <x v="50"/>
    <x v="49"/>
    <x v="2"/>
    <x v="2"/>
    <x v="2"/>
    <x v="2"/>
    <n v="0"/>
    <n v="0"/>
    <n v="0"/>
    <n v="0"/>
    <n v="0"/>
    <n v="0"/>
  </r>
  <r>
    <x v="17"/>
    <x v="0"/>
    <x v="10"/>
    <x v="4"/>
    <x v="0"/>
    <x v="7"/>
    <x v="0"/>
    <x v="95"/>
    <x v="103"/>
    <x v="0"/>
    <x v="0"/>
    <x v="0"/>
    <x v="54"/>
    <x v="51"/>
    <x v="0"/>
    <x v="0"/>
    <x v="51"/>
    <x v="51"/>
    <x v="0"/>
    <x v="0"/>
    <x v="50"/>
    <x v="49"/>
    <x v="0"/>
    <x v="0"/>
    <x v="0"/>
    <x v="0"/>
    <m/>
    <m/>
    <m/>
    <m/>
    <m/>
    <m/>
  </r>
  <r>
    <x v="17"/>
    <x v="0"/>
    <x v="10"/>
    <x v="4"/>
    <x v="0"/>
    <x v="8"/>
    <x v="0"/>
    <x v="2"/>
    <x v="3"/>
    <x v="0"/>
    <x v="0"/>
    <x v="0"/>
    <x v="0"/>
    <x v="0"/>
    <x v="0"/>
    <x v="0"/>
    <x v="0"/>
    <x v="0"/>
    <x v="0"/>
    <x v="0"/>
    <x v="0"/>
    <x v="0"/>
    <x v="0"/>
    <x v="0"/>
    <x v="0"/>
    <x v="0"/>
    <m/>
    <m/>
    <m/>
    <m/>
    <m/>
    <m/>
  </r>
  <r>
    <x v="17"/>
    <x v="0"/>
    <x v="10"/>
    <x v="4"/>
    <x v="0"/>
    <x v="9"/>
    <x v="0"/>
    <x v="2"/>
    <x v="3"/>
    <x v="0"/>
    <x v="0"/>
    <x v="0"/>
    <x v="0"/>
    <x v="0"/>
    <x v="0"/>
    <x v="0"/>
    <x v="0"/>
    <x v="0"/>
    <x v="0"/>
    <x v="0"/>
    <x v="0"/>
    <x v="0"/>
    <x v="0"/>
    <x v="0"/>
    <x v="0"/>
    <x v="0"/>
    <m/>
    <m/>
    <m/>
    <m/>
    <m/>
    <m/>
  </r>
  <r>
    <x v="17"/>
    <x v="0"/>
    <x v="10"/>
    <x v="4"/>
    <x v="0"/>
    <x v="10"/>
    <x v="0"/>
    <x v="95"/>
    <x v="103"/>
    <x v="0"/>
    <x v="0"/>
    <x v="0"/>
    <x v="54"/>
    <x v="51"/>
    <x v="0"/>
    <x v="0"/>
    <x v="51"/>
    <x v="51"/>
    <x v="0"/>
    <x v="0"/>
    <x v="50"/>
    <x v="49"/>
    <x v="0"/>
    <x v="0"/>
    <x v="0"/>
    <x v="0"/>
    <m/>
    <m/>
    <m/>
    <m/>
    <m/>
    <m/>
  </r>
  <r>
    <x v="17"/>
    <x v="0"/>
    <x v="10"/>
    <x v="4"/>
    <x v="0"/>
    <x v="11"/>
    <x v="0"/>
    <x v="3"/>
    <x v="104"/>
    <x v="44"/>
    <x v="48"/>
    <x v="49"/>
    <x v="55"/>
    <x v="52"/>
    <x v="49"/>
    <x v="53"/>
    <x v="52"/>
    <x v="52"/>
    <x v="48"/>
    <x v="49"/>
    <x v="51"/>
    <x v="50"/>
    <x v="49"/>
    <x v="44"/>
    <x v="41"/>
    <x v="41"/>
    <n v="289965"/>
    <n v="289965"/>
    <n v="289965"/>
    <n v="289965"/>
    <n v="289965"/>
    <n v="289965"/>
  </r>
  <r>
    <x v="17"/>
    <x v="0"/>
    <x v="10"/>
    <x v="4"/>
    <x v="0"/>
    <x v="12"/>
    <x v="0"/>
    <x v="3"/>
    <x v="2"/>
    <x v="2"/>
    <x v="2"/>
    <x v="2"/>
    <x v="2"/>
    <x v="2"/>
    <x v="2"/>
    <x v="2"/>
    <x v="2"/>
    <x v="2"/>
    <x v="2"/>
    <x v="2"/>
    <x v="2"/>
    <x v="2"/>
    <x v="2"/>
    <x v="2"/>
    <x v="2"/>
    <x v="2"/>
    <n v="0"/>
    <n v="0"/>
    <n v="0"/>
    <n v="0"/>
    <n v="0"/>
    <n v="0"/>
  </r>
  <r>
    <x v="18"/>
    <x v="0"/>
    <x v="10"/>
    <x v="2"/>
    <x v="1"/>
    <x v="0"/>
    <x v="0"/>
    <x v="96"/>
    <x v="105"/>
    <x v="0"/>
    <x v="0"/>
    <x v="0"/>
    <x v="0"/>
    <x v="0"/>
    <x v="0"/>
    <x v="0"/>
    <x v="0"/>
    <x v="0"/>
    <x v="0"/>
    <x v="0"/>
    <x v="0"/>
    <x v="0"/>
    <x v="0"/>
    <x v="0"/>
    <x v="0"/>
    <x v="0"/>
    <m/>
    <m/>
    <m/>
    <m/>
    <m/>
    <m/>
  </r>
  <r>
    <x v="18"/>
    <x v="0"/>
    <x v="10"/>
    <x v="2"/>
    <x v="1"/>
    <x v="1"/>
    <x v="0"/>
    <x v="97"/>
    <x v="106"/>
    <x v="45"/>
    <x v="49"/>
    <x v="50"/>
    <x v="56"/>
    <x v="53"/>
    <x v="50"/>
    <x v="54"/>
    <x v="53"/>
    <x v="53"/>
    <x v="49"/>
    <x v="50"/>
    <x v="52"/>
    <x v="51"/>
    <x v="50"/>
    <x v="45"/>
    <x v="42"/>
    <x v="42"/>
    <n v="2177"/>
    <n v="2175"/>
    <n v="2175"/>
    <n v="1750"/>
    <n v="1580"/>
    <n v="1580"/>
  </r>
  <r>
    <x v="18"/>
    <x v="0"/>
    <x v="10"/>
    <x v="2"/>
    <x v="1"/>
    <x v="2"/>
    <x v="0"/>
    <x v="2"/>
    <x v="2"/>
    <x v="0"/>
    <x v="0"/>
    <x v="0"/>
    <x v="0"/>
    <x v="0"/>
    <x v="0"/>
    <x v="0"/>
    <x v="0"/>
    <x v="0"/>
    <x v="0"/>
    <x v="0"/>
    <x v="0"/>
    <x v="0"/>
    <x v="0"/>
    <x v="0"/>
    <x v="0"/>
    <x v="0"/>
    <m/>
    <m/>
    <m/>
    <m/>
    <m/>
    <m/>
  </r>
  <r>
    <x v="18"/>
    <x v="0"/>
    <x v="10"/>
    <x v="2"/>
    <x v="1"/>
    <x v="3"/>
    <x v="0"/>
    <x v="2"/>
    <x v="2"/>
    <x v="0"/>
    <x v="0"/>
    <x v="0"/>
    <x v="0"/>
    <x v="0"/>
    <x v="0"/>
    <x v="0"/>
    <x v="0"/>
    <x v="0"/>
    <x v="0"/>
    <x v="0"/>
    <x v="0"/>
    <x v="0"/>
    <x v="0"/>
    <x v="0"/>
    <x v="0"/>
    <x v="0"/>
    <m/>
    <m/>
    <m/>
    <m/>
    <m/>
    <m/>
  </r>
  <r>
    <x v="18"/>
    <x v="0"/>
    <x v="10"/>
    <x v="2"/>
    <x v="1"/>
    <x v="4"/>
    <x v="0"/>
    <x v="98"/>
    <x v="107"/>
    <x v="0"/>
    <x v="0"/>
    <x v="0"/>
    <x v="0"/>
    <x v="0"/>
    <x v="0"/>
    <x v="0"/>
    <x v="0"/>
    <x v="0"/>
    <x v="0"/>
    <x v="0"/>
    <x v="0"/>
    <x v="0"/>
    <x v="0"/>
    <x v="0"/>
    <x v="0"/>
    <x v="0"/>
    <m/>
    <m/>
    <m/>
    <m/>
    <m/>
    <m/>
  </r>
  <r>
    <x v="18"/>
    <x v="0"/>
    <x v="10"/>
    <x v="2"/>
    <x v="1"/>
    <x v="5"/>
    <x v="0"/>
    <x v="3"/>
    <x v="3"/>
    <x v="0"/>
    <x v="0"/>
    <x v="0"/>
    <x v="0"/>
    <x v="0"/>
    <x v="0"/>
    <x v="0"/>
    <x v="0"/>
    <x v="0"/>
    <x v="0"/>
    <x v="0"/>
    <x v="0"/>
    <x v="0"/>
    <x v="0"/>
    <x v="0"/>
    <x v="0"/>
    <x v="0"/>
    <m/>
    <m/>
    <m/>
    <m/>
    <m/>
    <m/>
  </r>
  <r>
    <x v="18"/>
    <x v="0"/>
    <x v="10"/>
    <x v="2"/>
    <x v="1"/>
    <x v="6"/>
    <x v="0"/>
    <x v="2"/>
    <x v="2"/>
    <x v="2"/>
    <x v="2"/>
    <x v="2"/>
    <x v="2"/>
    <x v="2"/>
    <x v="2"/>
    <x v="2"/>
    <x v="2"/>
    <x v="2"/>
    <x v="2"/>
    <x v="2"/>
    <x v="2"/>
    <x v="2"/>
    <x v="2"/>
    <x v="2"/>
    <x v="2"/>
    <x v="2"/>
    <n v="0"/>
    <n v="0"/>
    <n v="0"/>
    <n v="0"/>
    <n v="0"/>
    <n v="0"/>
  </r>
  <r>
    <x v="18"/>
    <x v="0"/>
    <x v="10"/>
    <x v="2"/>
    <x v="1"/>
    <x v="7"/>
    <x v="0"/>
    <x v="3"/>
    <x v="3"/>
    <x v="0"/>
    <x v="0"/>
    <x v="0"/>
    <x v="0"/>
    <x v="0"/>
    <x v="0"/>
    <x v="0"/>
    <x v="0"/>
    <x v="0"/>
    <x v="0"/>
    <x v="0"/>
    <x v="0"/>
    <x v="0"/>
    <x v="0"/>
    <x v="0"/>
    <x v="0"/>
    <x v="0"/>
    <m/>
    <m/>
    <m/>
    <m/>
    <m/>
    <m/>
  </r>
  <r>
    <x v="18"/>
    <x v="0"/>
    <x v="10"/>
    <x v="2"/>
    <x v="1"/>
    <x v="8"/>
    <x v="0"/>
    <x v="2"/>
    <x v="3"/>
    <x v="0"/>
    <x v="0"/>
    <x v="0"/>
    <x v="0"/>
    <x v="0"/>
    <x v="0"/>
    <x v="0"/>
    <x v="0"/>
    <x v="0"/>
    <x v="0"/>
    <x v="0"/>
    <x v="0"/>
    <x v="0"/>
    <x v="0"/>
    <x v="0"/>
    <x v="0"/>
    <x v="0"/>
    <m/>
    <m/>
    <m/>
    <m/>
    <m/>
    <m/>
  </r>
  <r>
    <x v="18"/>
    <x v="0"/>
    <x v="10"/>
    <x v="2"/>
    <x v="1"/>
    <x v="9"/>
    <x v="0"/>
    <x v="2"/>
    <x v="3"/>
    <x v="0"/>
    <x v="0"/>
    <x v="0"/>
    <x v="0"/>
    <x v="0"/>
    <x v="0"/>
    <x v="0"/>
    <x v="0"/>
    <x v="0"/>
    <x v="0"/>
    <x v="0"/>
    <x v="0"/>
    <x v="0"/>
    <x v="0"/>
    <x v="0"/>
    <x v="0"/>
    <x v="0"/>
    <m/>
    <m/>
    <m/>
    <m/>
    <m/>
    <m/>
  </r>
  <r>
    <x v="18"/>
    <x v="0"/>
    <x v="10"/>
    <x v="2"/>
    <x v="1"/>
    <x v="10"/>
    <x v="0"/>
    <x v="3"/>
    <x v="3"/>
    <x v="0"/>
    <x v="0"/>
    <x v="0"/>
    <x v="0"/>
    <x v="0"/>
    <x v="0"/>
    <x v="0"/>
    <x v="0"/>
    <x v="0"/>
    <x v="0"/>
    <x v="0"/>
    <x v="0"/>
    <x v="0"/>
    <x v="0"/>
    <x v="0"/>
    <x v="0"/>
    <x v="0"/>
    <m/>
    <m/>
    <m/>
    <m/>
    <m/>
    <m/>
  </r>
  <r>
    <x v="18"/>
    <x v="0"/>
    <x v="10"/>
    <x v="2"/>
    <x v="1"/>
    <x v="11"/>
    <x v="0"/>
    <x v="3"/>
    <x v="108"/>
    <x v="46"/>
    <x v="50"/>
    <x v="51"/>
    <x v="57"/>
    <x v="54"/>
    <x v="51"/>
    <x v="55"/>
    <x v="54"/>
    <x v="54"/>
    <x v="50"/>
    <x v="51"/>
    <x v="53"/>
    <x v="52"/>
    <x v="51"/>
    <x v="46"/>
    <x v="43"/>
    <x v="43"/>
    <n v="-67846"/>
    <n v="-70021"/>
    <n v="-72196"/>
    <n v="-73946"/>
    <n v="-75526"/>
    <n v="-77106"/>
  </r>
  <r>
    <x v="18"/>
    <x v="0"/>
    <x v="10"/>
    <x v="2"/>
    <x v="1"/>
    <x v="12"/>
    <x v="0"/>
    <x v="3"/>
    <x v="2"/>
    <x v="2"/>
    <x v="2"/>
    <x v="2"/>
    <x v="2"/>
    <x v="2"/>
    <x v="2"/>
    <x v="2"/>
    <x v="2"/>
    <x v="2"/>
    <x v="2"/>
    <x v="2"/>
    <x v="2"/>
    <x v="2"/>
    <x v="2"/>
    <x v="2"/>
    <x v="2"/>
    <x v="2"/>
    <n v="0"/>
    <n v="0"/>
    <n v="0"/>
    <n v="0"/>
    <n v="0"/>
    <n v="0"/>
  </r>
  <r>
    <x v="18"/>
    <x v="0"/>
    <x v="10"/>
    <x v="2"/>
    <x v="0"/>
    <x v="0"/>
    <x v="0"/>
    <x v="99"/>
    <x v="109"/>
    <x v="0"/>
    <x v="0"/>
    <x v="0"/>
    <x v="0"/>
    <x v="0"/>
    <x v="0"/>
    <x v="0"/>
    <x v="0"/>
    <x v="0"/>
    <x v="0"/>
    <x v="0"/>
    <x v="0"/>
    <x v="0"/>
    <x v="0"/>
    <x v="0"/>
    <x v="0"/>
    <x v="0"/>
    <m/>
    <m/>
    <m/>
    <m/>
    <m/>
    <m/>
  </r>
  <r>
    <x v="18"/>
    <x v="0"/>
    <x v="10"/>
    <x v="2"/>
    <x v="0"/>
    <x v="1"/>
    <x v="0"/>
    <x v="100"/>
    <x v="110"/>
    <x v="47"/>
    <x v="51"/>
    <x v="52"/>
    <x v="58"/>
    <x v="55"/>
    <x v="52"/>
    <x v="56"/>
    <x v="55"/>
    <x v="55"/>
    <x v="51"/>
    <x v="52"/>
    <x v="54"/>
    <x v="53"/>
    <x v="52"/>
    <x v="47"/>
    <x v="44"/>
    <x v="44"/>
    <n v="8731"/>
    <n v="8728"/>
    <n v="8724"/>
    <n v="5775"/>
    <n v="4610"/>
    <n v="4608"/>
  </r>
  <r>
    <x v="18"/>
    <x v="0"/>
    <x v="10"/>
    <x v="2"/>
    <x v="0"/>
    <x v="2"/>
    <x v="0"/>
    <x v="101"/>
    <x v="111"/>
    <x v="0"/>
    <x v="0"/>
    <x v="0"/>
    <x v="0"/>
    <x v="0"/>
    <x v="0"/>
    <x v="0"/>
    <x v="0"/>
    <x v="0"/>
    <x v="0"/>
    <x v="0"/>
    <x v="0"/>
    <x v="0"/>
    <x v="0"/>
    <x v="0"/>
    <x v="0"/>
    <x v="0"/>
    <m/>
    <m/>
    <m/>
    <m/>
    <m/>
    <m/>
  </r>
  <r>
    <x v="18"/>
    <x v="0"/>
    <x v="10"/>
    <x v="2"/>
    <x v="0"/>
    <x v="3"/>
    <x v="0"/>
    <x v="2"/>
    <x v="2"/>
    <x v="0"/>
    <x v="0"/>
    <x v="0"/>
    <x v="0"/>
    <x v="0"/>
    <x v="0"/>
    <x v="0"/>
    <x v="0"/>
    <x v="0"/>
    <x v="0"/>
    <x v="0"/>
    <x v="0"/>
    <x v="0"/>
    <x v="0"/>
    <x v="0"/>
    <x v="0"/>
    <x v="0"/>
    <m/>
    <m/>
    <m/>
    <m/>
    <m/>
    <m/>
  </r>
  <r>
    <x v="18"/>
    <x v="0"/>
    <x v="10"/>
    <x v="2"/>
    <x v="0"/>
    <x v="4"/>
    <x v="0"/>
    <x v="102"/>
    <x v="112"/>
    <x v="0"/>
    <x v="0"/>
    <x v="0"/>
    <x v="0"/>
    <x v="0"/>
    <x v="0"/>
    <x v="0"/>
    <x v="0"/>
    <x v="0"/>
    <x v="0"/>
    <x v="0"/>
    <x v="0"/>
    <x v="0"/>
    <x v="0"/>
    <x v="0"/>
    <x v="0"/>
    <x v="0"/>
    <m/>
    <m/>
    <m/>
    <m/>
    <m/>
    <m/>
  </r>
  <r>
    <x v="18"/>
    <x v="0"/>
    <x v="10"/>
    <x v="2"/>
    <x v="0"/>
    <x v="5"/>
    <x v="0"/>
    <x v="3"/>
    <x v="3"/>
    <x v="0"/>
    <x v="0"/>
    <x v="0"/>
    <x v="0"/>
    <x v="0"/>
    <x v="0"/>
    <x v="0"/>
    <x v="0"/>
    <x v="0"/>
    <x v="0"/>
    <x v="0"/>
    <x v="0"/>
    <x v="0"/>
    <x v="0"/>
    <x v="0"/>
    <x v="0"/>
    <x v="0"/>
    <m/>
    <m/>
    <m/>
    <m/>
    <m/>
    <m/>
  </r>
  <r>
    <x v="18"/>
    <x v="0"/>
    <x v="10"/>
    <x v="2"/>
    <x v="0"/>
    <x v="6"/>
    <x v="0"/>
    <x v="103"/>
    <x v="113"/>
    <x v="2"/>
    <x v="52"/>
    <x v="53"/>
    <x v="59"/>
    <x v="2"/>
    <x v="2"/>
    <x v="57"/>
    <x v="51"/>
    <x v="2"/>
    <x v="2"/>
    <x v="53"/>
    <x v="2"/>
    <x v="54"/>
    <x v="2"/>
    <x v="2"/>
    <x v="2"/>
    <x v="2"/>
    <n v="0"/>
    <n v="0"/>
    <n v="0"/>
    <n v="0"/>
    <n v="0"/>
    <n v="0"/>
  </r>
  <r>
    <x v="18"/>
    <x v="0"/>
    <x v="10"/>
    <x v="2"/>
    <x v="0"/>
    <x v="7"/>
    <x v="0"/>
    <x v="103"/>
    <x v="113"/>
    <x v="0"/>
    <x v="52"/>
    <x v="53"/>
    <x v="59"/>
    <x v="0"/>
    <x v="0"/>
    <x v="57"/>
    <x v="51"/>
    <x v="0"/>
    <x v="0"/>
    <x v="53"/>
    <x v="0"/>
    <x v="54"/>
    <x v="0"/>
    <x v="0"/>
    <x v="0"/>
    <x v="0"/>
    <m/>
    <m/>
    <m/>
    <m/>
    <m/>
    <m/>
  </r>
  <r>
    <x v="18"/>
    <x v="0"/>
    <x v="10"/>
    <x v="2"/>
    <x v="0"/>
    <x v="8"/>
    <x v="0"/>
    <x v="2"/>
    <x v="3"/>
    <x v="0"/>
    <x v="0"/>
    <x v="0"/>
    <x v="0"/>
    <x v="0"/>
    <x v="0"/>
    <x v="0"/>
    <x v="0"/>
    <x v="0"/>
    <x v="0"/>
    <x v="0"/>
    <x v="0"/>
    <x v="0"/>
    <x v="0"/>
    <x v="0"/>
    <x v="0"/>
    <x v="0"/>
    <m/>
    <m/>
    <m/>
    <m/>
    <m/>
    <m/>
  </r>
  <r>
    <x v="18"/>
    <x v="0"/>
    <x v="10"/>
    <x v="2"/>
    <x v="0"/>
    <x v="9"/>
    <x v="0"/>
    <x v="2"/>
    <x v="3"/>
    <x v="0"/>
    <x v="0"/>
    <x v="0"/>
    <x v="0"/>
    <x v="0"/>
    <x v="0"/>
    <x v="0"/>
    <x v="0"/>
    <x v="0"/>
    <x v="0"/>
    <x v="0"/>
    <x v="0"/>
    <x v="0"/>
    <x v="0"/>
    <x v="0"/>
    <x v="0"/>
    <x v="0"/>
    <m/>
    <m/>
    <m/>
    <m/>
    <m/>
    <m/>
  </r>
  <r>
    <x v="18"/>
    <x v="0"/>
    <x v="10"/>
    <x v="2"/>
    <x v="0"/>
    <x v="10"/>
    <x v="0"/>
    <x v="103"/>
    <x v="113"/>
    <x v="0"/>
    <x v="52"/>
    <x v="53"/>
    <x v="59"/>
    <x v="0"/>
    <x v="0"/>
    <x v="57"/>
    <x v="51"/>
    <x v="0"/>
    <x v="0"/>
    <x v="53"/>
    <x v="0"/>
    <x v="54"/>
    <x v="0"/>
    <x v="0"/>
    <x v="0"/>
    <x v="0"/>
    <m/>
    <m/>
    <m/>
    <m/>
    <m/>
    <m/>
  </r>
  <r>
    <x v="18"/>
    <x v="0"/>
    <x v="10"/>
    <x v="2"/>
    <x v="0"/>
    <x v="11"/>
    <x v="0"/>
    <x v="3"/>
    <x v="114"/>
    <x v="48"/>
    <x v="53"/>
    <x v="54"/>
    <x v="60"/>
    <x v="56"/>
    <x v="53"/>
    <x v="58"/>
    <x v="56"/>
    <x v="56"/>
    <x v="52"/>
    <x v="54"/>
    <x v="55"/>
    <x v="55"/>
    <x v="53"/>
    <x v="48"/>
    <x v="45"/>
    <x v="45"/>
    <n v="-351437"/>
    <n v="-360165"/>
    <n v="-368889"/>
    <n v="-374664"/>
    <n v="-379274"/>
    <n v="-383882"/>
  </r>
  <r>
    <x v="18"/>
    <x v="0"/>
    <x v="10"/>
    <x v="2"/>
    <x v="0"/>
    <x v="12"/>
    <x v="0"/>
    <x v="3"/>
    <x v="2"/>
    <x v="2"/>
    <x v="2"/>
    <x v="2"/>
    <x v="2"/>
    <x v="2"/>
    <x v="2"/>
    <x v="2"/>
    <x v="2"/>
    <x v="2"/>
    <x v="2"/>
    <x v="2"/>
    <x v="2"/>
    <x v="2"/>
    <x v="2"/>
    <x v="2"/>
    <x v="2"/>
    <x v="2"/>
    <n v="0"/>
    <n v="0"/>
    <n v="0"/>
    <n v="0"/>
    <n v="0"/>
    <n v="0"/>
  </r>
  <r>
    <x v="19"/>
    <x v="0"/>
    <x v="11"/>
    <x v="1"/>
    <x v="0"/>
    <x v="0"/>
    <x v="0"/>
    <x v="2"/>
    <x v="2"/>
    <x v="0"/>
    <x v="0"/>
    <x v="0"/>
    <x v="0"/>
    <x v="0"/>
    <x v="0"/>
    <x v="0"/>
    <x v="0"/>
    <x v="0"/>
    <x v="0"/>
    <x v="0"/>
    <x v="0"/>
    <x v="0"/>
    <x v="0"/>
    <x v="0"/>
    <x v="0"/>
    <x v="0"/>
    <m/>
    <m/>
    <m/>
    <m/>
    <m/>
    <m/>
  </r>
  <r>
    <x v="19"/>
    <x v="0"/>
    <x v="11"/>
    <x v="1"/>
    <x v="0"/>
    <x v="1"/>
    <x v="0"/>
    <x v="7"/>
    <x v="8"/>
    <x v="5"/>
    <x v="5"/>
    <x v="5"/>
    <x v="6"/>
    <x v="5"/>
    <x v="5"/>
    <x v="5"/>
    <x v="5"/>
    <x v="5"/>
    <x v="5"/>
    <x v="5"/>
    <x v="5"/>
    <x v="5"/>
    <x v="5"/>
    <x v="5"/>
    <x v="5"/>
    <x v="5"/>
    <n v="8"/>
    <n v="8"/>
    <n v="7"/>
    <n v="7"/>
    <n v="7"/>
    <n v="7"/>
  </r>
  <r>
    <x v="19"/>
    <x v="0"/>
    <x v="11"/>
    <x v="1"/>
    <x v="0"/>
    <x v="2"/>
    <x v="0"/>
    <x v="3"/>
    <x v="3"/>
    <x v="0"/>
    <x v="0"/>
    <x v="0"/>
    <x v="0"/>
    <x v="0"/>
    <x v="0"/>
    <x v="0"/>
    <x v="0"/>
    <x v="0"/>
    <x v="0"/>
    <x v="0"/>
    <x v="0"/>
    <x v="0"/>
    <x v="0"/>
    <x v="0"/>
    <x v="0"/>
    <x v="0"/>
    <m/>
    <m/>
    <m/>
    <m/>
    <m/>
    <m/>
  </r>
  <r>
    <x v="19"/>
    <x v="0"/>
    <x v="11"/>
    <x v="1"/>
    <x v="0"/>
    <x v="3"/>
    <x v="0"/>
    <x v="3"/>
    <x v="3"/>
    <x v="0"/>
    <x v="0"/>
    <x v="0"/>
    <x v="0"/>
    <x v="0"/>
    <x v="0"/>
    <x v="0"/>
    <x v="0"/>
    <x v="0"/>
    <x v="0"/>
    <x v="0"/>
    <x v="0"/>
    <x v="0"/>
    <x v="0"/>
    <x v="0"/>
    <x v="0"/>
    <x v="0"/>
    <m/>
    <m/>
    <m/>
    <m/>
    <m/>
    <m/>
  </r>
  <r>
    <x v="19"/>
    <x v="0"/>
    <x v="11"/>
    <x v="1"/>
    <x v="0"/>
    <x v="4"/>
    <x v="0"/>
    <x v="3"/>
    <x v="3"/>
    <x v="0"/>
    <x v="0"/>
    <x v="0"/>
    <x v="0"/>
    <x v="0"/>
    <x v="0"/>
    <x v="0"/>
    <x v="0"/>
    <x v="0"/>
    <x v="0"/>
    <x v="0"/>
    <x v="0"/>
    <x v="0"/>
    <x v="0"/>
    <x v="0"/>
    <x v="0"/>
    <x v="0"/>
    <m/>
    <m/>
    <m/>
    <m/>
    <m/>
    <m/>
  </r>
  <r>
    <x v="19"/>
    <x v="0"/>
    <x v="11"/>
    <x v="1"/>
    <x v="0"/>
    <x v="5"/>
    <x v="0"/>
    <x v="3"/>
    <x v="3"/>
    <x v="0"/>
    <x v="0"/>
    <x v="0"/>
    <x v="0"/>
    <x v="0"/>
    <x v="0"/>
    <x v="0"/>
    <x v="0"/>
    <x v="0"/>
    <x v="0"/>
    <x v="0"/>
    <x v="0"/>
    <x v="0"/>
    <x v="0"/>
    <x v="0"/>
    <x v="0"/>
    <x v="0"/>
    <m/>
    <m/>
    <m/>
    <m/>
    <m/>
    <m/>
  </r>
  <r>
    <x v="19"/>
    <x v="0"/>
    <x v="11"/>
    <x v="1"/>
    <x v="0"/>
    <x v="6"/>
    <x v="0"/>
    <x v="2"/>
    <x v="2"/>
    <x v="2"/>
    <x v="2"/>
    <x v="2"/>
    <x v="2"/>
    <x v="2"/>
    <x v="2"/>
    <x v="2"/>
    <x v="2"/>
    <x v="2"/>
    <x v="2"/>
    <x v="2"/>
    <x v="2"/>
    <x v="2"/>
    <x v="2"/>
    <x v="2"/>
    <x v="2"/>
    <x v="2"/>
    <n v="0"/>
    <n v="0"/>
    <n v="0"/>
    <n v="0"/>
    <n v="0"/>
    <n v="0"/>
  </r>
  <r>
    <x v="19"/>
    <x v="0"/>
    <x v="11"/>
    <x v="1"/>
    <x v="0"/>
    <x v="7"/>
    <x v="0"/>
    <x v="3"/>
    <x v="3"/>
    <x v="0"/>
    <x v="0"/>
    <x v="0"/>
    <x v="0"/>
    <x v="0"/>
    <x v="0"/>
    <x v="0"/>
    <x v="0"/>
    <x v="0"/>
    <x v="0"/>
    <x v="0"/>
    <x v="0"/>
    <x v="0"/>
    <x v="0"/>
    <x v="0"/>
    <x v="0"/>
    <x v="0"/>
    <m/>
    <m/>
    <m/>
    <m/>
    <m/>
    <m/>
  </r>
  <r>
    <x v="19"/>
    <x v="0"/>
    <x v="11"/>
    <x v="1"/>
    <x v="0"/>
    <x v="8"/>
    <x v="0"/>
    <x v="2"/>
    <x v="3"/>
    <x v="0"/>
    <x v="0"/>
    <x v="0"/>
    <x v="0"/>
    <x v="0"/>
    <x v="0"/>
    <x v="0"/>
    <x v="0"/>
    <x v="0"/>
    <x v="0"/>
    <x v="0"/>
    <x v="0"/>
    <x v="0"/>
    <x v="0"/>
    <x v="0"/>
    <x v="0"/>
    <x v="0"/>
    <m/>
    <m/>
    <m/>
    <m/>
    <m/>
    <m/>
  </r>
  <r>
    <x v="19"/>
    <x v="0"/>
    <x v="11"/>
    <x v="1"/>
    <x v="0"/>
    <x v="9"/>
    <x v="0"/>
    <x v="2"/>
    <x v="3"/>
    <x v="0"/>
    <x v="0"/>
    <x v="0"/>
    <x v="0"/>
    <x v="0"/>
    <x v="0"/>
    <x v="0"/>
    <x v="0"/>
    <x v="0"/>
    <x v="0"/>
    <x v="0"/>
    <x v="0"/>
    <x v="0"/>
    <x v="0"/>
    <x v="0"/>
    <x v="0"/>
    <x v="0"/>
    <m/>
    <m/>
    <m/>
    <m/>
    <m/>
    <m/>
  </r>
  <r>
    <x v="19"/>
    <x v="0"/>
    <x v="11"/>
    <x v="1"/>
    <x v="0"/>
    <x v="10"/>
    <x v="0"/>
    <x v="3"/>
    <x v="3"/>
    <x v="0"/>
    <x v="0"/>
    <x v="0"/>
    <x v="0"/>
    <x v="0"/>
    <x v="0"/>
    <x v="0"/>
    <x v="0"/>
    <x v="0"/>
    <x v="0"/>
    <x v="0"/>
    <x v="0"/>
    <x v="0"/>
    <x v="0"/>
    <x v="0"/>
    <x v="0"/>
    <x v="0"/>
    <m/>
    <m/>
    <m/>
    <m/>
    <m/>
    <m/>
  </r>
  <r>
    <x v="19"/>
    <x v="0"/>
    <x v="11"/>
    <x v="1"/>
    <x v="0"/>
    <x v="11"/>
    <x v="0"/>
    <x v="3"/>
    <x v="9"/>
    <x v="6"/>
    <x v="6"/>
    <x v="6"/>
    <x v="7"/>
    <x v="6"/>
    <x v="6"/>
    <x v="6"/>
    <x v="6"/>
    <x v="6"/>
    <x v="6"/>
    <x v="6"/>
    <x v="6"/>
    <x v="6"/>
    <x v="6"/>
    <x v="6"/>
    <x v="6"/>
    <x v="6"/>
    <n v="-82"/>
    <n v="-90"/>
    <n v="-97"/>
    <n v="-104"/>
    <n v="-111"/>
    <n v="-118"/>
  </r>
  <r>
    <x v="19"/>
    <x v="0"/>
    <x v="11"/>
    <x v="1"/>
    <x v="0"/>
    <x v="12"/>
    <x v="0"/>
    <x v="3"/>
    <x v="2"/>
    <x v="2"/>
    <x v="2"/>
    <x v="2"/>
    <x v="2"/>
    <x v="2"/>
    <x v="2"/>
    <x v="2"/>
    <x v="2"/>
    <x v="2"/>
    <x v="2"/>
    <x v="2"/>
    <x v="2"/>
    <x v="2"/>
    <x v="2"/>
    <x v="2"/>
    <x v="2"/>
    <x v="2"/>
    <n v="0"/>
    <n v="0"/>
    <n v="0"/>
    <n v="0"/>
    <n v="0"/>
    <n v="0"/>
  </r>
  <r>
    <x v="20"/>
    <x v="0"/>
    <x v="12"/>
    <x v="2"/>
    <x v="0"/>
    <x v="0"/>
    <x v="0"/>
    <x v="104"/>
    <x v="115"/>
    <x v="0"/>
    <x v="0"/>
    <x v="0"/>
    <x v="0"/>
    <x v="0"/>
    <x v="0"/>
    <x v="0"/>
    <x v="0"/>
    <x v="0"/>
    <x v="0"/>
    <x v="0"/>
    <x v="0"/>
    <x v="0"/>
    <x v="0"/>
    <x v="0"/>
    <x v="0"/>
    <x v="0"/>
    <m/>
    <m/>
    <m/>
    <m/>
    <m/>
    <m/>
  </r>
  <r>
    <x v="20"/>
    <x v="0"/>
    <x v="12"/>
    <x v="2"/>
    <x v="0"/>
    <x v="1"/>
    <x v="0"/>
    <x v="105"/>
    <x v="116"/>
    <x v="49"/>
    <x v="54"/>
    <x v="55"/>
    <x v="61"/>
    <x v="57"/>
    <x v="54"/>
    <x v="59"/>
    <x v="57"/>
    <x v="57"/>
    <x v="53"/>
    <x v="55"/>
    <x v="56"/>
    <x v="56"/>
    <x v="54"/>
    <x v="49"/>
    <x v="46"/>
    <x v="46"/>
    <n v="17"/>
    <n v="17.5"/>
    <n v="17"/>
    <n v="15"/>
    <n v="14.5"/>
    <n v="15.5"/>
  </r>
  <r>
    <x v="20"/>
    <x v="0"/>
    <x v="12"/>
    <x v="2"/>
    <x v="0"/>
    <x v="2"/>
    <x v="0"/>
    <x v="106"/>
    <x v="117"/>
    <x v="0"/>
    <x v="0"/>
    <x v="0"/>
    <x v="0"/>
    <x v="0"/>
    <x v="0"/>
    <x v="0"/>
    <x v="0"/>
    <x v="0"/>
    <x v="0"/>
    <x v="0"/>
    <x v="0"/>
    <x v="0"/>
    <x v="0"/>
    <x v="0"/>
    <x v="0"/>
    <x v="0"/>
    <m/>
    <m/>
    <m/>
    <m/>
    <m/>
    <m/>
  </r>
  <r>
    <x v="20"/>
    <x v="0"/>
    <x v="12"/>
    <x v="2"/>
    <x v="0"/>
    <x v="3"/>
    <x v="0"/>
    <x v="2"/>
    <x v="2"/>
    <x v="0"/>
    <x v="0"/>
    <x v="0"/>
    <x v="0"/>
    <x v="0"/>
    <x v="0"/>
    <x v="0"/>
    <x v="0"/>
    <x v="0"/>
    <x v="0"/>
    <x v="0"/>
    <x v="0"/>
    <x v="0"/>
    <x v="0"/>
    <x v="0"/>
    <x v="0"/>
    <x v="0"/>
    <m/>
    <m/>
    <m/>
    <m/>
    <m/>
    <m/>
  </r>
  <r>
    <x v="20"/>
    <x v="0"/>
    <x v="12"/>
    <x v="2"/>
    <x v="0"/>
    <x v="4"/>
    <x v="0"/>
    <x v="107"/>
    <x v="118"/>
    <x v="0"/>
    <x v="0"/>
    <x v="0"/>
    <x v="0"/>
    <x v="0"/>
    <x v="0"/>
    <x v="0"/>
    <x v="0"/>
    <x v="0"/>
    <x v="0"/>
    <x v="0"/>
    <x v="0"/>
    <x v="0"/>
    <x v="0"/>
    <x v="0"/>
    <x v="0"/>
    <x v="0"/>
    <m/>
    <m/>
    <m/>
    <m/>
    <m/>
    <m/>
  </r>
  <r>
    <x v="20"/>
    <x v="0"/>
    <x v="12"/>
    <x v="2"/>
    <x v="0"/>
    <x v="5"/>
    <x v="0"/>
    <x v="3"/>
    <x v="3"/>
    <x v="0"/>
    <x v="0"/>
    <x v="0"/>
    <x v="0"/>
    <x v="0"/>
    <x v="0"/>
    <x v="0"/>
    <x v="0"/>
    <x v="0"/>
    <x v="0"/>
    <x v="0"/>
    <x v="0"/>
    <x v="0"/>
    <x v="0"/>
    <x v="0"/>
    <x v="0"/>
    <x v="0"/>
    <m/>
    <m/>
    <m/>
    <m/>
    <m/>
    <m/>
  </r>
  <r>
    <x v="20"/>
    <x v="0"/>
    <x v="12"/>
    <x v="2"/>
    <x v="0"/>
    <x v="6"/>
    <x v="0"/>
    <x v="2"/>
    <x v="2"/>
    <x v="2"/>
    <x v="2"/>
    <x v="2"/>
    <x v="2"/>
    <x v="2"/>
    <x v="2"/>
    <x v="2"/>
    <x v="2"/>
    <x v="2"/>
    <x v="2"/>
    <x v="2"/>
    <x v="2"/>
    <x v="2"/>
    <x v="2"/>
    <x v="2"/>
    <x v="2"/>
    <x v="2"/>
    <n v="0"/>
    <n v="0"/>
    <n v="0"/>
    <n v="0"/>
    <n v="0"/>
    <n v="0"/>
  </r>
  <r>
    <x v="20"/>
    <x v="0"/>
    <x v="12"/>
    <x v="2"/>
    <x v="0"/>
    <x v="7"/>
    <x v="0"/>
    <x v="3"/>
    <x v="3"/>
    <x v="0"/>
    <x v="0"/>
    <x v="0"/>
    <x v="0"/>
    <x v="0"/>
    <x v="0"/>
    <x v="0"/>
    <x v="0"/>
    <x v="0"/>
    <x v="0"/>
    <x v="0"/>
    <x v="0"/>
    <x v="0"/>
    <x v="0"/>
    <x v="0"/>
    <x v="0"/>
    <x v="0"/>
    <m/>
    <m/>
    <m/>
    <m/>
    <m/>
    <m/>
  </r>
  <r>
    <x v="20"/>
    <x v="0"/>
    <x v="12"/>
    <x v="2"/>
    <x v="0"/>
    <x v="8"/>
    <x v="0"/>
    <x v="2"/>
    <x v="3"/>
    <x v="0"/>
    <x v="0"/>
    <x v="0"/>
    <x v="0"/>
    <x v="0"/>
    <x v="0"/>
    <x v="0"/>
    <x v="0"/>
    <x v="0"/>
    <x v="0"/>
    <x v="0"/>
    <x v="0"/>
    <x v="0"/>
    <x v="0"/>
    <x v="0"/>
    <x v="0"/>
    <x v="0"/>
    <m/>
    <m/>
    <m/>
    <m/>
    <m/>
    <m/>
  </r>
  <r>
    <x v="20"/>
    <x v="0"/>
    <x v="12"/>
    <x v="2"/>
    <x v="0"/>
    <x v="9"/>
    <x v="0"/>
    <x v="2"/>
    <x v="3"/>
    <x v="0"/>
    <x v="0"/>
    <x v="0"/>
    <x v="0"/>
    <x v="0"/>
    <x v="0"/>
    <x v="0"/>
    <x v="0"/>
    <x v="0"/>
    <x v="0"/>
    <x v="0"/>
    <x v="0"/>
    <x v="0"/>
    <x v="0"/>
    <x v="0"/>
    <x v="0"/>
    <x v="0"/>
    <m/>
    <m/>
    <m/>
    <m/>
    <m/>
    <m/>
  </r>
  <r>
    <x v="20"/>
    <x v="0"/>
    <x v="12"/>
    <x v="2"/>
    <x v="0"/>
    <x v="10"/>
    <x v="0"/>
    <x v="3"/>
    <x v="3"/>
    <x v="0"/>
    <x v="0"/>
    <x v="0"/>
    <x v="0"/>
    <x v="0"/>
    <x v="0"/>
    <x v="0"/>
    <x v="0"/>
    <x v="0"/>
    <x v="0"/>
    <x v="0"/>
    <x v="0"/>
    <x v="0"/>
    <x v="0"/>
    <x v="0"/>
    <x v="0"/>
    <x v="0"/>
    <m/>
    <m/>
    <m/>
    <m/>
    <m/>
    <m/>
  </r>
  <r>
    <x v="20"/>
    <x v="0"/>
    <x v="12"/>
    <x v="2"/>
    <x v="0"/>
    <x v="11"/>
    <x v="0"/>
    <x v="3"/>
    <x v="119"/>
    <x v="50"/>
    <x v="55"/>
    <x v="56"/>
    <x v="62"/>
    <x v="58"/>
    <x v="55"/>
    <x v="60"/>
    <x v="58"/>
    <x v="58"/>
    <x v="54"/>
    <x v="56"/>
    <x v="57"/>
    <x v="57"/>
    <x v="55"/>
    <x v="50"/>
    <x v="47"/>
    <x v="47"/>
    <n v="1803.5"/>
    <n v="1786"/>
    <n v="1769"/>
    <n v="1754"/>
    <n v="1739.5"/>
    <n v="1724"/>
  </r>
  <r>
    <x v="20"/>
    <x v="0"/>
    <x v="12"/>
    <x v="2"/>
    <x v="0"/>
    <x v="12"/>
    <x v="0"/>
    <x v="3"/>
    <x v="2"/>
    <x v="2"/>
    <x v="2"/>
    <x v="2"/>
    <x v="2"/>
    <x v="2"/>
    <x v="2"/>
    <x v="2"/>
    <x v="2"/>
    <x v="2"/>
    <x v="2"/>
    <x v="2"/>
    <x v="2"/>
    <x v="2"/>
    <x v="2"/>
    <x v="2"/>
    <x v="2"/>
    <x v="2"/>
    <n v="0"/>
    <n v="0"/>
    <n v="0"/>
    <n v="0"/>
    <n v="0"/>
    <n v="0"/>
  </r>
  <r>
    <x v="21"/>
    <x v="0"/>
    <x v="12"/>
    <x v="0"/>
    <x v="0"/>
    <x v="0"/>
    <x v="0"/>
    <x v="104"/>
    <x v="115"/>
    <x v="0"/>
    <x v="0"/>
    <x v="0"/>
    <x v="0"/>
    <x v="0"/>
    <x v="0"/>
    <x v="0"/>
    <x v="0"/>
    <x v="0"/>
    <x v="0"/>
    <x v="0"/>
    <x v="0"/>
    <x v="0"/>
    <x v="0"/>
    <x v="0"/>
    <x v="0"/>
    <x v="0"/>
    <m/>
    <m/>
    <m/>
    <m/>
    <m/>
    <m/>
  </r>
  <r>
    <x v="21"/>
    <x v="0"/>
    <x v="12"/>
    <x v="0"/>
    <x v="0"/>
    <x v="1"/>
    <x v="0"/>
    <x v="105"/>
    <x v="116"/>
    <x v="49"/>
    <x v="54"/>
    <x v="55"/>
    <x v="61"/>
    <x v="57"/>
    <x v="54"/>
    <x v="59"/>
    <x v="57"/>
    <x v="57"/>
    <x v="53"/>
    <x v="55"/>
    <x v="56"/>
    <x v="56"/>
    <x v="54"/>
    <x v="49"/>
    <x v="46"/>
    <x v="46"/>
    <n v="17"/>
    <n v="17.5"/>
    <n v="17"/>
    <n v="15"/>
    <n v="14.5"/>
    <n v="15.5"/>
  </r>
  <r>
    <x v="21"/>
    <x v="0"/>
    <x v="12"/>
    <x v="0"/>
    <x v="0"/>
    <x v="2"/>
    <x v="0"/>
    <x v="108"/>
    <x v="120"/>
    <x v="0"/>
    <x v="0"/>
    <x v="0"/>
    <x v="0"/>
    <x v="0"/>
    <x v="0"/>
    <x v="0"/>
    <x v="0"/>
    <x v="0"/>
    <x v="0"/>
    <x v="0"/>
    <x v="0"/>
    <x v="0"/>
    <x v="0"/>
    <x v="0"/>
    <x v="0"/>
    <x v="0"/>
    <m/>
    <m/>
    <m/>
    <m/>
    <m/>
    <m/>
  </r>
  <r>
    <x v="21"/>
    <x v="0"/>
    <x v="12"/>
    <x v="0"/>
    <x v="0"/>
    <x v="3"/>
    <x v="0"/>
    <x v="2"/>
    <x v="2"/>
    <x v="0"/>
    <x v="0"/>
    <x v="0"/>
    <x v="0"/>
    <x v="0"/>
    <x v="0"/>
    <x v="0"/>
    <x v="0"/>
    <x v="0"/>
    <x v="0"/>
    <x v="0"/>
    <x v="0"/>
    <x v="0"/>
    <x v="0"/>
    <x v="0"/>
    <x v="0"/>
    <x v="0"/>
    <m/>
    <m/>
    <m/>
    <m/>
    <m/>
    <m/>
  </r>
  <r>
    <x v="21"/>
    <x v="0"/>
    <x v="12"/>
    <x v="0"/>
    <x v="0"/>
    <x v="4"/>
    <x v="0"/>
    <x v="5"/>
    <x v="121"/>
    <x v="0"/>
    <x v="0"/>
    <x v="0"/>
    <x v="0"/>
    <x v="0"/>
    <x v="0"/>
    <x v="0"/>
    <x v="0"/>
    <x v="0"/>
    <x v="0"/>
    <x v="0"/>
    <x v="0"/>
    <x v="0"/>
    <x v="0"/>
    <x v="0"/>
    <x v="0"/>
    <x v="0"/>
    <m/>
    <m/>
    <m/>
    <m/>
    <m/>
    <m/>
  </r>
  <r>
    <x v="21"/>
    <x v="0"/>
    <x v="12"/>
    <x v="0"/>
    <x v="0"/>
    <x v="5"/>
    <x v="0"/>
    <x v="3"/>
    <x v="3"/>
    <x v="0"/>
    <x v="0"/>
    <x v="0"/>
    <x v="0"/>
    <x v="0"/>
    <x v="0"/>
    <x v="0"/>
    <x v="0"/>
    <x v="0"/>
    <x v="0"/>
    <x v="0"/>
    <x v="0"/>
    <x v="0"/>
    <x v="0"/>
    <x v="0"/>
    <x v="0"/>
    <x v="0"/>
    <m/>
    <m/>
    <m/>
    <m/>
    <m/>
    <m/>
  </r>
  <r>
    <x v="21"/>
    <x v="0"/>
    <x v="12"/>
    <x v="0"/>
    <x v="0"/>
    <x v="6"/>
    <x v="0"/>
    <x v="109"/>
    <x v="2"/>
    <x v="2"/>
    <x v="2"/>
    <x v="2"/>
    <x v="2"/>
    <x v="2"/>
    <x v="2"/>
    <x v="2"/>
    <x v="2"/>
    <x v="59"/>
    <x v="2"/>
    <x v="2"/>
    <x v="2"/>
    <x v="2"/>
    <x v="2"/>
    <x v="2"/>
    <x v="2"/>
    <x v="2"/>
    <n v="0"/>
    <n v="0"/>
    <n v="0"/>
    <n v="0"/>
    <n v="0"/>
    <n v="0"/>
  </r>
  <r>
    <x v="21"/>
    <x v="0"/>
    <x v="12"/>
    <x v="0"/>
    <x v="0"/>
    <x v="7"/>
    <x v="0"/>
    <x v="109"/>
    <x v="3"/>
    <x v="0"/>
    <x v="0"/>
    <x v="0"/>
    <x v="0"/>
    <x v="0"/>
    <x v="0"/>
    <x v="0"/>
    <x v="0"/>
    <x v="59"/>
    <x v="0"/>
    <x v="0"/>
    <x v="0"/>
    <x v="0"/>
    <x v="0"/>
    <x v="0"/>
    <x v="0"/>
    <x v="0"/>
    <m/>
    <m/>
    <m/>
    <m/>
    <m/>
    <m/>
  </r>
  <r>
    <x v="21"/>
    <x v="0"/>
    <x v="12"/>
    <x v="0"/>
    <x v="0"/>
    <x v="8"/>
    <x v="0"/>
    <x v="2"/>
    <x v="3"/>
    <x v="0"/>
    <x v="0"/>
    <x v="0"/>
    <x v="0"/>
    <x v="0"/>
    <x v="0"/>
    <x v="0"/>
    <x v="0"/>
    <x v="0"/>
    <x v="0"/>
    <x v="0"/>
    <x v="0"/>
    <x v="0"/>
    <x v="0"/>
    <x v="0"/>
    <x v="0"/>
    <x v="0"/>
    <m/>
    <m/>
    <m/>
    <m/>
    <m/>
    <m/>
  </r>
  <r>
    <x v="21"/>
    <x v="0"/>
    <x v="12"/>
    <x v="0"/>
    <x v="0"/>
    <x v="9"/>
    <x v="0"/>
    <x v="2"/>
    <x v="3"/>
    <x v="0"/>
    <x v="0"/>
    <x v="0"/>
    <x v="0"/>
    <x v="0"/>
    <x v="0"/>
    <x v="0"/>
    <x v="0"/>
    <x v="0"/>
    <x v="0"/>
    <x v="0"/>
    <x v="0"/>
    <x v="0"/>
    <x v="0"/>
    <x v="0"/>
    <x v="0"/>
    <x v="0"/>
    <m/>
    <m/>
    <m/>
    <m/>
    <m/>
    <m/>
  </r>
  <r>
    <x v="21"/>
    <x v="0"/>
    <x v="12"/>
    <x v="0"/>
    <x v="0"/>
    <x v="10"/>
    <x v="0"/>
    <x v="109"/>
    <x v="3"/>
    <x v="0"/>
    <x v="0"/>
    <x v="0"/>
    <x v="0"/>
    <x v="0"/>
    <x v="0"/>
    <x v="0"/>
    <x v="0"/>
    <x v="59"/>
    <x v="0"/>
    <x v="0"/>
    <x v="0"/>
    <x v="0"/>
    <x v="0"/>
    <x v="0"/>
    <x v="0"/>
    <x v="0"/>
    <m/>
    <m/>
    <m/>
    <m/>
    <m/>
    <m/>
  </r>
  <r>
    <x v="21"/>
    <x v="0"/>
    <x v="12"/>
    <x v="0"/>
    <x v="0"/>
    <x v="11"/>
    <x v="0"/>
    <x v="3"/>
    <x v="122"/>
    <x v="51"/>
    <x v="56"/>
    <x v="57"/>
    <x v="63"/>
    <x v="59"/>
    <x v="56"/>
    <x v="61"/>
    <x v="59"/>
    <x v="60"/>
    <x v="55"/>
    <x v="57"/>
    <x v="58"/>
    <x v="58"/>
    <x v="56"/>
    <x v="51"/>
    <x v="48"/>
    <x v="48"/>
    <n v="4087.5"/>
    <n v="4070"/>
    <n v="4053"/>
    <n v="4038"/>
    <n v="4023.5"/>
    <n v="4008"/>
  </r>
  <r>
    <x v="21"/>
    <x v="0"/>
    <x v="12"/>
    <x v="0"/>
    <x v="0"/>
    <x v="12"/>
    <x v="0"/>
    <x v="3"/>
    <x v="2"/>
    <x v="2"/>
    <x v="2"/>
    <x v="2"/>
    <x v="2"/>
    <x v="2"/>
    <x v="2"/>
    <x v="2"/>
    <x v="2"/>
    <x v="2"/>
    <x v="2"/>
    <x v="2"/>
    <x v="2"/>
    <x v="2"/>
    <x v="2"/>
    <x v="2"/>
    <x v="2"/>
    <x v="2"/>
    <n v="0"/>
    <n v="0"/>
    <n v="0"/>
    <n v="0"/>
    <n v="0"/>
    <n v="0"/>
  </r>
  <r>
    <x v="22"/>
    <x v="0"/>
    <x v="13"/>
    <x v="2"/>
    <x v="0"/>
    <x v="0"/>
    <x v="0"/>
    <x v="110"/>
    <x v="123"/>
    <x v="0"/>
    <x v="0"/>
    <x v="0"/>
    <x v="0"/>
    <x v="0"/>
    <x v="0"/>
    <x v="0"/>
    <x v="0"/>
    <x v="0"/>
    <x v="0"/>
    <x v="0"/>
    <x v="0"/>
    <x v="0"/>
    <x v="0"/>
    <x v="0"/>
    <x v="0"/>
    <x v="0"/>
    <m/>
    <m/>
    <m/>
    <m/>
    <m/>
    <m/>
  </r>
  <r>
    <x v="22"/>
    <x v="0"/>
    <x v="13"/>
    <x v="2"/>
    <x v="0"/>
    <x v="1"/>
    <x v="0"/>
    <x v="111"/>
    <x v="124"/>
    <x v="52"/>
    <x v="57"/>
    <x v="58"/>
    <x v="64"/>
    <x v="60"/>
    <x v="57"/>
    <x v="62"/>
    <x v="60"/>
    <x v="61"/>
    <x v="56"/>
    <x v="58"/>
    <x v="59"/>
    <x v="59"/>
    <x v="57"/>
    <x v="52"/>
    <x v="49"/>
    <x v="49"/>
    <n v="1835.5"/>
    <n v="1842.5"/>
    <n v="1862.5"/>
    <n v="1798.5"/>
    <n v="1775.5"/>
    <n v="1776"/>
  </r>
  <r>
    <x v="22"/>
    <x v="0"/>
    <x v="13"/>
    <x v="2"/>
    <x v="0"/>
    <x v="2"/>
    <x v="0"/>
    <x v="112"/>
    <x v="125"/>
    <x v="0"/>
    <x v="0"/>
    <x v="0"/>
    <x v="0"/>
    <x v="0"/>
    <x v="0"/>
    <x v="0"/>
    <x v="0"/>
    <x v="0"/>
    <x v="0"/>
    <x v="0"/>
    <x v="0"/>
    <x v="0"/>
    <x v="0"/>
    <x v="0"/>
    <x v="0"/>
    <x v="0"/>
    <m/>
    <m/>
    <m/>
    <m/>
    <m/>
    <m/>
  </r>
  <r>
    <x v="22"/>
    <x v="0"/>
    <x v="13"/>
    <x v="2"/>
    <x v="0"/>
    <x v="3"/>
    <x v="0"/>
    <x v="2"/>
    <x v="2"/>
    <x v="0"/>
    <x v="0"/>
    <x v="0"/>
    <x v="0"/>
    <x v="0"/>
    <x v="0"/>
    <x v="0"/>
    <x v="0"/>
    <x v="0"/>
    <x v="0"/>
    <x v="0"/>
    <x v="0"/>
    <x v="0"/>
    <x v="0"/>
    <x v="0"/>
    <x v="0"/>
    <x v="0"/>
    <m/>
    <m/>
    <m/>
    <m/>
    <m/>
    <m/>
  </r>
  <r>
    <x v="22"/>
    <x v="0"/>
    <x v="13"/>
    <x v="2"/>
    <x v="0"/>
    <x v="4"/>
    <x v="0"/>
    <x v="113"/>
    <x v="126"/>
    <x v="0"/>
    <x v="0"/>
    <x v="0"/>
    <x v="0"/>
    <x v="0"/>
    <x v="0"/>
    <x v="0"/>
    <x v="0"/>
    <x v="0"/>
    <x v="0"/>
    <x v="0"/>
    <x v="0"/>
    <x v="0"/>
    <x v="0"/>
    <x v="0"/>
    <x v="0"/>
    <x v="0"/>
    <m/>
    <m/>
    <m/>
    <m/>
    <m/>
    <m/>
  </r>
  <r>
    <x v="22"/>
    <x v="0"/>
    <x v="13"/>
    <x v="2"/>
    <x v="0"/>
    <x v="5"/>
    <x v="0"/>
    <x v="3"/>
    <x v="3"/>
    <x v="0"/>
    <x v="0"/>
    <x v="0"/>
    <x v="0"/>
    <x v="0"/>
    <x v="0"/>
    <x v="0"/>
    <x v="0"/>
    <x v="0"/>
    <x v="0"/>
    <x v="0"/>
    <x v="0"/>
    <x v="0"/>
    <x v="0"/>
    <x v="0"/>
    <x v="0"/>
    <x v="0"/>
    <m/>
    <m/>
    <m/>
    <m/>
    <m/>
    <m/>
  </r>
  <r>
    <x v="22"/>
    <x v="0"/>
    <x v="13"/>
    <x v="2"/>
    <x v="0"/>
    <x v="6"/>
    <x v="0"/>
    <x v="114"/>
    <x v="2"/>
    <x v="2"/>
    <x v="2"/>
    <x v="59"/>
    <x v="2"/>
    <x v="2"/>
    <x v="58"/>
    <x v="2"/>
    <x v="2"/>
    <x v="2"/>
    <x v="2"/>
    <x v="59"/>
    <x v="2"/>
    <x v="2"/>
    <x v="2"/>
    <x v="2"/>
    <x v="2"/>
    <x v="2"/>
    <n v="0"/>
    <n v="0"/>
    <n v="0"/>
    <n v="0"/>
    <n v="0"/>
    <n v="0"/>
  </r>
  <r>
    <x v="22"/>
    <x v="0"/>
    <x v="13"/>
    <x v="2"/>
    <x v="0"/>
    <x v="7"/>
    <x v="0"/>
    <x v="114"/>
    <x v="3"/>
    <x v="0"/>
    <x v="0"/>
    <x v="59"/>
    <x v="0"/>
    <x v="0"/>
    <x v="58"/>
    <x v="0"/>
    <x v="0"/>
    <x v="0"/>
    <x v="0"/>
    <x v="59"/>
    <x v="0"/>
    <x v="0"/>
    <x v="0"/>
    <x v="0"/>
    <x v="0"/>
    <x v="0"/>
    <m/>
    <m/>
    <m/>
    <m/>
    <m/>
    <m/>
  </r>
  <r>
    <x v="22"/>
    <x v="0"/>
    <x v="13"/>
    <x v="2"/>
    <x v="0"/>
    <x v="8"/>
    <x v="0"/>
    <x v="2"/>
    <x v="3"/>
    <x v="0"/>
    <x v="0"/>
    <x v="0"/>
    <x v="0"/>
    <x v="0"/>
    <x v="0"/>
    <x v="0"/>
    <x v="0"/>
    <x v="0"/>
    <x v="0"/>
    <x v="0"/>
    <x v="0"/>
    <x v="0"/>
    <x v="0"/>
    <x v="0"/>
    <x v="0"/>
    <x v="0"/>
    <m/>
    <m/>
    <m/>
    <m/>
    <m/>
    <m/>
  </r>
  <r>
    <x v="22"/>
    <x v="0"/>
    <x v="13"/>
    <x v="2"/>
    <x v="0"/>
    <x v="9"/>
    <x v="0"/>
    <x v="2"/>
    <x v="3"/>
    <x v="0"/>
    <x v="0"/>
    <x v="0"/>
    <x v="0"/>
    <x v="0"/>
    <x v="0"/>
    <x v="0"/>
    <x v="0"/>
    <x v="0"/>
    <x v="0"/>
    <x v="0"/>
    <x v="0"/>
    <x v="0"/>
    <x v="0"/>
    <x v="0"/>
    <x v="0"/>
    <x v="0"/>
    <m/>
    <m/>
    <m/>
    <m/>
    <m/>
    <m/>
  </r>
  <r>
    <x v="22"/>
    <x v="0"/>
    <x v="13"/>
    <x v="2"/>
    <x v="0"/>
    <x v="10"/>
    <x v="0"/>
    <x v="114"/>
    <x v="3"/>
    <x v="0"/>
    <x v="0"/>
    <x v="59"/>
    <x v="0"/>
    <x v="0"/>
    <x v="58"/>
    <x v="0"/>
    <x v="0"/>
    <x v="0"/>
    <x v="0"/>
    <x v="59"/>
    <x v="0"/>
    <x v="0"/>
    <x v="0"/>
    <x v="0"/>
    <x v="0"/>
    <x v="0"/>
    <m/>
    <m/>
    <m/>
    <m/>
    <m/>
    <m/>
  </r>
  <r>
    <x v="22"/>
    <x v="0"/>
    <x v="13"/>
    <x v="2"/>
    <x v="0"/>
    <x v="11"/>
    <x v="0"/>
    <x v="3"/>
    <x v="127"/>
    <x v="53"/>
    <x v="58"/>
    <x v="60"/>
    <x v="65"/>
    <x v="61"/>
    <x v="59"/>
    <x v="63"/>
    <x v="61"/>
    <x v="62"/>
    <x v="57"/>
    <x v="60"/>
    <x v="60"/>
    <x v="60"/>
    <x v="58"/>
    <x v="53"/>
    <x v="50"/>
    <x v="50"/>
    <n v="-3607"/>
    <n v="-5449.5"/>
    <n v="-7312"/>
    <n v="-9110.5"/>
    <n v="-10886"/>
    <n v="-12662"/>
  </r>
  <r>
    <x v="22"/>
    <x v="0"/>
    <x v="13"/>
    <x v="2"/>
    <x v="0"/>
    <x v="12"/>
    <x v="0"/>
    <x v="3"/>
    <x v="2"/>
    <x v="2"/>
    <x v="2"/>
    <x v="2"/>
    <x v="2"/>
    <x v="2"/>
    <x v="2"/>
    <x v="2"/>
    <x v="2"/>
    <x v="2"/>
    <x v="2"/>
    <x v="2"/>
    <x v="2"/>
    <x v="2"/>
    <x v="2"/>
    <x v="2"/>
    <x v="2"/>
    <x v="2"/>
    <n v="0"/>
    <n v="0"/>
    <n v="0"/>
    <n v="0"/>
    <n v="0"/>
    <n v="0"/>
  </r>
  <r>
    <x v="23"/>
    <x v="0"/>
    <x v="13"/>
    <x v="1"/>
    <x v="0"/>
    <x v="0"/>
    <x v="0"/>
    <x v="115"/>
    <x v="128"/>
    <x v="0"/>
    <x v="0"/>
    <x v="0"/>
    <x v="0"/>
    <x v="0"/>
    <x v="0"/>
    <x v="0"/>
    <x v="0"/>
    <x v="0"/>
    <x v="0"/>
    <x v="0"/>
    <x v="0"/>
    <x v="0"/>
    <x v="0"/>
    <x v="0"/>
    <x v="0"/>
    <x v="0"/>
    <m/>
    <m/>
    <m/>
    <m/>
    <m/>
    <m/>
  </r>
  <r>
    <x v="23"/>
    <x v="0"/>
    <x v="13"/>
    <x v="1"/>
    <x v="0"/>
    <x v="1"/>
    <x v="0"/>
    <x v="116"/>
    <x v="129"/>
    <x v="54"/>
    <x v="59"/>
    <x v="61"/>
    <x v="66"/>
    <x v="62"/>
    <x v="60"/>
    <x v="64"/>
    <x v="62"/>
    <x v="63"/>
    <x v="58"/>
    <x v="61"/>
    <x v="61"/>
    <x v="61"/>
    <x v="59"/>
    <x v="54"/>
    <x v="51"/>
    <x v="51"/>
    <n v="1305.5"/>
    <n v="1312.5"/>
    <n v="1332.5"/>
    <n v="1305.5"/>
    <n v="1296.5"/>
    <n v="1297"/>
  </r>
  <r>
    <x v="23"/>
    <x v="0"/>
    <x v="13"/>
    <x v="1"/>
    <x v="0"/>
    <x v="2"/>
    <x v="0"/>
    <x v="2"/>
    <x v="2"/>
    <x v="0"/>
    <x v="0"/>
    <x v="0"/>
    <x v="0"/>
    <x v="0"/>
    <x v="0"/>
    <x v="0"/>
    <x v="0"/>
    <x v="0"/>
    <x v="0"/>
    <x v="0"/>
    <x v="0"/>
    <x v="0"/>
    <x v="0"/>
    <x v="0"/>
    <x v="0"/>
    <x v="0"/>
    <m/>
    <m/>
    <m/>
    <m/>
    <m/>
    <m/>
  </r>
  <r>
    <x v="23"/>
    <x v="0"/>
    <x v="13"/>
    <x v="1"/>
    <x v="0"/>
    <x v="3"/>
    <x v="0"/>
    <x v="2"/>
    <x v="2"/>
    <x v="0"/>
    <x v="0"/>
    <x v="0"/>
    <x v="0"/>
    <x v="0"/>
    <x v="0"/>
    <x v="0"/>
    <x v="0"/>
    <x v="0"/>
    <x v="0"/>
    <x v="0"/>
    <x v="0"/>
    <x v="0"/>
    <x v="0"/>
    <x v="0"/>
    <x v="0"/>
    <x v="0"/>
    <m/>
    <m/>
    <m/>
    <m/>
    <m/>
    <m/>
  </r>
  <r>
    <x v="23"/>
    <x v="0"/>
    <x v="13"/>
    <x v="1"/>
    <x v="0"/>
    <x v="4"/>
    <x v="0"/>
    <x v="117"/>
    <x v="130"/>
    <x v="0"/>
    <x v="0"/>
    <x v="0"/>
    <x v="0"/>
    <x v="0"/>
    <x v="0"/>
    <x v="0"/>
    <x v="0"/>
    <x v="0"/>
    <x v="0"/>
    <x v="0"/>
    <x v="0"/>
    <x v="0"/>
    <x v="0"/>
    <x v="0"/>
    <x v="0"/>
    <x v="0"/>
    <m/>
    <m/>
    <m/>
    <m/>
    <m/>
    <m/>
  </r>
  <r>
    <x v="23"/>
    <x v="0"/>
    <x v="13"/>
    <x v="1"/>
    <x v="0"/>
    <x v="5"/>
    <x v="0"/>
    <x v="3"/>
    <x v="3"/>
    <x v="0"/>
    <x v="0"/>
    <x v="0"/>
    <x v="0"/>
    <x v="0"/>
    <x v="0"/>
    <x v="0"/>
    <x v="0"/>
    <x v="0"/>
    <x v="0"/>
    <x v="0"/>
    <x v="0"/>
    <x v="0"/>
    <x v="0"/>
    <x v="0"/>
    <x v="0"/>
    <x v="0"/>
    <m/>
    <m/>
    <m/>
    <m/>
    <m/>
    <m/>
  </r>
  <r>
    <x v="23"/>
    <x v="0"/>
    <x v="13"/>
    <x v="1"/>
    <x v="0"/>
    <x v="6"/>
    <x v="0"/>
    <x v="2"/>
    <x v="2"/>
    <x v="2"/>
    <x v="2"/>
    <x v="2"/>
    <x v="2"/>
    <x v="2"/>
    <x v="2"/>
    <x v="2"/>
    <x v="2"/>
    <x v="2"/>
    <x v="2"/>
    <x v="2"/>
    <x v="2"/>
    <x v="2"/>
    <x v="2"/>
    <x v="2"/>
    <x v="2"/>
    <x v="2"/>
    <n v="0"/>
    <n v="0"/>
    <n v="0"/>
    <n v="0"/>
    <n v="0"/>
    <n v="0"/>
  </r>
  <r>
    <x v="23"/>
    <x v="0"/>
    <x v="13"/>
    <x v="1"/>
    <x v="0"/>
    <x v="7"/>
    <x v="0"/>
    <x v="3"/>
    <x v="3"/>
    <x v="0"/>
    <x v="0"/>
    <x v="0"/>
    <x v="0"/>
    <x v="0"/>
    <x v="0"/>
    <x v="0"/>
    <x v="0"/>
    <x v="0"/>
    <x v="0"/>
    <x v="0"/>
    <x v="0"/>
    <x v="0"/>
    <x v="0"/>
    <x v="0"/>
    <x v="0"/>
    <x v="0"/>
    <m/>
    <m/>
    <m/>
    <m/>
    <m/>
    <m/>
  </r>
  <r>
    <x v="23"/>
    <x v="0"/>
    <x v="13"/>
    <x v="1"/>
    <x v="0"/>
    <x v="8"/>
    <x v="0"/>
    <x v="2"/>
    <x v="3"/>
    <x v="0"/>
    <x v="0"/>
    <x v="0"/>
    <x v="0"/>
    <x v="0"/>
    <x v="0"/>
    <x v="0"/>
    <x v="0"/>
    <x v="0"/>
    <x v="0"/>
    <x v="0"/>
    <x v="0"/>
    <x v="0"/>
    <x v="0"/>
    <x v="0"/>
    <x v="0"/>
    <x v="0"/>
    <m/>
    <m/>
    <m/>
    <m/>
    <m/>
    <m/>
  </r>
  <r>
    <x v="23"/>
    <x v="0"/>
    <x v="13"/>
    <x v="1"/>
    <x v="0"/>
    <x v="9"/>
    <x v="0"/>
    <x v="2"/>
    <x v="3"/>
    <x v="0"/>
    <x v="0"/>
    <x v="0"/>
    <x v="0"/>
    <x v="0"/>
    <x v="0"/>
    <x v="0"/>
    <x v="0"/>
    <x v="0"/>
    <x v="0"/>
    <x v="0"/>
    <x v="0"/>
    <x v="0"/>
    <x v="0"/>
    <x v="0"/>
    <x v="0"/>
    <x v="0"/>
    <m/>
    <m/>
    <m/>
    <m/>
    <m/>
    <m/>
  </r>
  <r>
    <x v="23"/>
    <x v="0"/>
    <x v="13"/>
    <x v="1"/>
    <x v="0"/>
    <x v="10"/>
    <x v="0"/>
    <x v="3"/>
    <x v="3"/>
    <x v="0"/>
    <x v="0"/>
    <x v="0"/>
    <x v="0"/>
    <x v="0"/>
    <x v="0"/>
    <x v="0"/>
    <x v="0"/>
    <x v="0"/>
    <x v="0"/>
    <x v="0"/>
    <x v="0"/>
    <x v="0"/>
    <x v="0"/>
    <x v="0"/>
    <x v="0"/>
    <x v="0"/>
    <m/>
    <m/>
    <m/>
    <m/>
    <m/>
    <m/>
  </r>
  <r>
    <x v="23"/>
    <x v="0"/>
    <x v="13"/>
    <x v="1"/>
    <x v="0"/>
    <x v="11"/>
    <x v="0"/>
    <x v="3"/>
    <x v="131"/>
    <x v="55"/>
    <x v="60"/>
    <x v="62"/>
    <x v="67"/>
    <x v="63"/>
    <x v="61"/>
    <x v="65"/>
    <x v="63"/>
    <x v="64"/>
    <x v="59"/>
    <x v="62"/>
    <x v="62"/>
    <x v="62"/>
    <x v="60"/>
    <x v="55"/>
    <x v="52"/>
    <x v="52"/>
    <n v="-31877"/>
    <n v="-33189.5"/>
    <n v="-34522"/>
    <n v="-35827.5"/>
    <n v="-37124"/>
    <n v="-38421"/>
  </r>
  <r>
    <x v="23"/>
    <x v="0"/>
    <x v="13"/>
    <x v="1"/>
    <x v="0"/>
    <x v="12"/>
    <x v="0"/>
    <x v="3"/>
    <x v="2"/>
    <x v="2"/>
    <x v="2"/>
    <x v="2"/>
    <x v="2"/>
    <x v="2"/>
    <x v="2"/>
    <x v="2"/>
    <x v="2"/>
    <x v="2"/>
    <x v="2"/>
    <x v="2"/>
    <x v="2"/>
    <x v="2"/>
    <x v="2"/>
    <x v="2"/>
    <x v="2"/>
    <x v="2"/>
    <n v="0"/>
    <n v="0"/>
    <n v="0"/>
    <n v="0"/>
    <n v="0"/>
    <n v="0"/>
  </r>
  <r>
    <x v="24"/>
    <x v="0"/>
    <x v="14"/>
    <x v="4"/>
    <x v="0"/>
    <x v="0"/>
    <x v="0"/>
    <x v="118"/>
    <x v="132"/>
    <x v="0"/>
    <x v="0"/>
    <x v="0"/>
    <x v="0"/>
    <x v="0"/>
    <x v="0"/>
    <x v="0"/>
    <x v="0"/>
    <x v="0"/>
    <x v="0"/>
    <x v="0"/>
    <x v="0"/>
    <x v="0"/>
    <x v="0"/>
    <x v="0"/>
    <x v="0"/>
    <x v="0"/>
    <m/>
    <m/>
    <m/>
    <m/>
    <m/>
    <m/>
  </r>
  <r>
    <x v="24"/>
    <x v="0"/>
    <x v="14"/>
    <x v="4"/>
    <x v="0"/>
    <x v="1"/>
    <x v="0"/>
    <x v="119"/>
    <x v="133"/>
    <x v="56"/>
    <x v="61"/>
    <x v="63"/>
    <x v="68"/>
    <x v="64"/>
    <x v="62"/>
    <x v="66"/>
    <x v="64"/>
    <x v="65"/>
    <x v="60"/>
    <x v="63"/>
    <x v="63"/>
    <x v="63"/>
    <x v="61"/>
    <x v="56"/>
    <x v="53"/>
    <x v="53"/>
    <n v="2254.75"/>
    <n v="2246.5"/>
    <n v="7242.5"/>
    <n v="1850.75"/>
    <n v="1695.75"/>
    <n v="1693.75"/>
  </r>
  <r>
    <x v="24"/>
    <x v="0"/>
    <x v="14"/>
    <x v="4"/>
    <x v="0"/>
    <x v="2"/>
    <x v="0"/>
    <x v="120"/>
    <x v="134"/>
    <x v="0"/>
    <x v="0"/>
    <x v="0"/>
    <x v="0"/>
    <x v="0"/>
    <x v="0"/>
    <x v="0"/>
    <x v="0"/>
    <x v="0"/>
    <x v="0"/>
    <x v="0"/>
    <x v="0"/>
    <x v="0"/>
    <x v="0"/>
    <x v="0"/>
    <x v="0"/>
    <x v="0"/>
    <m/>
    <m/>
    <m/>
    <m/>
    <m/>
    <m/>
  </r>
  <r>
    <x v="24"/>
    <x v="0"/>
    <x v="14"/>
    <x v="4"/>
    <x v="0"/>
    <x v="3"/>
    <x v="0"/>
    <x v="2"/>
    <x v="2"/>
    <x v="0"/>
    <x v="0"/>
    <x v="0"/>
    <x v="0"/>
    <x v="0"/>
    <x v="0"/>
    <x v="0"/>
    <x v="0"/>
    <x v="0"/>
    <x v="0"/>
    <x v="0"/>
    <x v="0"/>
    <x v="0"/>
    <x v="0"/>
    <x v="0"/>
    <x v="0"/>
    <x v="0"/>
    <m/>
    <m/>
    <m/>
    <m/>
    <m/>
    <m/>
  </r>
  <r>
    <x v="24"/>
    <x v="0"/>
    <x v="14"/>
    <x v="4"/>
    <x v="0"/>
    <x v="4"/>
    <x v="0"/>
    <x v="121"/>
    <x v="135"/>
    <x v="0"/>
    <x v="0"/>
    <x v="0"/>
    <x v="0"/>
    <x v="0"/>
    <x v="0"/>
    <x v="0"/>
    <x v="0"/>
    <x v="0"/>
    <x v="0"/>
    <x v="0"/>
    <x v="0"/>
    <x v="0"/>
    <x v="0"/>
    <x v="0"/>
    <x v="0"/>
    <x v="0"/>
    <m/>
    <m/>
    <m/>
    <m/>
    <m/>
    <m/>
  </r>
  <r>
    <x v="24"/>
    <x v="0"/>
    <x v="14"/>
    <x v="4"/>
    <x v="0"/>
    <x v="5"/>
    <x v="0"/>
    <x v="122"/>
    <x v="136"/>
    <x v="0"/>
    <x v="0"/>
    <x v="0"/>
    <x v="0"/>
    <x v="0"/>
    <x v="0"/>
    <x v="0"/>
    <x v="0"/>
    <x v="0"/>
    <x v="0"/>
    <x v="0"/>
    <x v="0"/>
    <x v="0"/>
    <x v="0"/>
    <x v="0"/>
    <x v="0"/>
    <x v="0"/>
    <m/>
    <m/>
    <m/>
    <m/>
    <m/>
    <m/>
  </r>
  <r>
    <x v="24"/>
    <x v="0"/>
    <x v="14"/>
    <x v="4"/>
    <x v="0"/>
    <x v="6"/>
    <x v="0"/>
    <x v="123"/>
    <x v="137"/>
    <x v="2"/>
    <x v="2"/>
    <x v="2"/>
    <x v="2"/>
    <x v="2"/>
    <x v="2"/>
    <x v="2"/>
    <x v="2"/>
    <x v="51"/>
    <x v="2"/>
    <x v="2"/>
    <x v="2"/>
    <x v="2"/>
    <x v="2"/>
    <x v="2"/>
    <x v="2"/>
    <x v="2"/>
    <n v="0"/>
    <n v="0"/>
    <n v="0"/>
    <n v="0"/>
    <n v="0"/>
    <n v="0"/>
  </r>
  <r>
    <x v="24"/>
    <x v="0"/>
    <x v="14"/>
    <x v="4"/>
    <x v="0"/>
    <x v="7"/>
    <x v="0"/>
    <x v="123"/>
    <x v="137"/>
    <x v="0"/>
    <x v="0"/>
    <x v="0"/>
    <x v="0"/>
    <x v="0"/>
    <x v="0"/>
    <x v="0"/>
    <x v="0"/>
    <x v="51"/>
    <x v="0"/>
    <x v="0"/>
    <x v="0"/>
    <x v="0"/>
    <x v="0"/>
    <x v="0"/>
    <x v="0"/>
    <x v="0"/>
    <m/>
    <m/>
    <m/>
    <m/>
    <m/>
    <m/>
  </r>
  <r>
    <x v="24"/>
    <x v="0"/>
    <x v="14"/>
    <x v="4"/>
    <x v="0"/>
    <x v="8"/>
    <x v="0"/>
    <x v="2"/>
    <x v="3"/>
    <x v="0"/>
    <x v="0"/>
    <x v="0"/>
    <x v="0"/>
    <x v="0"/>
    <x v="0"/>
    <x v="0"/>
    <x v="0"/>
    <x v="0"/>
    <x v="0"/>
    <x v="0"/>
    <x v="0"/>
    <x v="0"/>
    <x v="0"/>
    <x v="0"/>
    <x v="0"/>
    <x v="0"/>
    <m/>
    <m/>
    <m/>
    <m/>
    <m/>
    <m/>
  </r>
  <r>
    <x v="24"/>
    <x v="0"/>
    <x v="14"/>
    <x v="4"/>
    <x v="0"/>
    <x v="9"/>
    <x v="0"/>
    <x v="2"/>
    <x v="3"/>
    <x v="0"/>
    <x v="0"/>
    <x v="0"/>
    <x v="0"/>
    <x v="0"/>
    <x v="0"/>
    <x v="0"/>
    <x v="0"/>
    <x v="0"/>
    <x v="0"/>
    <x v="0"/>
    <x v="0"/>
    <x v="0"/>
    <x v="0"/>
    <x v="0"/>
    <x v="0"/>
    <x v="0"/>
    <m/>
    <m/>
    <m/>
    <m/>
    <m/>
    <m/>
  </r>
  <r>
    <x v="24"/>
    <x v="0"/>
    <x v="14"/>
    <x v="4"/>
    <x v="0"/>
    <x v="10"/>
    <x v="0"/>
    <x v="123"/>
    <x v="137"/>
    <x v="0"/>
    <x v="0"/>
    <x v="0"/>
    <x v="0"/>
    <x v="0"/>
    <x v="0"/>
    <x v="0"/>
    <x v="0"/>
    <x v="51"/>
    <x v="0"/>
    <x v="0"/>
    <x v="0"/>
    <x v="0"/>
    <x v="0"/>
    <x v="0"/>
    <x v="0"/>
    <x v="0"/>
    <m/>
    <m/>
    <m/>
    <m/>
    <m/>
    <m/>
  </r>
  <r>
    <x v="24"/>
    <x v="0"/>
    <x v="14"/>
    <x v="4"/>
    <x v="0"/>
    <x v="11"/>
    <x v="0"/>
    <x v="3"/>
    <x v="138"/>
    <x v="57"/>
    <x v="62"/>
    <x v="64"/>
    <x v="69"/>
    <x v="65"/>
    <x v="63"/>
    <x v="67"/>
    <x v="65"/>
    <x v="66"/>
    <x v="61"/>
    <x v="64"/>
    <x v="64"/>
    <x v="64"/>
    <x v="62"/>
    <x v="57"/>
    <x v="54"/>
    <x v="54"/>
    <n v="88600.75"/>
    <n v="86354.25"/>
    <n v="79111.75"/>
    <n v="77261"/>
    <n v="75565.25"/>
    <n v="73871.5"/>
  </r>
  <r>
    <x v="24"/>
    <x v="0"/>
    <x v="14"/>
    <x v="4"/>
    <x v="0"/>
    <x v="12"/>
    <x v="0"/>
    <x v="3"/>
    <x v="2"/>
    <x v="2"/>
    <x v="2"/>
    <x v="2"/>
    <x v="2"/>
    <x v="2"/>
    <x v="2"/>
    <x v="2"/>
    <x v="2"/>
    <x v="2"/>
    <x v="2"/>
    <x v="2"/>
    <x v="2"/>
    <x v="2"/>
    <x v="2"/>
    <x v="2"/>
    <x v="2"/>
    <x v="2"/>
    <n v="0"/>
    <n v="0"/>
    <n v="0"/>
    <n v="0"/>
    <n v="0"/>
    <n v="0"/>
  </r>
  <r>
    <x v="24"/>
    <x v="0"/>
    <x v="14"/>
    <x v="4"/>
    <x v="2"/>
    <x v="0"/>
    <x v="0"/>
    <x v="124"/>
    <x v="139"/>
    <x v="0"/>
    <x v="0"/>
    <x v="0"/>
    <x v="0"/>
    <x v="0"/>
    <x v="0"/>
    <x v="0"/>
    <x v="0"/>
    <x v="0"/>
    <x v="0"/>
    <x v="0"/>
    <x v="0"/>
    <x v="0"/>
    <x v="0"/>
    <x v="0"/>
    <x v="0"/>
    <x v="0"/>
    <m/>
    <m/>
    <m/>
    <m/>
    <m/>
    <m/>
  </r>
  <r>
    <x v="24"/>
    <x v="0"/>
    <x v="14"/>
    <x v="4"/>
    <x v="2"/>
    <x v="1"/>
    <x v="0"/>
    <x v="125"/>
    <x v="140"/>
    <x v="58"/>
    <x v="63"/>
    <x v="65"/>
    <x v="70"/>
    <x v="66"/>
    <x v="64"/>
    <x v="68"/>
    <x v="66"/>
    <x v="67"/>
    <x v="62"/>
    <x v="65"/>
    <x v="65"/>
    <x v="65"/>
    <x v="63"/>
    <x v="58"/>
    <x v="55"/>
    <x v="55"/>
    <n v="919"/>
    <n v="919"/>
    <n v="318"/>
    <n v="187"/>
    <n v="136"/>
    <n v="135"/>
  </r>
  <r>
    <x v="24"/>
    <x v="0"/>
    <x v="14"/>
    <x v="4"/>
    <x v="2"/>
    <x v="2"/>
    <x v="0"/>
    <x v="3"/>
    <x v="3"/>
    <x v="0"/>
    <x v="0"/>
    <x v="0"/>
    <x v="0"/>
    <x v="0"/>
    <x v="0"/>
    <x v="0"/>
    <x v="0"/>
    <x v="0"/>
    <x v="0"/>
    <x v="0"/>
    <x v="0"/>
    <x v="0"/>
    <x v="0"/>
    <x v="0"/>
    <x v="0"/>
    <x v="0"/>
    <m/>
    <m/>
    <m/>
    <m/>
    <m/>
    <m/>
  </r>
  <r>
    <x v="24"/>
    <x v="0"/>
    <x v="14"/>
    <x v="4"/>
    <x v="2"/>
    <x v="3"/>
    <x v="0"/>
    <x v="3"/>
    <x v="3"/>
    <x v="0"/>
    <x v="0"/>
    <x v="0"/>
    <x v="0"/>
    <x v="0"/>
    <x v="0"/>
    <x v="0"/>
    <x v="0"/>
    <x v="0"/>
    <x v="0"/>
    <x v="0"/>
    <x v="0"/>
    <x v="0"/>
    <x v="0"/>
    <x v="0"/>
    <x v="0"/>
    <x v="0"/>
    <m/>
    <m/>
    <m/>
    <m/>
    <m/>
    <m/>
  </r>
  <r>
    <x v="24"/>
    <x v="0"/>
    <x v="14"/>
    <x v="4"/>
    <x v="2"/>
    <x v="4"/>
    <x v="0"/>
    <x v="3"/>
    <x v="3"/>
    <x v="0"/>
    <x v="0"/>
    <x v="0"/>
    <x v="0"/>
    <x v="0"/>
    <x v="0"/>
    <x v="0"/>
    <x v="0"/>
    <x v="0"/>
    <x v="0"/>
    <x v="0"/>
    <x v="0"/>
    <x v="0"/>
    <x v="0"/>
    <x v="0"/>
    <x v="0"/>
    <x v="0"/>
    <m/>
    <m/>
    <m/>
    <m/>
    <m/>
    <m/>
  </r>
  <r>
    <x v="24"/>
    <x v="0"/>
    <x v="14"/>
    <x v="4"/>
    <x v="2"/>
    <x v="5"/>
    <x v="0"/>
    <x v="3"/>
    <x v="3"/>
    <x v="0"/>
    <x v="0"/>
    <x v="0"/>
    <x v="0"/>
    <x v="0"/>
    <x v="0"/>
    <x v="0"/>
    <x v="0"/>
    <x v="0"/>
    <x v="0"/>
    <x v="0"/>
    <x v="0"/>
    <x v="0"/>
    <x v="0"/>
    <x v="0"/>
    <x v="0"/>
    <x v="0"/>
    <m/>
    <m/>
    <m/>
    <m/>
    <m/>
    <m/>
  </r>
  <r>
    <x v="24"/>
    <x v="0"/>
    <x v="14"/>
    <x v="4"/>
    <x v="2"/>
    <x v="6"/>
    <x v="0"/>
    <x v="2"/>
    <x v="2"/>
    <x v="2"/>
    <x v="2"/>
    <x v="2"/>
    <x v="2"/>
    <x v="2"/>
    <x v="2"/>
    <x v="2"/>
    <x v="2"/>
    <x v="2"/>
    <x v="2"/>
    <x v="2"/>
    <x v="2"/>
    <x v="2"/>
    <x v="2"/>
    <x v="2"/>
    <x v="2"/>
    <x v="2"/>
    <n v="0"/>
    <n v="0"/>
    <n v="0"/>
    <n v="0"/>
    <n v="0"/>
    <n v="0"/>
  </r>
  <r>
    <x v="24"/>
    <x v="0"/>
    <x v="14"/>
    <x v="4"/>
    <x v="2"/>
    <x v="7"/>
    <x v="0"/>
    <x v="3"/>
    <x v="3"/>
    <x v="0"/>
    <x v="0"/>
    <x v="0"/>
    <x v="0"/>
    <x v="0"/>
    <x v="0"/>
    <x v="0"/>
    <x v="0"/>
    <x v="0"/>
    <x v="0"/>
    <x v="0"/>
    <x v="0"/>
    <x v="0"/>
    <x v="0"/>
    <x v="0"/>
    <x v="0"/>
    <x v="0"/>
    <m/>
    <m/>
    <m/>
    <m/>
    <m/>
    <m/>
  </r>
  <r>
    <x v="24"/>
    <x v="0"/>
    <x v="14"/>
    <x v="4"/>
    <x v="2"/>
    <x v="8"/>
    <x v="0"/>
    <x v="2"/>
    <x v="3"/>
    <x v="0"/>
    <x v="0"/>
    <x v="0"/>
    <x v="0"/>
    <x v="0"/>
    <x v="0"/>
    <x v="0"/>
    <x v="0"/>
    <x v="0"/>
    <x v="0"/>
    <x v="0"/>
    <x v="0"/>
    <x v="0"/>
    <x v="0"/>
    <x v="0"/>
    <x v="0"/>
    <x v="0"/>
    <m/>
    <m/>
    <m/>
    <m/>
    <m/>
    <m/>
  </r>
  <r>
    <x v="24"/>
    <x v="0"/>
    <x v="14"/>
    <x v="4"/>
    <x v="2"/>
    <x v="9"/>
    <x v="0"/>
    <x v="2"/>
    <x v="3"/>
    <x v="0"/>
    <x v="0"/>
    <x v="0"/>
    <x v="0"/>
    <x v="0"/>
    <x v="0"/>
    <x v="0"/>
    <x v="0"/>
    <x v="0"/>
    <x v="0"/>
    <x v="0"/>
    <x v="0"/>
    <x v="0"/>
    <x v="0"/>
    <x v="0"/>
    <x v="0"/>
    <x v="0"/>
    <m/>
    <m/>
    <m/>
    <m/>
    <m/>
    <m/>
  </r>
  <r>
    <x v="24"/>
    <x v="0"/>
    <x v="14"/>
    <x v="4"/>
    <x v="2"/>
    <x v="10"/>
    <x v="0"/>
    <x v="3"/>
    <x v="3"/>
    <x v="0"/>
    <x v="0"/>
    <x v="0"/>
    <x v="0"/>
    <x v="0"/>
    <x v="0"/>
    <x v="0"/>
    <x v="0"/>
    <x v="0"/>
    <x v="0"/>
    <x v="0"/>
    <x v="0"/>
    <x v="0"/>
    <x v="0"/>
    <x v="0"/>
    <x v="0"/>
    <x v="0"/>
    <m/>
    <m/>
    <m/>
    <m/>
    <m/>
    <m/>
  </r>
  <r>
    <x v="24"/>
    <x v="0"/>
    <x v="14"/>
    <x v="4"/>
    <x v="2"/>
    <x v="11"/>
    <x v="0"/>
    <x v="3"/>
    <x v="141"/>
    <x v="59"/>
    <x v="64"/>
    <x v="66"/>
    <x v="71"/>
    <x v="67"/>
    <x v="65"/>
    <x v="69"/>
    <x v="67"/>
    <x v="68"/>
    <x v="63"/>
    <x v="66"/>
    <x v="44"/>
    <x v="66"/>
    <x v="64"/>
    <x v="59"/>
    <x v="56"/>
    <x v="56"/>
    <n v="-14660"/>
    <n v="-15579"/>
    <n v="-15897"/>
    <n v="-16084"/>
    <n v="-16220"/>
    <n v="-16355"/>
  </r>
  <r>
    <x v="24"/>
    <x v="0"/>
    <x v="14"/>
    <x v="4"/>
    <x v="2"/>
    <x v="12"/>
    <x v="0"/>
    <x v="3"/>
    <x v="2"/>
    <x v="2"/>
    <x v="2"/>
    <x v="2"/>
    <x v="2"/>
    <x v="2"/>
    <x v="2"/>
    <x v="2"/>
    <x v="2"/>
    <x v="2"/>
    <x v="2"/>
    <x v="2"/>
    <x v="2"/>
    <x v="2"/>
    <x v="2"/>
    <x v="2"/>
    <x v="2"/>
    <x v="2"/>
    <n v="0"/>
    <n v="0"/>
    <n v="0"/>
    <n v="0"/>
    <n v="0"/>
    <n v="0"/>
  </r>
  <r>
    <x v="25"/>
    <x v="0"/>
    <x v="14"/>
    <x v="2"/>
    <x v="0"/>
    <x v="0"/>
    <x v="0"/>
    <x v="126"/>
    <x v="142"/>
    <x v="0"/>
    <x v="0"/>
    <x v="0"/>
    <x v="0"/>
    <x v="0"/>
    <x v="0"/>
    <x v="0"/>
    <x v="0"/>
    <x v="0"/>
    <x v="0"/>
    <x v="0"/>
    <x v="0"/>
    <x v="0"/>
    <x v="0"/>
    <x v="0"/>
    <x v="0"/>
    <x v="0"/>
    <m/>
    <m/>
    <m/>
    <m/>
    <m/>
    <m/>
  </r>
  <r>
    <x v="25"/>
    <x v="0"/>
    <x v="14"/>
    <x v="2"/>
    <x v="0"/>
    <x v="1"/>
    <x v="0"/>
    <x v="127"/>
    <x v="143"/>
    <x v="60"/>
    <x v="65"/>
    <x v="67"/>
    <x v="72"/>
    <x v="68"/>
    <x v="66"/>
    <x v="70"/>
    <x v="68"/>
    <x v="69"/>
    <x v="64"/>
    <x v="67"/>
    <x v="66"/>
    <x v="67"/>
    <x v="65"/>
    <x v="60"/>
    <x v="57"/>
    <x v="57"/>
    <n v="13160.75"/>
    <n v="13207.5"/>
    <n v="12733.5"/>
    <n v="11328.75"/>
    <n v="10867.75"/>
    <n v="10864.75"/>
  </r>
  <r>
    <x v="25"/>
    <x v="0"/>
    <x v="14"/>
    <x v="2"/>
    <x v="0"/>
    <x v="2"/>
    <x v="0"/>
    <x v="128"/>
    <x v="144"/>
    <x v="0"/>
    <x v="0"/>
    <x v="0"/>
    <x v="0"/>
    <x v="0"/>
    <x v="0"/>
    <x v="0"/>
    <x v="0"/>
    <x v="0"/>
    <x v="0"/>
    <x v="0"/>
    <x v="0"/>
    <x v="0"/>
    <x v="0"/>
    <x v="0"/>
    <x v="0"/>
    <x v="0"/>
    <m/>
    <m/>
    <m/>
    <m/>
    <m/>
    <m/>
  </r>
  <r>
    <x v="25"/>
    <x v="0"/>
    <x v="14"/>
    <x v="2"/>
    <x v="0"/>
    <x v="3"/>
    <x v="0"/>
    <x v="2"/>
    <x v="2"/>
    <x v="0"/>
    <x v="0"/>
    <x v="0"/>
    <x v="0"/>
    <x v="0"/>
    <x v="0"/>
    <x v="0"/>
    <x v="0"/>
    <x v="0"/>
    <x v="0"/>
    <x v="0"/>
    <x v="0"/>
    <x v="0"/>
    <x v="0"/>
    <x v="0"/>
    <x v="0"/>
    <x v="0"/>
    <m/>
    <m/>
    <m/>
    <m/>
    <m/>
    <m/>
  </r>
  <r>
    <x v="25"/>
    <x v="0"/>
    <x v="14"/>
    <x v="2"/>
    <x v="0"/>
    <x v="4"/>
    <x v="0"/>
    <x v="129"/>
    <x v="145"/>
    <x v="0"/>
    <x v="0"/>
    <x v="0"/>
    <x v="0"/>
    <x v="0"/>
    <x v="0"/>
    <x v="0"/>
    <x v="0"/>
    <x v="0"/>
    <x v="0"/>
    <x v="0"/>
    <x v="0"/>
    <x v="0"/>
    <x v="0"/>
    <x v="0"/>
    <x v="0"/>
    <x v="0"/>
    <m/>
    <m/>
    <m/>
    <m/>
    <m/>
    <m/>
  </r>
  <r>
    <x v="25"/>
    <x v="0"/>
    <x v="14"/>
    <x v="2"/>
    <x v="0"/>
    <x v="5"/>
    <x v="0"/>
    <x v="3"/>
    <x v="3"/>
    <x v="0"/>
    <x v="0"/>
    <x v="0"/>
    <x v="0"/>
    <x v="0"/>
    <x v="0"/>
    <x v="0"/>
    <x v="0"/>
    <x v="0"/>
    <x v="0"/>
    <x v="0"/>
    <x v="0"/>
    <x v="0"/>
    <x v="0"/>
    <x v="0"/>
    <x v="0"/>
    <x v="0"/>
    <m/>
    <m/>
    <m/>
    <m/>
    <m/>
    <m/>
  </r>
  <r>
    <x v="25"/>
    <x v="0"/>
    <x v="14"/>
    <x v="2"/>
    <x v="0"/>
    <x v="6"/>
    <x v="0"/>
    <x v="130"/>
    <x v="146"/>
    <x v="2"/>
    <x v="66"/>
    <x v="2"/>
    <x v="2"/>
    <x v="42"/>
    <x v="41"/>
    <x v="2"/>
    <x v="2"/>
    <x v="42"/>
    <x v="2"/>
    <x v="68"/>
    <x v="2"/>
    <x v="2"/>
    <x v="2"/>
    <x v="2"/>
    <x v="2"/>
    <x v="2"/>
    <n v="0"/>
    <n v="0"/>
    <n v="0"/>
    <n v="0"/>
    <n v="0"/>
    <n v="0"/>
  </r>
  <r>
    <x v="25"/>
    <x v="0"/>
    <x v="14"/>
    <x v="2"/>
    <x v="0"/>
    <x v="7"/>
    <x v="0"/>
    <x v="130"/>
    <x v="146"/>
    <x v="0"/>
    <x v="66"/>
    <x v="0"/>
    <x v="0"/>
    <x v="42"/>
    <x v="41"/>
    <x v="0"/>
    <x v="0"/>
    <x v="42"/>
    <x v="0"/>
    <x v="68"/>
    <x v="0"/>
    <x v="0"/>
    <x v="0"/>
    <x v="0"/>
    <x v="0"/>
    <x v="0"/>
    <m/>
    <m/>
    <m/>
    <m/>
    <m/>
    <m/>
  </r>
  <r>
    <x v="25"/>
    <x v="0"/>
    <x v="14"/>
    <x v="2"/>
    <x v="0"/>
    <x v="8"/>
    <x v="0"/>
    <x v="2"/>
    <x v="3"/>
    <x v="0"/>
    <x v="0"/>
    <x v="0"/>
    <x v="0"/>
    <x v="0"/>
    <x v="0"/>
    <x v="0"/>
    <x v="0"/>
    <x v="0"/>
    <x v="0"/>
    <x v="0"/>
    <x v="0"/>
    <x v="0"/>
    <x v="0"/>
    <x v="0"/>
    <x v="0"/>
    <x v="0"/>
    <m/>
    <m/>
    <m/>
    <m/>
    <m/>
    <m/>
  </r>
  <r>
    <x v="25"/>
    <x v="0"/>
    <x v="14"/>
    <x v="2"/>
    <x v="0"/>
    <x v="9"/>
    <x v="0"/>
    <x v="2"/>
    <x v="3"/>
    <x v="0"/>
    <x v="0"/>
    <x v="0"/>
    <x v="0"/>
    <x v="0"/>
    <x v="0"/>
    <x v="0"/>
    <x v="0"/>
    <x v="0"/>
    <x v="0"/>
    <x v="0"/>
    <x v="0"/>
    <x v="0"/>
    <x v="0"/>
    <x v="0"/>
    <x v="0"/>
    <x v="0"/>
    <m/>
    <m/>
    <m/>
    <m/>
    <m/>
    <m/>
  </r>
  <r>
    <x v="25"/>
    <x v="0"/>
    <x v="14"/>
    <x v="2"/>
    <x v="0"/>
    <x v="10"/>
    <x v="0"/>
    <x v="130"/>
    <x v="146"/>
    <x v="0"/>
    <x v="66"/>
    <x v="0"/>
    <x v="0"/>
    <x v="42"/>
    <x v="41"/>
    <x v="0"/>
    <x v="0"/>
    <x v="42"/>
    <x v="0"/>
    <x v="68"/>
    <x v="0"/>
    <x v="0"/>
    <x v="0"/>
    <x v="0"/>
    <x v="0"/>
    <x v="0"/>
    <m/>
    <m/>
    <m/>
    <m/>
    <m/>
    <m/>
  </r>
  <r>
    <x v="25"/>
    <x v="0"/>
    <x v="14"/>
    <x v="2"/>
    <x v="0"/>
    <x v="11"/>
    <x v="0"/>
    <x v="3"/>
    <x v="147"/>
    <x v="61"/>
    <x v="67"/>
    <x v="68"/>
    <x v="73"/>
    <x v="69"/>
    <x v="67"/>
    <x v="71"/>
    <x v="69"/>
    <x v="70"/>
    <x v="65"/>
    <x v="69"/>
    <x v="67"/>
    <x v="68"/>
    <x v="66"/>
    <x v="61"/>
    <x v="58"/>
    <x v="58"/>
    <n v="-95523.25"/>
    <n v="-108730.75"/>
    <n v="-121464.25"/>
    <n v="-132793"/>
    <n v="-143660.75"/>
    <n v="-154525.5"/>
  </r>
  <r>
    <x v="25"/>
    <x v="0"/>
    <x v="14"/>
    <x v="2"/>
    <x v="0"/>
    <x v="12"/>
    <x v="0"/>
    <x v="3"/>
    <x v="2"/>
    <x v="2"/>
    <x v="2"/>
    <x v="2"/>
    <x v="2"/>
    <x v="2"/>
    <x v="2"/>
    <x v="2"/>
    <x v="2"/>
    <x v="2"/>
    <x v="2"/>
    <x v="2"/>
    <x v="2"/>
    <x v="2"/>
    <x v="2"/>
    <x v="2"/>
    <x v="2"/>
    <x v="2"/>
    <n v="0"/>
    <n v="0"/>
    <n v="0"/>
    <n v="0"/>
    <n v="0"/>
    <n v="0"/>
  </r>
  <r>
    <x v="26"/>
    <x v="0"/>
    <x v="14"/>
    <x v="1"/>
    <x v="0"/>
    <x v="0"/>
    <x v="0"/>
    <x v="131"/>
    <x v="148"/>
    <x v="0"/>
    <x v="0"/>
    <x v="0"/>
    <x v="0"/>
    <x v="0"/>
    <x v="0"/>
    <x v="0"/>
    <x v="0"/>
    <x v="0"/>
    <x v="0"/>
    <x v="0"/>
    <x v="0"/>
    <x v="0"/>
    <x v="0"/>
    <x v="0"/>
    <x v="0"/>
    <x v="0"/>
    <m/>
    <m/>
    <m/>
    <m/>
    <m/>
    <m/>
  </r>
  <r>
    <x v="26"/>
    <x v="0"/>
    <x v="14"/>
    <x v="1"/>
    <x v="0"/>
    <x v="1"/>
    <x v="0"/>
    <x v="132"/>
    <x v="149"/>
    <x v="62"/>
    <x v="68"/>
    <x v="69"/>
    <x v="74"/>
    <x v="70"/>
    <x v="68"/>
    <x v="72"/>
    <x v="12"/>
    <x v="71"/>
    <x v="66"/>
    <x v="70"/>
    <x v="68"/>
    <x v="69"/>
    <x v="67"/>
    <x v="62"/>
    <x v="59"/>
    <x v="59"/>
    <n v="7020.75"/>
    <n v="6805.5"/>
    <n v="6700.5"/>
    <n v="6404.75"/>
    <n v="6081.75"/>
    <n v="6081.75"/>
  </r>
  <r>
    <x v="26"/>
    <x v="0"/>
    <x v="14"/>
    <x v="1"/>
    <x v="0"/>
    <x v="2"/>
    <x v="0"/>
    <x v="133"/>
    <x v="150"/>
    <x v="0"/>
    <x v="0"/>
    <x v="0"/>
    <x v="0"/>
    <x v="0"/>
    <x v="0"/>
    <x v="0"/>
    <x v="0"/>
    <x v="0"/>
    <x v="0"/>
    <x v="0"/>
    <x v="0"/>
    <x v="0"/>
    <x v="0"/>
    <x v="0"/>
    <x v="0"/>
    <x v="0"/>
    <m/>
    <m/>
    <m/>
    <m/>
    <m/>
    <m/>
  </r>
  <r>
    <x v="26"/>
    <x v="0"/>
    <x v="14"/>
    <x v="1"/>
    <x v="0"/>
    <x v="3"/>
    <x v="0"/>
    <x v="2"/>
    <x v="2"/>
    <x v="0"/>
    <x v="0"/>
    <x v="0"/>
    <x v="0"/>
    <x v="0"/>
    <x v="0"/>
    <x v="0"/>
    <x v="0"/>
    <x v="0"/>
    <x v="0"/>
    <x v="0"/>
    <x v="0"/>
    <x v="0"/>
    <x v="0"/>
    <x v="0"/>
    <x v="0"/>
    <x v="0"/>
    <m/>
    <m/>
    <m/>
    <m/>
    <m/>
    <m/>
  </r>
  <r>
    <x v="26"/>
    <x v="0"/>
    <x v="14"/>
    <x v="1"/>
    <x v="0"/>
    <x v="4"/>
    <x v="0"/>
    <x v="18"/>
    <x v="19"/>
    <x v="0"/>
    <x v="0"/>
    <x v="0"/>
    <x v="0"/>
    <x v="0"/>
    <x v="0"/>
    <x v="0"/>
    <x v="0"/>
    <x v="0"/>
    <x v="0"/>
    <x v="0"/>
    <x v="0"/>
    <x v="0"/>
    <x v="0"/>
    <x v="0"/>
    <x v="0"/>
    <x v="0"/>
    <m/>
    <m/>
    <m/>
    <m/>
    <m/>
    <m/>
  </r>
  <r>
    <x v="26"/>
    <x v="0"/>
    <x v="14"/>
    <x v="1"/>
    <x v="0"/>
    <x v="5"/>
    <x v="0"/>
    <x v="3"/>
    <x v="3"/>
    <x v="0"/>
    <x v="0"/>
    <x v="0"/>
    <x v="0"/>
    <x v="0"/>
    <x v="0"/>
    <x v="0"/>
    <x v="0"/>
    <x v="0"/>
    <x v="0"/>
    <x v="0"/>
    <x v="0"/>
    <x v="0"/>
    <x v="0"/>
    <x v="0"/>
    <x v="0"/>
    <x v="0"/>
    <m/>
    <m/>
    <m/>
    <m/>
    <m/>
    <m/>
  </r>
  <r>
    <x v="26"/>
    <x v="0"/>
    <x v="14"/>
    <x v="1"/>
    <x v="0"/>
    <x v="6"/>
    <x v="0"/>
    <x v="134"/>
    <x v="2"/>
    <x v="2"/>
    <x v="2"/>
    <x v="2"/>
    <x v="2"/>
    <x v="71"/>
    <x v="2"/>
    <x v="73"/>
    <x v="2"/>
    <x v="72"/>
    <x v="2"/>
    <x v="71"/>
    <x v="2"/>
    <x v="70"/>
    <x v="68"/>
    <x v="2"/>
    <x v="2"/>
    <x v="2"/>
    <n v="0"/>
    <n v="0"/>
    <n v="0"/>
    <n v="0"/>
    <n v="0"/>
    <n v="0"/>
  </r>
  <r>
    <x v="26"/>
    <x v="0"/>
    <x v="14"/>
    <x v="1"/>
    <x v="0"/>
    <x v="7"/>
    <x v="0"/>
    <x v="134"/>
    <x v="3"/>
    <x v="0"/>
    <x v="0"/>
    <x v="0"/>
    <x v="0"/>
    <x v="71"/>
    <x v="0"/>
    <x v="73"/>
    <x v="0"/>
    <x v="72"/>
    <x v="0"/>
    <x v="71"/>
    <x v="0"/>
    <x v="70"/>
    <x v="68"/>
    <x v="0"/>
    <x v="0"/>
    <x v="0"/>
    <m/>
    <m/>
    <m/>
    <m/>
    <m/>
    <m/>
  </r>
  <r>
    <x v="26"/>
    <x v="0"/>
    <x v="14"/>
    <x v="1"/>
    <x v="0"/>
    <x v="8"/>
    <x v="0"/>
    <x v="2"/>
    <x v="3"/>
    <x v="0"/>
    <x v="0"/>
    <x v="0"/>
    <x v="0"/>
    <x v="0"/>
    <x v="0"/>
    <x v="0"/>
    <x v="0"/>
    <x v="0"/>
    <x v="0"/>
    <x v="0"/>
    <x v="0"/>
    <x v="0"/>
    <x v="0"/>
    <x v="0"/>
    <x v="0"/>
    <x v="0"/>
    <m/>
    <m/>
    <m/>
    <m/>
    <m/>
    <m/>
  </r>
  <r>
    <x v="26"/>
    <x v="0"/>
    <x v="14"/>
    <x v="1"/>
    <x v="0"/>
    <x v="9"/>
    <x v="0"/>
    <x v="2"/>
    <x v="3"/>
    <x v="0"/>
    <x v="0"/>
    <x v="0"/>
    <x v="0"/>
    <x v="0"/>
    <x v="0"/>
    <x v="0"/>
    <x v="0"/>
    <x v="0"/>
    <x v="0"/>
    <x v="0"/>
    <x v="0"/>
    <x v="0"/>
    <x v="0"/>
    <x v="0"/>
    <x v="0"/>
    <x v="0"/>
    <m/>
    <m/>
    <m/>
    <m/>
    <m/>
    <m/>
  </r>
  <r>
    <x v="26"/>
    <x v="0"/>
    <x v="14"/>
    <x v="1"/>
    <x v="0"/>
    <x v="10"/>
    <x v="0"/>
    <x v="134"/>
    <x v="3"/>
    <x v="0"/>
    <x v="0"/>
    <x v="0"/>
    <x v="0"/>
    <x v="71"/>
    <x v="0"/>
    <x v="73"/>
    <x v="0"/>
    <x v="72"/>
    <x v="0"/>
    <x v="71"/>
    <x v="0"/>
    <x v="70"/>
    <x v="68"/>
    <x v="0"/>
    <x v="0"/>
    <x v="0"/>
    <m/>
    <m/>
    <m/>
    <m/>
    <m/>
    <m/>
  </r>
  <r>
    <x v="26"/>
    <x v="0"/>
    <x v="14"/>
    <x v="1"/>
    <x v="0"/>
    <x v="11"/>
    <x v="0"/>
    <x v="3"/>
    <x v="151"/>
    <x v="63"/>
    <x v="69"/>
    <x v="70"/>
    <x v="75"/>
    <x v="72"/>
    <x v="69"/>
    <x v="74"/>
    <x v="70"/>
    <x v="73"/>
    <x v="67"/>
    <x v="72"/>
    <x v="69"/>
    <x v="71"/>
    <x v="69"/>
    <x v="63"/>
    <x v="60"/>
    <x v="60"/>
    <n v="-31035.25"/>
    <n v="-37840.75"/>
    <n v="-44541.25"/>
    <n v="-50946"/>
    <n v="-57027.75"/>
    <n v="-63109.5"/>
  </r>
  <r>
    <x v="26"/>
    <x v="0"/>
    <x v="14"/>
    <x v="1"/>
    <x v="0"/>
    <x v="12"/>
    <x v="0"/>
    <x v="3"/>
    <x v="2"/>
    <x v="2"/>
    <x v="2"/>
    <x v="2"/>
    <x v="2"/>
    <x v="2"/>
    <x v="2"/>
    <x v="2"/>
    <x v="2"/>
    <x v="2"/>
    <x v="2"/>
    <x v="2"/>
    <x v="2"/>
    <x v="2"/>
    <x v="2"/>
    <x v="2"/>
    <x v="2"/>
    <x v="2"/>
    <n v="0"/>
    <n v="0"/>
    <n v="0"/>
    <n v="0"/>
    <n v="0"/>
    <n v="0"/>
  </r>
  <r>
    <x v="27"/>
    <x v="0"/>
    <x v="14"/>
    <x v="0"/>
    <x v="0"/>
    <x v="0"/>
    <x v="0"/>
    <x v="135"/>
    <x v="152"/>
    <x v="0"/>
    <x v="0"/>
    <x v="0"/>
    <x v="0"/>
    <x v="0"/>
    <x v="0"/>
    <x v="0"/>
    <x v="0"/>
    <x v="0"/>
    <x v="0"/>
    <x v="0"/>
    <x v="0"/>
    <x v="0"/>
    <x v="0"/>
    <x v="0"/>
    <x v="0"/>
    <x v="0"/>
    <m/>
    <m/>
    <m/>
    <m/>
    <m/>
    <m/>
  </r>
  <r>
    <x v="27"/>
    <x v="0"/>
    <x v="14"/>
    <x v="0"/>
    <x v="0"/>
    <x v="1"/>
    <x v="0"/>
    <x v="136"/>
    <x v="153"/>
    <x v="64"/>
    <x v="70"/>
    <x v="71"/>
    <x v="76"/>
    <x v="73"/>
    <x v="70"/>
    <x v="75"/>
    <x v="71"/>
    <x v="74"/>
    <x v="68"/>
    <x v="73"/>
    <x v="70"/>
    <x v="72"/>
    <x v="70"/>
    <x v="64"/>
    <x v="61"/>
    <x v="61"/>
    <n v="1337.75"/>
    <n v="1337.5"/>
    <n v="1337.5"/>
    <n v="1048.75"/>
    <n v="933.75"/>
    <n v="932.75"/>
  </r>
  <r>
    <x v="27"/>
    <x v="0"/>
    <x v="14"/>
    <x v="0"/>
    <x v="0"/>
    <x v="2"/>
    <x v="0"/>
    <x v="137"/>
    <x v="154"/>
    <x v="0"/>
    <x v="0"/>
    <x v="0"/>
    <x v="0"/>
    <x v="0"/>
    <x v="0"/>
    <x v="0"/>
    <x v="0"/>
    <x v="0"/>
    <x v="0"/>
    <x v="0"/>
    <x v="0"/>
    <x v="0"/>
    <x v="0"/>
    <x v="0"/>
    <x v="0"/>
    <x v="0"/>
    <m/>
    <m/>
    <m/>
    <m/>
    <m/>
    <m/>
  </r>
  <r>
    <x v="27"/>
    <x v="0"/>
    <x v="14"/>
    <x v="0"/>
    <x v="0"/>
    <x v="3"/>
    <x v="0"/>
    <x v="2"/>
    <x v="2"/>
    <x v="0"/>
    <x v="0"/>
    <x v="0"/>
    <x v="0"/>
    <x v="0"/>
    <x v="0"/>
    <x v="0"/>
    <x v="0"/>
    <x v="0"/>
    <x v="0"/>
    <x v="0"/>
    <x v="0"/>
    <x v="0"/>
    <x v="0"/>
    <x v="0"/>
    <x v="0"/>
    <x v="0"/>
    <m/>
    <m/>
    <m/>
    <m/>
    <m/>
    <m/>
  </r>
  <r>
    <x v="27"/>
    <x v="0"/>
    <x v="14"/>
    <x v="0"/>
    <x v="0"/>
    <x v="4"/>
    <x v="0"/>
    <x v="2"/>
    <x v="2"/>
    <x v="0"/>
    <x v="0"/>
    <x v="0"/>
    <x v="0"/>
    <x v="0"/>
    <x v="0"/>
    <x v="0"/>
    <x v="0"/>
    <x v="0"/>
    <x v="0"/>
    <x v="0"/>
    <x v="0"/>
    <x v="0"/>
    <x v="0"/>
    <x v="0"/>
    <x v="0"/>
    <x v="0"/>
    <m/>
    <m/>
    <m/>
    <m/>
    <m/>
    <m/>
  </r>
  <r>
    <x v="27"/>
    <x v="0"/>
    <x v="14"/>
    <x v="0"/>
    <x v="0"/>
    <x v="5"/>
    <x v="0"/>
    <x v="3"/>
    <x v="3"/>
    <x v="0"/>
    <x v="0"/>
    <x v="0"/>
    <x v="0"/>
    <x v="0"/>
    <x v="0"/>
    <x v="0"/>
    <x v="0"/>
    <x v="0"/>
    <x v="0"/>
    <x v="0"/>
    <x v="0"/>
    <x v="0"/>
    <x v="0"/>
    <x v="0"/>
    <x v="0"/>
    <x v="0"/>
    <m/>
    <m/>
    <m/>
    <m/>
    <m/>
    <m/>
  </r>
  <r>
    <x v="27"/>
    <x v="0"/>
    <x v="14"/>
    <x v="0"/>
    <x v="0"/>
    <x v="6"/>
    <x v="0"/>
    <x v="2"/>
    <x v="2"/>
    <x v="2"/>
    <x v="2"/>
    <x v="2"/>
    <x v="2"/>
    <x v="2"/>
    <x v="2"/>
    <x v="2"/>
    <x v="2"/>
    <x v="2"/>
    <x v="2"/>
    <x v="2"/>
    <x v="2"/>
    <x v="2"/>
    <x v="2"/>
    <x v="2"/>
    <x v="2"/>
    <x v="2"/>
    <n v="0"/>
    <n v="0"/>
    <n v="0"/>
    <n v="0"/>
    <n v="0"/>
    <n v="0"/>
  </r>
  <r>
    <x v="27"/>
    <x v="0"/>
    <x v="14"/>
    <x v="0"/>
    <x v="0"/>
    <x v="7"/>
    <x v="0"/>
    <x v="3"/>
    <x v="3"/>
    <x v="0"/>
    <x v="0"/>
    <x v="0"/>
    <x v="0"/>
    <x v="0"/>
    <x v="0"/>
    <x v="0"/>
    <x v="0"/>
    <x v="0"/>
    <x v="0"/>
    <x v="0"/>
    <x v="0"/>
    <x v="0"/>
    <x v="0"/>
    <x v="0"/>
    <x v="0"/>
    <x v="0"/>
    <m/>
    <m/>
    <m/>
    <m/>
    <m/>
    <m/>
  </r>
  <r>
    <x v="27"/>
    <x v="0"/>
    <x v="14"/>
    <x v="0"/>
    <x v="0"/>
    <x v="8"/>
    <x v="0"/>
    <x v="2"/>
    <x v="3"/>
    <x v="0"/>
    <x v="0"/>
    <x v="0"/>
    <x v="0"/>
    <x v="0"/>
    <x v="0"/>
    <x v="0"/>
    <x v="0"/>
    <x v="0"/>
    <x v="0"/>
    <x v="0"/>
    <x v="0"/>
    <x v="0"/>
    <x v="0"/>
    <x v="0"/>
    <x v="0"/>
    <x v="0"/>
    <m/>
    <m/>
    <m/>
    <m/>
    <m/>
    <m/>
  </r>
  <r>
    <x v="27"/>
    <x v="0"/>
    <x v="14"/>
    <x v="0"/>
    <x v="0"/>
    <x v="9"/>
    <x v="0"/>
    <x v="2"/>
    <x v="3"/>
    <x v="0"/>
    <x v="0"/>
    <x v="0"/>
    <x v="0"/>
    <x v="0"/>
    <x v="0"/>
    <x v="0"/>
    <x v="0"/>
    <x v="0"/>
    <x v="0"/>
    <x v="0"/>
    <x v="0"/>
    <x v="0"/>
    <x v="0"/>
    <x v="0"/>
    <x v="0"/>
    <x v="0"/>
    <m/>
    <m/>
    <m/>
    <m/>
    <m/>
    <m/>
  </r>
  <r>
    <x v="27"/>
    <x v="0"/>
    <x v="14"/>
    <x v="0"/>
    <x v="0"/>
    <x v="10"/>
    <x v="0"/>
    <x v="3"/>
    <x v="3"/>
    <x v="0"/>
    <x v="0"/>
    <x v="0"/>
    <x v="0"/>
    <x v="0"/>
    <x v="0"/>
    <x v="0"/>
    <x v="0"/>
    <x v="0"/>
    <x v="0"/>
    <x v="0"/>
    <x v="0"/>
    <x v="0"/>
    <x v="0"/>
    <x v="0"/>
    <x v="0"/>
    <x v="0"/>
    <m/>
    <m/>
    <m/>
    <m/>
    <m/>
    <m/>
  </r>
  <r>
    <x v="27"/>
    <x v="0"/>
    <x v="14"/>
    <x v="0"/>
    <x v="0"/>
    <x v="11"/>
    <x v="0"/>
    <x v="3"/>
    <x v="155"/>
    <x v="65"/>
    <x v="71"/>
    <x v="72"/>
    <x v="77"/>
    <x v="74"/>
    <x v="71"/>
    <x v="76"/>
    <x v="72"/>
    <x v="75"/>
    <x v="69"/>
    <x v="74"/>
    <x v="71"/>
    <x v="73"/>
    <x v="71"/>
    <x v="65"/>
    <x v="62"/>
    <x v="62"/>
    <n v="4877.75"/>
    <n v="3540.25"/>
    <n v="2202.75"/>
    <n v="1154"/>
    <n v="220.25"/>
    <n v="-712.5"/>
  </r>
  <r>
    <x v="27"/>
    <x v="0"/>
    <x v="14"/>
    <x v="0"/>
    <x v="0"/>
    <x v="12"/>
    <x v="0"/>
    <x v="3"/>
    <x v="2"/>
    <x v="2"/>
    <x v="2"/>
    <x v="2"/>
    <x v="2"/>
    <x v="2"/>
    <x v="2"/>
    <x v="2"/>
    <x v="2"/>
    <x v="2"/>
    <x v="2"/>
    <x v="2"/>
    <x v="2"/>
    <x v="2"/>
    <x v="2"/>
    <x v="2"/>
    <x v="2"/>
    <x v="2"/>
    <n v="0"/>
    <n v="0"/>
    <n v="0"/>
    <n v="0"/>
    <n v="0"/>
    <n v="0"/>
  </r>
  <r>
    <x v="28"/>
    <x v="0"/>
    <x v="15"/>
    <x v="4"/>
    <x v="0"/>
    <x v="0"/>
    <x v="0"/>
    <x v="138"/>
    <x v="156"/>
    <x v="0"/>
    <x v="0"/>
    <x v="0"/>
    <x v="0"/>
    <x v="0"/>
    <x v="0"/>
    <x v="0"/>
    <x v="0"/>
    <x v="0"/>
    <x v="0"/>
    <x v="0"/>
    <x v="0"/>
    <x v="0"/>
    <x v="0"/>
    <x v="0"/>
    <x v="0"/>
    <x v="0"/>
    <m/>
    <m/>
    <m/>
    <m/>
    <m/>
    <m/>
  </r>
  <r>
    <x v="28"/>
    <x v="0"/>
    <x v="15"/>
    <x v="4"/>
    <x v="0"/>
    <x v="1"/>
    <x v="0"/>
    <x v="139"/>
    <x v="157"/>
    <x v="66"/>
    <x v="72"/>
    <x v="73"/>
    <x v="78"/>
    <x v="75"/>
    <x v="72"/>
    <x v="77"/>
    <x v="73"/>
    <x v="76"/>
    <x v="70"/>
    <x v="75"/>
    <x v="72"/>
    <x v="74"/>
    <x v="72"/>
    <x v="66"/>
    <x v="63"/>
    <x v="63"/>
    <n v="1425.5"/>
    <n v="1426"/>
    <n v="1423"/>
    <n v="1250.5"/>
    <n v="1191.5"/>
    <n v="1185.5"/>
  </r>
  <r>
    <x v="28"/>
    <x v="0"/>
    <x v="15"/>
    <x v="4"/>
    <x v="0"/>
    <x v="2"/>
    <x v="0"/>
    <x v="140"/>
    <x v="158"/>
    <x v="0"/>
    <x v="0"/>
    <x v="0"/>
    <x v="0"/>
    <x v="0"/>
    <x v="0"/>
    <x v="0"/>
    <x v="0"/>
    <x v="0"/>
    <x v="0"/>
    <x v="0"/>
    <x v="0"/>
    <x v="0"/>
    <x v="0"/>
    <x v="0"/>
    <x v="0"/>
    <x v="0"/>
    <m/>
    <m/>
    <m/>
    <m/>
    <m/>
    <m/>
  </r>
  <r>
    <x v="28"/>
    <x v="0"/>
    <x v="15"/>
    <x v="4"/>
    <x v="0"/>
    <x v="3"/>
    <x v="0"/>
    <x v="2"/>
    <x v="2"/>
    <x v="0"/>
    <x v="0"/>
    <x v="0"/>
    <x v="0"/>
    <x v="0"/>
    <x v="0"/>
    <x v="0"/>
    <x v="0"/>
    <x v="0"/>
    <x v="0"/>
    <x v="0"/>
    <x v="0"/>
    <x v="0"/>
    <x v="0"/>
    <x v="0"/>
    <x v="0"/>
    <x v="0"/>
    <m/>
    <m/>
    <m/>
    <m/>
    <m/>
    <m/>
  </r>
  <r>
    <x v="28"/>
    <x v="0"/>
    <x v="15"/>
    <x v="4"/>
    <x v="0"/>
    <x v="4"/>
    <x v="0"/>
    <x v="141"/>
    <x v="159"/>
    <x v="0"/>
    <x v="0"/>
    <x v="0"/>
    <x v="0"/>
    <x v="0"/>
    <x v="0"/>
    <x v="0"/>
    <x v="0"/>
    <x v="0"/>
    <x v="0"/>
    <x v="0"/>
    <x v="0"/>
    <x v="0"/>
    <x v="0"/>
    <x v="0"/>
    <x v="0"/>
    <x v="0"/>
    <m/>
    <m/>
    <m/>
    <m/>
    <m/>
    <m/>
  </r>
  <r>
    <x v="28"/>
    <x v="0"/>
    <x v="15"/>
    <x v="4"/>
    <x v="0"/>
    <x v="5"/>
    <x v="0"/>
    <x v="3"/>
    <x v="3"/>
    <x v="0"/>
    <x v="0"/>
    <x v="0"/>
    <x v="0"/>
    <x v="0"/>
    <x v="0"/>
    <x v="0"/>
    <x v="0"/>
    <x v="0"/>
    <x v="0"/>
    <x v="0"/>
    <x v="0"/>
    <x v="0"/>
    <x v="0"/>
    <x v="0"/>
    <x v="0"/>
    <x v="0"/>
    <m/>
    <m/>
    <m/>
    <m/>
    <m/>
    <m/>
  </r>
  <r>
    <x v="28"/>
    <x v="0"/>
    <x v="15"/>
    <x v="4"/>
    <x v="0"/>
    <x v="6"/>
    <x v="0"/>
    <x v="142"/>
    <x v="2"/>
    <x v="2"/>
    <x v="2"/>
    <x v="2"/>
    <x v="2"/>
    <x v="2"/>
    <x v="2"/>
    <x v="2"/>
    <x v="2"/>
    <x v="77"/>
    <x v="2"/>
    <x v="2"/>
    <x v="2"/>
    <x v="2"/>
    <x v="2"/>
    <x v="2"/>
    <x v="2"/>
    <x v="2"/>
    <n v="0"/>
    <n v="0"/>
    <n v="0"/>
    <n v="0"/>
    <n v="0"/>
    <n v="0"/>
  </r>
  <r>
    <x v="28"/>
    <x v="0"/>
    <x v="15"/>
    <x v="4"/>
    <x v="0"/>
    <x v="7"/>
    <x v="0"/>
    <x v="142"/>
    <x v="3"/>
    <x v="0"/>
    <x v="0"/>
    <x v="0"/>
    <x v="0"/>
    <x v="0"/>
    <x v="0"/>
    <x v="0"/>
    <x v="0"/>
    <x v="77"/>
    <x v="0"/>
    <x v="0"/>
    <x v="0"/>
    <x v="0"/>
    <x v="0"/>
    <x v="0"/>
    <x v="0"/>
    <x v="0"/>
    <m/>
    <m/>
    <m/>
    <m/>
    <m/>
    <m/>
  </r>
  <r>
    <x v="28"/>
    <x v="0"/>
    <x v="15"/>
    <x v="4"/>
    <x v="0"/>
    <x v="8"/>
    <x v="0"/>
    <x v="2"/>
    <x v="3"/>
    <x v="0"/>
    <x v="0"/>
    <x v="0"/>
    <x v="0"/>
    <x v="0"/>
    <x v="0"/>
    <x v="0"/>
    <x v="0"/>
    <x v="0"/>
    <x v="0"/>
    <x v="0"/>
    <x v="0"/>
    <x v="0"/>
    <x v="0"/>
    <x v="0"/>
    <x v="0"/>
    <x v="0"/>
    <m/>
    <m/>
    <m/>
    <m/>
    <m/>
    <m/>
  </r>
  <r>
    <x v="28"/>
    <x v="0"/>
    <x v="15"/>
    <x v="4"/>
    <x v="0"/>
    <x v="9"/>
    <x v="0"/>
    <x v="2"/>
    <x v="3"/>
    <x v="0"/>
    <x v="0"/>
    <x v="0"/>
    <x v="0"/>
    <x v="0"/>
    <x v="0"/>
    <x v="0"/>
    <x v="0"/>
    <x v="0"/>
    <x v="0"/>
    <x v="0"/>
    <x v="0"/>
    <x v="0"/>
    <x v="0"/>
    <x v="0"/>
    <x v="0"/>
    <x v="0"/>
    <m/>
    <m/>
    <m/>
    <m/>
    <m/>
    <m/>
  </r>
  <r>
    <x v="28"/>
    <x v="0"/>
    <x v="15"/>
    <x v="4"/>
    <x v="0"/>
    <x v="10"/>
    <x v="0"/>
    <x v="142"/>
    <x v="3"/>
    <x v="0"/>
    <x v="0"/>
    <x v="0"/>
    <x v="0"/>
    <x v="0"/>
    <x v="0"/>
    <x v="0"/>
    <x v="0"/>
    <x v="77"/>
    <x v="0"/>
    <x v="0"/>
    <x v="0"/>
    <x v="0"/>
    <x v="0"/>
    <x v="0"/>
    <x v="0"/>
    <x v="0"/>
    <m/>
    <m/>
    <m/>
    <m/>
    <m/>
    <m/>
  </r>
  <r>
    <x v="28"/>
    <x v="0"/>
    <x v="15"/>
    <x v="4"/>
    <x v="0"/>
    <x v="11"/>
    <x v="0"/>
    <x v="3"/>
    <x v="160"/>
    <x v="67"/>
    <x v="73"/>
    <x v="74"/>
    <x v="79"/>
    <x v="76"/>
    <x v="73"/>
    <x v="78"/>
    <x v="74"/>
    <x v="78"/>
    <x v="71"/>
    <x v="76"/>
    <x v="73"/>
    <x v="75"/>
    <x v="73"/>
    <x v="67"/>
    <x v="64"/>
    <x v="64"/>
    <n v="-8651.5"/>
    <n v="-10077.5"/>
    <n v="-11500.5"/>
    <n v="-12751"/>
    <n v="-13942.5"/>
    <n v="-15128"/>
  </r>
  <r>
    <x v="28"/>
    <x v="0"/>
    <x v="15"/>
    <x v="4"/>
    <x v="0"/>
    <x v="12"/>
    <x v="0"/>
    <x v="3"/>
    <x v="2"/>
    <x v="2"/>
    <x v="2"/>
    <x v="2"/>
    <x v="2"/>
    <x v="2"/>
    <x v="2"/>
    <x v="2"/>
    <x v="2"/>
    <x v="2"/>
    <x v="2"/>
    <x v="2"/>
    <x v="2"/>
    <x v="2"/>
    <x v="2"/>
    <x v="2"/>
    <x v="2"/>
    <x v="2"/>
    <n v="0"/>
    <n v="0"/>
    <n v="0"/>
    <n v="0"/>
    <n v="0"/>
    <n v="0"/>
  </r>
  <r>
    <x v="28"/>
    <x v="0"/>
    <x v="15"/>
    <x v="4"/>
    <x v="2"/>
    <x v="0"/>
    <x v="0"/>
    <x v="143"/>
    <x v="161"/>
    <x v="0"/>
    <x v="0"/>
    <x v="0"/>
    <x v="0"/>
    <x v="0"/>
    <x v="0"/>
    <x v="0"/>
    <x v="0"/>
    <x v="0"/>
    <x v="0"/>
    <x v="0"/>
    <x v="0"/>
    <x v="0"/>
    <x v="0"/>
    <x v="0"/>
    <x v="0"/>
    <x v="0"/>
    <m/>
    <m/>
    <m/>
    <m/>
    <m/>
    <m/>
  </r>
  <r>
    <x v="28"/>
    <x v="0"/>
    <x v="15"/>
    <x v="4"/>
    <x v="2"/>
    <x v="1"/>
    <x v="0"/>
    <x v="144"/>
    <x v="162"/>
    <x v="2"/>
    <x v="2"/>
    <x v="2"/>
    <x v="2"/>
    <x v="2"/>
    <x v="2"/>
    <x v="2"/>
    <x v="2"/>
    <x v="2"/>
    <x v="2"/>
    <x v="2"/>
    <x v="2"/>
    <x v="2"/>
    <x v="2"/>
    <x v="2"/>
    <x v="2"/>
    <x v="2"/>
    <n v="0"/>
    <n v="0"/>
    <n v="0"/>
    <n v="0"/>
    <n v="0"/>
    <n v="0"/>
  </r>
  <r>
    <x v="28"/>
    <x v="0"/>
    <x v="15"/>
    <x v="4"/>
    <x v="2"/>
    <x v="2"/>
    <x v="0"/>
    <x v="2"/>
    <x v="2"/>
    <x v="0"/>
    <x v="0"/>
    <x v="0"/>
    <x v="0"/>
    <x v="0"/>
    <x v="0"/>
    <x v="0"/>
    <x v="0"/>
    <x v="0"/>
    <x v="0"/>
    <x v="0"/>
    <x v="0"/>
    <x v="0"/>
    <x v="0"/>
    <x v="0"/>
    <x v="0"/>
    <x v="0"/>
    <m/>
    <m/>
    <m/>
    <m/>
    <m/>
    <m/>
  </r>
  <r>
    <x v="28"/>
    <x v="0"/>
    <x v="15"/>
    <x v="4"/>
    <x v="2"/>
    <x v="3"/>
    <x v="0"/>
    <x v="2"/>
    <x v="2"/>
    <x v="0"/>
    <x v="0"/>
    <x v="0"/>
    <x v="0"/>
    <x v="0"/>
    <x v="0"/>
    <x v="0"/>
    <x v="0"/>
    <x v="0"/>
    <x v="0"/>
    <x v="0"/>
    <x v="0"/>
    <x v="0"/>
    <x v="0"/>
    <x v="0"/>
    <x v="0"/>
    <x v="0"/>
    <m/>
    <m/>
    <m/>
    <m/>
    <m/>
    <m/>
  </r>
  <r>
    <x v="28"/>
    <x v="0"/>
    <x v="15"/>
    <x v="4"/>
    <x v="2"/>
    <x v="4"/>
    <x v="0"/>
    <x v="145"/>
    <x v="163"/>
    <x v="0"/>
    <x v="0"/>
    <x v="0"/>
    <x v="0"/>
    <x v="0"/>
    <x v="0"/>
    <x v="0"/>
    <x v="0"/>
    <x v="0"/>
    <x v="0"/>
    <x v="0"/>
    <x v="0"/>
    <x v="0"/>
    <x v="0"/>
    <x v="0"/>
    <x v="0"/>
    <x v="0"/>
    <m/>
    <m/>
    <m/>
    <m/>
    <m/>
    <m/>
  </r>
  <r>
    <x v="28"/>
    <x v="0"/>
    <x v="15"/>
    <x v="4"/>
    <x v="2"/>
    <x v="5"/>
    <x v="0"/>
    <x v="3"/>
    <x v="3"/>
    <x v="0"/>
    <x v="0"/>
    <x v="0"/>
    <x v="0"/>
    <x v="0"/>
    <x v="0"/>
    <x v="0"/>
    <x v="0"/>
    <x v="0"/>
    <x v="0"/>
    <x v="0"/>
    <x v="0"/>
    <x v="0"/>
    <x v="0"/>
    <x v="0"/>
    <x v="0"/>
    <x v="0"/>
    <m/>
    <m/>
    <m/>
    <m/>
    <m/>
    <m/>
  </r>
  <r>
    <x v="28"/>
    <x v="0"/>
    <x v="15"/>
    <x v="4"/>
    <x v="2"/>
    <x v="6"/>
    <x v="0"/>
    <x v="2"/>
    <x v="2"/>
    <x v="2"/>
    <x v="2"/>
    <x v="2"/>
    <x v="2"/>
    <x v="2"/>
    <x v="2"/>
    <x v="2"/>
    <x v="2"/>
    <x v="2"/>
    <x v="2"/>
    <x v="2"/>
    <x v="2"/>
    <x v="2"/>
    <x v="2"/>
    <x v="2"/>
    <x v="2"/>
    <x v="2"/>
    <n v="0"/>
    <n v="0"/>
    <n v="0"/>
    <n v="0"/>
    <n v="0"/>
    <n v="0"/>
  </r>
  <r>
    <x v="28"/>
    <x v="0"/>
    <x v="15"/>
    <x v="4"/>
    <x v="2"/>
    <x v="7"/>
    <x v="0"/>
    <x v="3"/>
    <x v="3"/>
    <x v="0"/>
    <x v="0"/>
    <x v="0"/>
    <x v="0"/>
    <x v="0"/>
    <x v="0"/>
    <x v="0"/>
    <x v="0"/>
    <x v="0"/>
    <x v="0"/>
    <x v="0"/>
    <x v="0"/>
    <x v="0"/>
    <x v="0"/>
    <x v="0"/>
    <x v="0"/>
    <x v="0"/>
    <m/>
    <m/>
    <m/>
    <m/>
    <m/>
    <m/>
  </r>
  <r>
    <x v="28"/>
    <x v="0"/>
    <x v="15"/>
    <x v="4"/>
    <x v="2"/>
    <x v="8"/>
    <x v="0"/>
    <x v="2"/>
    <x v="3"/>
    <x v="0"/>
    <x v="0"/>
    <x v="0"/>
    <x v="0"/>
    <x v="0"/>
    <x v="0"/>
    <x v="0"/>
    <x v="0"/>
    <x v="0"/>
    <x v="0"/>
    <x v="0"/>
    <x v="0"/>
    <x v="0"/>
    <x v="0"/>
    <x v="0"/>
    <x v="0"/>
    <x v="0"/>
    <m/>
    <m/>
    <m/>
    <m/>
    <m/>
    <m/>
  </r>
  <r>
    <x v="28"/>
    <x v="0"/>
    <x v="15"/>
    <x v="4"/>
    <x v="2"/>
    <x v="9"/>
    <x v="0"/>
    <x v="2"/>
    <x v="3"/>
    <x v="0"/>
    <x v="0"/>
    <x v="0"/>
    <x v="0"/>
    <x v="0"/>
    <x v="0"/>
    <x v="0"/>
    <x v="0"/>
    <x v="0"/>
    <x v="0"/>
    <x v="0"/>
    <x v="0"/>
    <x v="0"/>
    <x v="0"/>
    <x v="0"/>
    <x v="0"/>
    <x v="0"/>
    <m/>
    <m/>
    <m/>
    <m/>
    <m/>
    <m/>
  </r>
  <r>
    <x v="28"/>
    <x v="0"/>
    <x v="15"/>
    <x v="4"/>
    <x v="2"/>
    <x v="10"/>
    <x v="0"/>
    <x v="3"/>
    <x v="3"/>
    <x v="0"/>
    <x v="0"/>
    <x v="0"/>
    <x v="0"/>
    <x v="0"/>
    <x v="0"/>
    <x v="0"/>
    <x v="0"/>
    <x v="0"/>
    <x v="0"/>
    <x v="0"/>
    <x v="0"/>
    <x v="0"/>
    <x v="0"/>
    <x v="0"/>
    <x v="0"/>
    <x v="0"/>
    <m/>
    <m/>
    <m/>
    <m/>
    <m/>
    <m/>
  </r>
  <r>
    <x v="28"/>
    <x v="0"/>
    <x v="15"/>
    <x v="4"/>
    <x v="2"/>
    <x v="11"/>
    <x v="0"/>
    <x v="3"/>
    <x v="164"/>
    <x v="68"/>
    <x v="74"/>
    <x v="75"/>
    <x v="80"/>
    <x v="77"/>
    <x v="74"/>
    <x v="79"/>
    <x v="75"/>
    <x v="79"/>
    <x v="72"/>
    <x v="77"/>
    <x v="74"/>
    <x v="76"/>
    <x v="74"/>
    <x v="68"/>
    <x v="65"/>
    <x v="65"/>
    <n v="-488"/>
    <n v="-488"/>
    <n v="-488"/>
    <n v="-488"/>
    <n v="-488"/>
    <n v="-488"/>
  </r>
  <r>
    <x v="28"/>
    <x v="0"/>
    <x v="15"/>
    <x v="4"/>
    <x v="2"/>
    <x v="12"/>
    <x v="0"/>
    <x v="3"/>
    <x v="2"/>
    <x v="2"/>
    <x v="2"/>
    <x v="2"/>
    <x v="2"/>
    <x v="2"/>
    <x v="2"/>
    <x v="2"/>
    <x v="2"/>
    <x v="2"/>
    <x v="2"/>
    <x v="2"/>
    <x v="2"/>
    <x v="2"/>
    <x v="2"/>
    <x v="2"/>
    <x v="2"/>
    <x v="2"/>
    <n v="0"/>
    <n v="0"/>
    <n v="0"/>
    <n v="0"/>
    <n v="0"/>
    <n v="0"/>
  </r>
  <r>
    <x v="29"/>
    <x v="0"/>
    <x v="15"/>
    <x v="2"/>
    <x v="0"/>
    <x v="0"/>
    <x v="0"/>
    <x v="146"/>
    <x v="165"/>
    <x v="0"/>
    <x v="0"/>
    <x v="0"/>
    <x v="0"/>
    <x v="0"/>
    <x v="0"/>
    <x v="0"/>
    <x v="0"/>
    <x v="0"/>
    <x v="0"/>
    <x v="0"/>
    <x v="0"/>
    <x v="0"/>
    <x v="0"/>
    <x v="0"/>
    <x v="0"/>
    <x v="0"/>
    <m/>
    <m/>
    <m/>
    <m/>
    <m/>
    <m/>
  </r>
  <r>
    <x v="29"/>
    <x v="0"/>
    <x v="15"/>
    <x v="2"/>
    <x v="0"/>
    <x v="1"/>
    <x v="0"/>
    <x v="147"/>
    <x v="166"/>
    <x v="69"/>
    <x v="75"/>
    <x v="76"/>
    <x v="81"/>
    <x v="78"/>
    <x v="75"/>
    <x v="80"/>
    <x v="76"/>
    <x v="80"/>
    <x v="73"/>
    <x v="78"/>
    <x v="75"/>
    <x v="77"/>
    <x v="75"/>
    <x v="69"/>
    <x v="66"/>
    <x v="66"/>
    <n v="75.5"/>
    <n v="75"/>
    <n v="75"/>
    <n v="59.5"/>
    <n v="54.5"/>
    <n v="54.5"/>
  </r>
  <r>
    <x v="29"/>
    <x v="0"/>
    <x v="15"/>
    <x v="2"/>
    <x v="0"/>
    <x v="2"/>
    <x v="0"/>
    <x v="148"/>
    <x v="167"/>
    <x v="0"/>
    <x v="0"/>
    <x v="0"/>
    <x v="0"/>
    <x v="0"/>
    <x v="0"/>
    <x v="0"/>
    <x v="0"/>
    <x v="0"/>
    <x v="0"/>
    <x v="0"/>
    <x v="0"/>
    <x v="0"/>
    <x v="0"/>
    <x v="0"/>
    <x v="0"/>
    <x v="0"/>
    <m/>
    <m/>
    <m/>
    <m/>
    <m/>
    <m/>
  </r>
  <r>
    <x v="29"/>
    <x v="0"/>
    <x v="15"/>
    <x v="2"/>
    <x v="0"/>
    <x v="3"/>
    <x v="0"/>
    <x v="2"/>
    <x v="2"/>
    <x v="0"/>
    <x v="0"/>
    <x v="0"/>
    <x v="0"/>
    <x v="0"/>
    <x v="0"/>
    <x v="0"/>
    <x v="0"/>
    <x v="0"/>
    <x v="0"/>
    <x v="0"/>
    <x v="0"/>
    <x v="0"/>
    <x v="0"/>
    <x v="0"/>
    <x v="0"/>
    <x v="0"/>
    <m/>
    <m/>
    <m/>
    <m/>
    <m/>
    <m/>
  </r>
  <r>
    <x v="29"/>
    <x v="0"/>
    <x v="15"/>
    <x v="2"/>
    <x v="0"/>
    <x v="4"/>
    <x v="0"/>
    <x v="2"/>
    <x v="2"/>
    <x v="0"/>
    <x v="0"/>
    <x v="0"/>
    <x v="0"/>
    <x v="0"/>
    <x v="0"/>
    <x v="0"/>
    <x v="0"/>
    <x v="0"/>
    <x v="0"/>
    <x v="0"/>
    <x v="0"/>
    <x v="0"/>
    <x v="0"/>
    <x v="0"/>
    <x v="0"/>
    <x v="0"/>
    <m/>
    <m/>
    <m/>
    <m/>
    <m/>
    <m/>
  </r>
  <r>
    <x v="29"/>
    <x v="0"/>
    <x v="15"/>
    <x v="2"/>
    <x v="0"/>
    <x v="5"/>
    <x v="0"/>
    <x v="3"/>
    <x v="3"/>
    <x v="0"/>
    <x v="0"/>
    <x v="0"/>
    <x v="0"/>
    <x v="0"/>
    <x v="0"/>
    <x v="0"/>
    <x v="0"/>
    <x v="0"/>
    <x v="0"/>
    <x v="0"/>
    <x v="0"/>
    <x v="0"/>
    <x v="0"/>
    <x v="0"/>
    <x v="0"/>
    <x v="0"/>
    <m/>
    <m/>
    <m/>
    <m/>
    <m/>
    <m/>
  </r>
  <r>
    <x v="29"/>
    <x v="0"/>
    <x v="15"/>
    <x v="2"/>
    <x v="0"/>
    <x v="6"/>
    <x v="0"/>
    <x v="149"/>
    <x v="2"/>
    <x v="2"/>
    <x v="2"/>
    <x v="2"/>
    <x v="2"/>
    <x v="79"/>
    <x v="2"/>
    <x v="2"/>
    <x v="2"/>
    <x v="2"/>
    <x v="2"/>
    <x v="2"/>
    <x v="2"/>
    <x v="2"/>
    <x v="2"/>
    <x v="2"/>
    <x v="2"/>
    <x v="2"/>
    <n v="0"/>
    <n v="0"/>
    <n v="0"/>
    <n v="0"/>
    <n v="0"/>
    <n v="0"/>
  </r>
  <r>
    <x v="29"/>
    <x v="0"/>
    <x v="15"/>
    <x v="2"/>
    <x v="0"/>
    <x v="7"/>
    <x v="0"/>
    <x v="149"/>
    <x v="3"/>
    <x v="0"/>
    <x v="0"/>
    <x v="0"/>
    <x v="0"/>
    <x v="79"/>
    <x v="0"/>
    <x v="0"/>
    <x v="0"/>
    <x v="0"/>
    <x v="0"/>
    <x v="0"/>
    <x v="0"/>
    <x v="0"/>
    <x v="0"/>
    <x v="0"/>
    <x v="0"/>
    <x v="0"/>
    <m/>
    <m/>
    <m/>
    <m/>
    <m/>
    <m/>
  </r>
  <r>
    <x v="29"/>
    <x v="0"/>
    <x v="15"/>
    <x v="2"/>
    <x v="0"/>
    <x v="8"/>
    <x v="0"/>
    <x v="2"/>
    <x v="3"/>
    <x v="0"/>
    <x v="0"/>
    <x v="0"/>
    <x v="0"/>
    <x v="0"/>
    <x v="0"/>
    <x v="0"/>
    <x v="0"/>
    <x v="0"/>
    <x v="0"/>
    <x v="0"/>
    <x v="0"/>
    <x v="0"/>
    <x v="0"/>
    <x v="0"/>
    <x v="0"/>
    <x v="0"/>
    <m/>
    <m/>
    <m/>
    <m/>
    <m/>
    <m/>
  </r>
  <r>
    <x v="29"/>
    <x v="0"/>
    <x v="15"/>
    <x v="2"/>
    <x v="0"/>
    <x v="9"/>
    <x v="0"/>
    <x v="2"/>
    <x v="3"/>
    <x v="0"/>
    <x v="0"/>
    <x v="0"/>
    <x v="0"/>
    <x v="0"/>
    <x v="0"/>
    <x v="0"/>
    <x v="0"/>
    <x v="0"/>
    <x v="0"/>
    <x v="0"/>
    <x v="0"/>
    <x v="0"/>
    <x v="0"/>
    <x v="0"/>
    <x v="0"/>
    <x v="0"/>
    <m/>
    <m/>
    <m/>
    <m/>
    <m/>
    <m/>
  </r>
  <r>
    <x v="29"/>
    <x v="0"/>
    <x v="15"/>
    <x v="2"/>
    <x v="0"/>
    <x v="10"/>
    <x v="0"/>
    <x v="149"/>
    <x v="3"/>
    <x v="0"/>
    <x v="0"/>
    <x v="0"/>
    <x v="0"/>
    <x v="79"/>
    <x v="0"/>
    <x v="0"/>
    <x v="0"/>
    <x v="0"/>
    <x v="0"/>
    <x v="0"/>
    <x v="0"/>
    <x v="0"/>
    <x v="0"/>
    <x v="0"/>
    <x v="0"/>
    <x v="0"/>
    <m/>
    <m/>
    <m/>
    <m/>
    <m/>
    <m/>
  </r>
  <r>
    <x v="29"/>
    <x v="0"/>
    <x v="15"/>
    <x v="2"/>
    <x v="0"/>
    <x v="11"/>
    <x v="0"/>
    <x v="3"/>
    <x v="168"/>
    <x v="70"/>
    <x v="76"/>
    <x v="77"/>
    <x v="82"/>
    <x v="80"/>
    <x v="76"/>
    <x v="81"/>
    <x v="77"/>
    <x v="81"/>
    <x v="74"/>
    <x v="79"/>
    <x v="76"/>
    <x v="78"/>
    <x v="76"/>
    <x v="70"/>
    <x v="67"/>
    <x v="67"/>
    <n v="8319.5"/>
    <n v="8244.5"/>
    <n v="8169.5"/>
    <n v="8110"/>
    <n v="8055.5"/>
    <n v="8001"/>
  </r>
  <r>
    <x v="29"/>
    <x v="0"/>
    <x v="15"/>
    <x v="2"/>
    <x v="0"/>
    <x v="12"/>
    <x v="0"/>
    <x v="3"/>
    <x v="2"/>
    <x v="2"/>
    <x v="2"/>
    <x v="2"/>
    <x v="2"/>
    <x v="2"/>
    <x v="2"/>
    <x v="2"/>
    <x v="2"/>
    <x v="2"/>
    <x v="2"/>
    <x v="2"/>
    <x v="2"/>
    <x v="2"/>
    <x v="2"/>
    <x v="2"/>
    <x v="2"/>
    <x v="2"/>
    <n v="0"/>
    <n v="0"/>
    <n v="0"/>
    <n v="0"/>
    <n v="0"/>
    <n v="0"/>
  </r>
  <r>
    <x v="30"/>
    <x v="0"/>
    <x v="16"/>
    <x v="2"/>
    <x v="0"/>
    <x v="0"/>
    <x v="0"/>
    <x v="150"/>
    <x v="169"/>
    <x v="0"/>
    <x v="0"/>
    <x v="0"/>
    <x v="0"/>
    <x v="0"/>
    <x v="0"/>
    <x v="0"/>
    <x v="0"/>
    <x v="0"/>
    <x v="0"/>
    <x v="0"/>
    <x v="0"/>
    <x v="0"/>
    <x v="0"/>
    <x v="0"/>
    <x v="0"/>
    <x v="0"/>
    <m/>
    <m/>
    <m/>
    <m/>
    <m/>
    <m/>
  </r>
  <r>
    <x v="30"/>
    <x v="0"/>
    <x v="16"/>
    <x v="2"/>
    <x v="0"/>
    <x v="1"/>
    <x v="0"/>
    <x v="151"/>
    <x v="170"/>
    <x v="71"/>
    <x v="77"/>
    <x v="78"/>
    <x v="83"/>
    <x v="81"/>
    <x v="77"/>
    <x v="82"/>
    <x v="78"/>
    <x v="82"/>
    <x v="75"/>
    <x v="80"/>
    <x v="77"/>
    <x v="79"/>
    <x v="77"/>
    <x v="71"/>
    <x v="68"/>
    <x v="68"/>
    <n v="13101.08"/>
    <n v="12621.09"/>
    <n v="12581.08"/>
    <n v="10270.049999999999"/>
    <n v="9354.17"/>
    <n v="9350.67"/>
  </r>
  <r>
    <x v="30"/>
    <x v="0"/>
    <x v="16"/>
    <x v="2"/>
    <x v="0"/>
    <x v="2"/>
    <x v="0"/>
    <x v="152"/>
    <x v="171"/>
    <x v="0"/>
    <x v="0"/>
    <x v="0"/>
    <x v="0"/>
    <x v="0"/>
    <x v="0"/>
    <x v="0"/>
    <x v="0"/>
    <x v="0"/>
    <x v="0"/>
    <x v="0"/>
    <x v="0"/>
    <x v="0"/>
    <x v="0"/>
    <x v="0"/>
    <x v="0"/>
    <x v="0"/>
    <m/>
    <m/>
    <m/>
    <m/>
    <m/>
    <m/>
  </r>
  <r>
    <x v="30"/>
    <x v="0"/>
    <x v="16"/>
    <x v="2"/>
    <x v="0"/>
    <x v="3"/>
    <x v="0"/>
    <x v="2"/>
    <x v="2"/>
    <x v="0"/>
    <x v="0"/>
    <x v="0"/>
    <x v="0"/>
    <x v="0"/>
    <x v="0"/>
    <x v="0"/>
    <x v="0"/>
    <x v="0"/>
    <x v="0"/>
    <x v="0"/>
    <x v="0"/>
    <x v="0"/>
    <x v="0"/>
    <x v="0"/>
    <x v="0"/>
    <x v="0"/>
    <m/>
    <m/>
    <m/>
    <m/>
    <m/>
    <m/>
  </r>
  <r>
    <x v="30"/>
    <x v="0"/>
    <x v="16"/>
    <x v="2"/>
    <x v="0"/>
    <x v="4"/>
    <x v="0"/>
    <x v="153"/>
    <x v="172"/>
    <x v="0"/>
    <x v="0"/>
    <x v="0"/>
    <x v="0"/>
    <x v="0"/>
    <x v="0"/>
    <x v="0"/>
    <x v="0"/>
    <x v="0"/>
    <x v="0"/>
    <x v="0"/>
    <x v="0"/>
    <x v="0"/>
    <x v="0"/>
    <x v="0"/>
    <x v="0"/>
    <x v="0"/>
    <m/>
    <m/>
    <m/>
    <m/>
    <m/>
    <m/>
  </r>
  <r>
    <x v="30"/>
    <x v="0"/>
    <x v="16"/>
    <x v="2"/>
    <x v="0"/>
    <x v="5"/>
    <x v="0"/>
    <x v="3"/>
    <x v="3"/>
    <x v="0"/>
    <x v="0"/>
    <x v="0"/>
    <x v="0"/>
    <x v="0"/>
    <x v="0"/>
    <x v="0"/>
    <x v="0"/>
    <x v="0"/>
    <x v="0"/>
    <x v="0"/>
    <x v="0"/>
    <x v="0"/>
    <x v="0"/>
    <x v="0"/>
    <x v="0"/>
    <x v="0"/>
    <m/>
    <m/>
    <m/>
    <m/>
    <m/>
    <m/>
  </r>
  <r>
    <x v="30"/>
    <x v="0"/>
    <x v="16"/>
    <x v="2"/>
    <x v="0"/>
    <x v="6"/>
    <x v="0"/>
    <x v="154"/>
    <x v="173"/>
    <x v="72"/>
    <x v="78"/>
    <x v="79"/>
    <x v="84"/>
    <x v="42"/>
    <x v="41"/>
    <x v="44"/>
    <x v="42"/>
    <x v="42"/>
    <x v="39"/>
    <x v="68"/>
    <x v="2"/>
    <x v="80"/>
    <x v="2"/>
    <x v="2"/>
    <x v="2"/>
    <x v="2"/>
    <n v="0"/>
    <n v="0"/>
    <n v="0"/>
    <n v="0"/>
    <n v="0"/>
    <n v="0"/>
  </r>
  <r>
    <x v="30"/>
    <x v="0"/>
    <x v="16"/>
    <x v="2"/>
    <x v="0"/>
    <x v="7"/>
    <x v="0"/>
    <x v="154"/>
    <x v="173"/>
    <x v="72"/>
    <x v="78"/>
    <x v="79"/>
    <x v="84"/>
    <x v="42"/>
    <x v="41"/>
    <x v="44"/>
    <x v="42"/>
    <x v="42"/>
    <x v="39"/>
    <x v="68"/>
    <x v="0"/>
    <x v="80"/>
    <x v="0"/>
    <x v="0"/>
    <x v="0"/>
    <x v="0"/>
    <m/>
    <m/>
    <m/>
    <m/>
    <m/>
    <m/>
  </r>
  <r>
    <x v="30"/>
    <x v="0"/>
    <x v="16"/>
    <x v="2"/>
    <x v="0"/>
    <x v="8"/>
    <x v="0"/>
    <x v="2"/>
    <x v="3"/>
    <x v="0"/>
    <x v="0"/>
    <x v="0"/>
    <x v="0"/>
    <x v="0"/>
    <x v="0"/>
    <x v="0"/>
    <x v="0"/>
    <x v="0"/>
    <x v="0"/>
    <x v="0"/>
    <x v="0"/>
    <x v="0"/>
    <x v="0"/>
    <x v="0"/>
    <x v="0"/>
    <x v="0"/>
    <m/>
    <m/>
    <m/>
    <m/>
    <m/>
    <m/>
  </r>
  <r>
    <x v="30"/>
    <x v="0"/>
    <x v="16"/>
    <x v="2"/>
    <x v="0"/>
    <x v="9"/>
    <x v="0"/>
    <x v="2"/>
    <x v="3"/>
    <x v="0"/>
    <x v="0"/>
    <x v="0"/>
    <x v="0"/>
    <x v="0"/>
    <x v="0"/>
    <x v="0"/>
    <x v="0"/>
    <x v="0"/>
    <x v="0"/>
    <x v="0"/>
    <x v="0"/>
    <x v="0"/>
    <x v="0"/>
    <x v="0"/>
    <x v="0"/>
    <x v="0"/>
    <m/>
    <m/>
    <m/>
    <m/>
    <m/>
    <m/>
  </r>
  <r>
    <x v="30"/>
    <x v="0"/>
    <x v="16"/>
    <x v="2"/>
    <x v="0"/>
    <x v="10"/>
    <x v="0"/>
    <x v="154"/>
    <x v="173"/>
    <x v="72"/>
    <x v="78"/>
    <x v="79"/>
    <x v="84"/>
    <x v="42"/>
    <x v="41"/>
    <x v="44"/>
    <x v="42"/>
    <x v="42"/>
    <x v="39"/>
    <x v="68"/>
    <x v="0"/>
    <x v="80"/>
    <x v="0"/>
    <x v="0"/>
    <x v="0"/>
    <x v="0"/>
    <m/>
    <m/>
    <m/>
    <m/>
    <m/>
    <m/>
  </r>
  <r>
    <x v="30"/>
    <x v="0"/>
    <x v="16"/>
    <x v="2"/>
    <x v="0"/>
    <x v="11"/>
    <x v="0"/>
    <x v="3"/>
    <x v="174"/>
    <x v="73"/>
    <x v="79"/>
    <x v="80"/>
    <x v="85"/>
    <x v="82"/>
    <x v="78"/>
    <x v="83"/>
    <x v="79"/>
    <x v="83"/>
    <x v="76"/>
    <x v="81"/>
    <x v="78"/>
    <x v="81"/>
    <x v="78"/>
    <x v="72"/>
    <x v="69"/>
    <x v="69"/>
    <n v="-24784.500000000007"/>
    <n v="-37405.590000000011"/>
    <n v="-49986.670000000013"/>
    <n v="-60256.720000000016"/>
    <n v="-69610.890000000014"/>
    <n v="-78961.560000000012"/>
  </r>
  <r>
    <x v="30"/>
    <x v="0"/>
    <x v="16"/>
    <x v="2"/>
    <x v="0"/>
    <x v="12"/>
    <x v="0"/>
    <x v="3"/>
    <x v="2"/>
    <x v="2"/>
    <x v="2"/>
    <x v="2"/>
    <x v="2"/>
    <x v="2"/>
    <x v="2"/>
    <x v="2"/>
    <x v="2"/>
    <x v="2"/>
    <x v="2"/>
    <x v="2"/>
    <x v="2"/>
    <x v="2"/>
    <x v="2"/>
    <x v="2"/>
    <x v="2"/>
    <x v="2"/>
    <n v="0"/>
    <n v="0"/>
    <n v="0"/>
    <n v="0"/>
    <n v="0"/>
    <n v="0"/>
  </r>
  <r>
    <x v="31"/>
    <x v="0"/>
    <x v="16"/>
    <x v="1"/>
    <x v="0"/>
    <x v="0"/>
    <x v="0"/>
    <x v="155"/>
    <x v="175"/>
    <x v="0"/>
    <x v="0"/>
    <x v="0"/>
    <x v="0"/>
    <x v="0"/>
    <x v="0"/>
    <x v="0"/>
    <x v="0"/>
    <x v="0"/>
    <x v="0"/>
    <x v="0"/>
    <x v="0"/>
    <x v="0"/>
    <x v="0"/>
    <x v="0"/>
    <x v="0"/>
    <x v="0"/>
    <m/>
    <m/>
    <m/>
    <m/>
    <m/>
    <m/>
  </r>
  <r>
    <x v="31"/>
    <x v="0"/>
    <x v="16"/>
    <x v="1"/>
    <x v="0"/>
    <x v="1"/>
    <x v="0"/>
    <x v="156"/>
    <x v="176"/>
    <x v="74"/>
    <x v="80"/>
    <x v="81"/>
    <x v="86"/>
    <x v="83"/>
    <x v="79"/>
    <x v="84"/>
    <x v="80"/>
    <x v="84"/>
    <x v="77"/>
    <x v="82"/>
    <x v="79"/>
    <x v="82"/>
    <x v="79"/>
    <x v="73"/>
    <x v="70"/>
    <x v="70"/>
    <n v="230.21"/>
    <n v="230.2"/>
    <n v="230.21"/>
    <n v="187.31"/>
    <n v="170.69"/>
    <n v="170.69"/>
  </r>
  <r>
    <x v="31"/>
    <x v="0"/>
    <x v="16"/>
    <x v="1"/>
    <x v="0"/>
    <x v="2"/>
    <x v="0"/>
    <x v="2"/>
    <x v="2"/>
    <x v="0"/>
    <x v="0"/>
    <x v="0"/>
    <x v="0"/>
    <x v="0"/>
    <x v="0"/>
    <x v="0"/>
    <x v="0"/>
    <x v="0"/>
    <x v="0"/>
    <x v="0"/>
    <x v="0"/>
    <x v="0"/>
    <x v="0"/>
    <x v="0"/>
    <x v="0"/>
    <x v="0"/>
    <m/>
    <m/>
    <m/>
    <m/>
    <m/>
    <m/>
  </r>
  <r>
    <x v="31"/>
    <x v="0"/>
    <x v="16"/>
    <x v="1"/>
    <x v="0"/>
    <x v="3"/>
    <x v="0"/>
    <x v="2"/>
    <x v="2"/>
    <x v="0"/>
    <x v="0"/>
    <x v="0"/>
    <x v="0"/>
    <x v="0"/>
    <x v="0"/>
    <x v="0"/>
    <x v="0"/>
    <x v="0"/>
    <x v="0"/>
    <x v="0"/>
    <x v="0"/>
    <x v="0"/>
    <x v="0"/>
    <x v="0"/>
    <x v="0"/>
    <x v="0"/>
    <m/>
    <m/>
    <m/>
    <m/>
    <m/>
    <m/>
  </r>
  <r>
    <x v="31"/>
    <x v="0"/>
    <x v="16"/>
    <x v="1"/>
    <x v="0"/>
    <x v="4"/>
    <x v="0"/>
    <x v="2"/>
    <x v="2"/>
    <x v="0"/>
    <x v="0"/>
    <x v="0"/>
    <x v="0"/>
    <x v="0"/>
    <x v="0"/>
    <x v="0"/>
    <x v="0"/>
    <x v="0"/>
    <x v="0"/>
    <x v="0"/>
    <x v="0"/>
    <x v="0"/>
    <x v="0"/>
    <x v="0"/>
    <x v="0"/>
    <x v="0"/>
    <m/>
    <m/>
    <m/>
    <m/>
    <m/>
    <m/>
  </r>
  <r>
    <x v="31"/>
    <x v="0"/>
    <x v="16"/>
    <x v="1"/>
    <x v="0"/>
    <x v="5"/>
    <x v="0"/>
    <x v="3"/>
    <x v="3"/>
    <x v="0"/>
    <x v="0"/>
    <x v="0"/>
    <x v="0"/>
    <x v="0"/>
    <x v="0"/>
    <x v="0"/>
    <x v="0"/>
    <x v="0"/>
    <x v="0"/>
    <x v="0"/>
    <x v="0"/>
    <x v="0"/>
    <x v="0"/>
    <x v="0"/>
    <x v="0"/>
    <x v="0"/>
    <m/>
    <m/>
    <m/>
    <m/>
    <m/>
    <m/>
  </r>
  <r>
    <x v="31"/>
    <x v="0"/>
    <x v="16"/>
    <x v="1"/>
    <x v="0"/>
    <x v="6"/>
    <x v="0"/>
    <x v="2"/>
    <x v="2"/>
    <x v="2"/>
    <x v="2"/>
    <x v="2"/>
    <x v="2"/>
    <x v="2"/>
    <x v="2"/>
    <x v="2"/>
    <x v="2"/>
    <x v="2"/>
    <x v="2"/>
    <x v="2"/>
    <x v="2"/>
    <x v="2"/>
    <x v="2"/>
    <x v="2"/>
    <x v="2"/>
    <x v="2"/>
    <n v="0"/>
    <n v="0"/>
    <n v="0"/>
    <n v="0"/>
    <n v="0"/>
    <n v="0"/>
  </r>
  <r>
    <x v="31"/>
    <x v="0"/>
    <x v="16"/>
    <x v="1"/>
    <x v="0"/>
    <x v="7"/>
    <x v="0"/>
    <x v="3"/>
    <x v="3"/>
    <x v="0"/>
    <x v="0"/>
    <x v="0"/>
    <x v="0"/>
    <x v="0"/>
    <x v="0"/>
    <x v="0"/>
    <x v="0"/>
    <x v="0"/>
    <x v="0"/>
    <x v="0"/>
    <x v="0"/>
    <x v="0"/>
    <x v="0"/>
    <x v="0"/>
    <x v="0"/>
    <x v="0"/>
    <m/>
    <m/>
    <m/>
    <m/>
    <m/>
    <m/>
  </r>
  <r>
    <x v="31"/>
    <x v="0"/>
    <x v="16"/>
    <x v="1"/>
    <x v="0"/>
    <x v="8"/>
    <x v="0"/>
    <x v="2"/>
    <x v="3"/>
    <x v="0"/>
    <x v="0"/>
    <x v="0"/>
    <x v="0"/>
    <x v="0"/>
    <x v="0"/>
    <x v="0"/>
    <x v="0"/>
    <x v="0"/>
    <x v="0"/>
    <x v="0"/>
    <x v="0"/>
    <x v="0"/>
    <x v="0"/>
    <x v="0"/>
    <x v="0"/>
    <x v="0"/>
    <m/>
    <m/>
    <m/>
    <m/>
    <m/>
    <m/>
  </r>
  <r>
    <x v="31"/>
    <x v="0"/>
    <x v="16"/>
    <x v="1"/>
    <x v="0"/>
    <x v="9"/>
    <x v="0"/>
    <x v="2"/>
    <x v="3"/>
    <x v="0"/>
    <x v="0"/>
    <x v="0"/>
    <x v="0"/>
    <x v="0"/>
    <x v="0"/>
    <x v="0"/>
    <x v="0"/>
    <x v="0"/>
    <x v="0"/>
    <x v="0"/>
    <x v="0"/>
    <x v="0"/>
    <x v="0"/>
    <x v="0"/>
    <x v="0"/>
    <x v="0"/>
    <m/>
    <m/>
    <m/>
    <m/>
    <m/>
    <m/>
  </r>
  <r>
    <x v="31"/>
    <x v="0"/>
    <x v="16"/>
    <x v="1"/>
    <x v="0"/>
    <x v="10"/>
    <x v="0"/>
    <x v="3"/>
    <x v="3"/>
    <x v="0"/>
    <x v="0"/>
    <x v="0"/>
    <x v="0"/>
    <x v="0"/>
    <x v="0"/>
    <x v="0"/>
    <x v="0"/>
    <x v="0"/>
    <x v="0"/>
    <x v="0"/>
    <x v="0"/>
    <x v="0"/>
    <x v="0"/>
    <x v="0"/>
    <x v="0"/>
    <x v="0"/>
    <m/>
    <m/>
    <m/>
    <m/>
    <m/>
    <m/>
  </r>
  <r>
    <x v="31"/>
    <x v="0"/>
    <x v="16"/>
    <x v="1"/>
    <x v="0"/>
    <x v="11"/>
    <x v="0"/>
    <x v="3"/>
    <x v="177"/>
    <x v="75"/>
    <x v="81"/>
    <x v="82"/>
    <x v="87"/>
    <x v="84"/>
    <x v="80"/>
    <x v="85"/>
    <x v="81"/>
    <x v="85"/>
    <x v="78"/>
    <x v="83"/>
    <x v="80"/>
    <x v="83"/>
    <x v="80"/>
    <x v="74"/>
    <x v="71"/>
    <x v="71"/>
    <n v="-25481.87"/>
    <n v="-25712.07"/>
    <n v="-25942.28"/>
    <n v="-26129.59"/>
    <n v="-26300.28"/>
    <n v="-26470.969999999998"/>
  </r>
  <r>
    <x v="31"/>
    <x v="0"/>
    <x v="16"/>
    <x v="1"/>
    <x v="0"/>
    <x v="12"/>
    <x v="0"/>
    <x v="3"/>
    <x v="2"/>
    <x v="2"/>
    <x v="2"/>
    <x v="2"/>
    <x v="2"/>
    <x v="2"/>
    <x v="2"/>
    <x v="2"/>
    <x v="2"/>
    <x v="2"/>
    <x v="2"/>
    <x v="2"/>
    <x v="2"/>
    <x v="2"/>
    <x v="2"/>
    <x v="2"/>
    <x v="2"/>
    <x v="2"/>
    <n v="0"/>
    <n v="0"/>
    <n v="0"/>
    <n v="0"/>
    <n v="0"/>
    <n v="0"/>
  </r>
  <r>
    <x v="32"/>
    <x v="0"/>
    <x v="16"/>
    <x v="1"/>
    <x v="0"/>
    <x v="0"/>
    <x v="0"/>
    <x v="157"/>
    <x v="178"/>
    <x v="0"/>
    <x v="0"/>
    <x v="0"/>
    <x v="0"/>
    <x v="0"/>
    <x v="0"/>
    <x v="0"/>
    <x v="0"/>
    <x v="0"/>
    <x v="0"/>
    <x v="0"/>
    <x v="0"/>
    <x v="0"/>
    <x v="0"/>
    <x v="0"/>
    <x v="0"/>
    <x v="0"/>
    <m/>
    <m/>
    <m/>
    <m/>
    <m/>
    <m/>
  </r>
  <r>
    <x v="32"/>
    <x v="0"/>
    <x v="16"/>
    <x v="1"/>
    <x v="0"/>
    <x v="1"/>
    <x v="0"/>
    <x v="158"/>
    <x v="179"/>
    <x v="76"/>
    <x v="82"/>
    <x v="83"/>
    <x v="88"/>
    <x v="85"/>
    <x v="81"/>
    <x v="86"/>
    <x v="82"/>
    <x v="86"/>
    <x v="79"/>
    <x v="84"/>
    <x v="81"/>
    <x v="84"/>
    <x v="81"/>
    <x v="75"/>
    <x v="72"/>
    <x v="72"/>
    <n v="5589.71"/>
    <n v="5589.71"/>
    <n v="5589.71"/>
    <n v="4382.6400000000003"/>
    <n v="3902.14"/>
    <n v="3901.64"/>
  </r>
  <r>
    <x v="32"/>
    <x v="0"/>
    <x v="16"/>
    <x v="1"/>
    <x v="0"/>
    <x v="2"/>
    <x v="0"/>
    <x v="159"/>
    <x v="180"/>
    <x v="0"/>
    <x v="0"/>
    <x v="0"/>
    <x v="0"/>
    <x v="0"/>
    <x v="0"/>
    <x v="0"/>
    <x v="0"/>
    <x v="0"/>
    <x v="0"/>
    <x v="0"/>
    <x v="0"/>
    <x v="0"/>
    <x v="0"/>
    <x v="0"/>
    <x v="0"/>
    <x v="0"/>
    <m/>
    <m/>
    <m/>
    <m/>
    <m/>
    <m/>
  </r>
  <r>
    <x v="32"/>
    <x v="0"/>
    <x v="16"/>
    <x v="1"/>
    <x v="0"/>
    <x v="3"/>
    <x v="0"/>
    <x v="160"/>
    <x v="181"/>
    <x v="0"/>
    <x v="0"/>
    <x v="0"/>
    <x v="0"/>
    <x v="0"/>
    <x v="0"/>
    <x v="0"/>
    <x v="0"/>
    <x v="0"/>
    <x v="0"/>
    <x v="0"/>
    <x v="0"/>
    <x v="0"/>
    <x v="0"/>
    <x v="0"/>
    <x v="0"/>
    <x v="0"/>
    <m/>
    <m/>
    <m/>
    <m/>
    <m/>
    <m/>
  </r>
  <r>
    <x v="32"/>
    <x v="0"/>
    <x v="16"/>
    <x v="1"/>
    <x v="0"/>
    <x v="4"/>
    <x v="0"/>
    <x v="161"/>
    <x v="182"/>
    <x v="0"/>
    <x v="0"/>
    <x v="0"/>
    <x v="0"/>
    <x v="0"/>
    <x v="0"/>
    <x v="0"/>
    <x v="0"/>
    <x v="0"/>
    <x v="0"/>
    <x v="0"/>
    <x v="0"/>
    <x v="0"/>
    <x v="0"/>
    <x v="0"/>
    <x v="0"/>
    <x v="0"/>
    <m/>
    <m/>
    <m/>
    <m/>
    <m/>
    <m/>
  </r>
  <r>
    <x v="32"/>
    <x v="0"/>
    <x v="16"/>
    <x v="1"/>
    <x v="0"/>
    <x v="5"/>
    <x v="0"/>
    <x v="162"/>
    <x v="183"/>
    <x v="0"/>
    <x v="0"/>
    <x v="0"/>
    <x v="0"/>
    <x v="0"/>
    <x v="0"/>
    <x v="0"/>
    <x v="0"/>
    <x v="0"/>
    <x v="0"/>
    <x v="0"/>
    <x v="0"/>
    <x v="0"/>
    <x v="0"/>
    <x v="0"/>
    <x v="0"/>
    <x v="0"/>
    <m/>
    <m/>
    <m/>
    <m/>
    <m/>
    <m/>
  </r>
  <r>
    <x v="32"/>
    <x v="0"/>
    <x v="16"/>
    <x v="1"/>
    <x v="0"/>
    <x v="6"/>
    <x v="0"/>
    <x v="163"/>
    <x v="2"/>
    <x v="77"/>
    <x v="83"/>
    <x v="84"/>
    <x v="89"/>
    <x v="86"/>
    <x v="82"/>
    <x v="87"/>
    <x v="83"/>
    <x v="87"/>
    <x v="80"/>
    <x v="59"/>
    <x v="82"/>
    <x v="85"/>
    <x v="82"/>
    <x v="2"/>
    <x v="2"/>
    <x v="2"/>
    <n v="0"/>
    <n v="0"/>
    <n v="0"/>
    <n v="0"/>
    <n v="0"/>
    <n v="0"/>
  </r>
  <r>
    <x v="32"/>
    <x v="0"/>
    <x v="16"/>
    <x v="1"/>
    <x v="0"/>
    <x v="7"/>
    <x v="0"/>
    <x v="163"/>
    <x v="3"/>
    <x v="77"/>
    <x v="83"/>
    <x v="84"/>
    <x v="89"/>
    <x v="86"/>
    <x v="82"/>
    <x v="87"/>
    <x v="83"/>
    <x v="87"/>
    <x v="80"/>
    <x v="59"/>
    <x v="82"/>
    <x v="85"/>
    <x v="82"/>
    <x v="0"/>
    <x v="0"/>
    <x v="0"/>
    <m/>
    <m/>
    <m/>
    <m/>
    <m/>
    <m/>
  </r>
  <r>
    <x v="32"/>
    <x v="0"/>
    <x v="16"/>
    <x v="1"/>
    <x v="0"/>
    <x v="8"/>
    <x v="0"/>
    <x v="2"/>
    <x v="3"/>
    <x v="0"/>
    <x v="0"/>
    <x v="0"/>
    <x v="0"/>
    <x v="0"/>
    <x v="0"/>
    <x v="0"/>
    <x v="0"/>
    <x v="0"/>
    <x v="0"/>
    <x v="0"/>
    <x v="0"/>
    <x v="0"/>
    <x v="0"/>
    <x v="0"/>
    <x v="0"/>
    <x v="0"/>
    <m/>
    <m/>
    <m/>
    <m/>
    <m/>
    <m/>
  </r>
  <r>
    <x v="32"/>
    <x v="0"/>
    <x v="16"/>
    <x v="1"/>
    <x v="0"/>
    <x v="9"/>
    <x v="0"/>
    <x v="2"/>
    <x v="3"/>
    <x v="0"/>
    <x v="0"/>
    <x v="0"/>
    <x v="0"/>
    <x v="0"/>
    <x v="0"/>
    <x v="0"/>
    <x v="0"/>
    <x v="0"/>
    <x v="0"/>
    <x v="0"/>
    <x v="0"/>
    <x v="0"/>
    <x v="0"/>
    <x v="0"/>
    <x v="0"/>
    <x v="0"/>
    <m/>
    <m/>
    <m/>
    <m/>
    <m/>
    <m/>
  </r>
  <r>
    <x v="32"/>
    <x v="0"/>
    <x v="16"/>
    <x v="1"/>
    <x v="0"/>
    <x v="10"/>
    <x v="0"/>
    <x v="163"/>
    <x v="3"/>
    <x v="77"/>
    <x v="83"/>
    <x v="84"/>
    <x v="89"/>
    <x v="86"/>
    <x v="82"/>
    <x v="87"/>
    <x v="83"/>
    <x v="87"/>
    <x v="80"/>
    <x v="59"/>
    <x v="82"/>
    <x v="85"/>
    <x v="82"/>
    <x v="0"/>
    <x v="0"/>
    <x v="0"/>
    <m/>
    <m/>
    <m/>
    <m/>
    <m/>
    <m/>
  </r>
  <r>
    <x v="32"/>
    <x v="0"/>
    <x v="16"/>
    <x v="1"/>
    <x v="0"/>
    <x v="11"/>
    <x v="0"/>
    <x v="3"/>
    <x v="184"/>
    <x v="78"/>
    <x v="84"/>
    <x v="85"/>
    <x v="90"/>
    <x v="87"/>
    <x v="83"/>
    <x v="88"/>
    <x v="84"/>
    <x v="88"/>
    <x v="81"/>
    <x v="85"/>
    <x v="83"/>
    <x v="86"/>
    <x v="83"/>
    <x v="76"/>
    <x v="73"/>
    <x v="73"/>
    <n v="14753.37000000001"/>
    <n v="9163.6600000000108"/>
    <n v="3573.9500000000107"/>
    <n v="-808.6899999999896"/>
    <n v="-4710.829999999989"/>
    <n v="-8612.4699999999884"/>
  </r>
  <r>
    <x v="32"/>
    <x v="0"/>
    <x v="16"/>
    <x v="1"/>
    <x v="0"/>
    <x v="12"/>
    <x v="0"/>
    <x v="3"/>
    <x v="2"/>
    <x v="2"/>
    <x v="2"/>
    <x v="2"/>
    <x v="2"/>
    <x v="2"/>
    <x v="2"/>
    <x v="2"/>
    <x v="2"/>
    <x v="2"/>
    <x v="2"/>
    <x v="2"/>
    <x v="2"/>
    <x v="2"/>
    <x v="2"/>
    <x v="2"/>
    <x v="2"/>
    <x v="2"/>
    <n v="0"/>
    <n v="0"/>
    <n v="0"/>
    <n v="0"/>
    <n v="0"/>
    <n v="0"/>
  </r>
  <r>
    <x v="33"/>
    <x v="0"/>
    <x v="17"/>
    <x v="2"/>
    <x v="1"/>
    <x v="0"/>
    <x v="0"/>
    <x v="164"/>
    <x v="185"/>
    <x v="0"/>
    <x v="0"/>
    <x v="0"/>
    <x v="0"/>
    <x v="0"/>
    <x v="0"/>
    <x v="0"/>
    <x v="0"/>
    <x v="0"/>
    <x v="0"/>
    <x v="0"/>
    <x v="0"/>
    <x v="0"/>
    <x v="0"/>
    <x v="0"/>
    <x v="0"/>
    <x v="0"/>
    <m/>
    <m/>
    <m/>
    <m/>
    <m/>
    <m/>
  </r>
  <r>
    <x v="33"/>
    <x v="0"/>
    <x v="17"/>
    <x v="2"/>
    <x v="1"/>
    <x v="1"/>
    <x v="0"/>
    <x v="165"/>
    <x v="186"/>
    <x v="79"/>
    <x v="85"/>
    <x v="86"/>
    <x v="91"/>
    <x v="88"/>
    <x v="84"/>
    <x v="89"/>
    <x v="85"/>
    <x v="89"/>
    <x v="82"/>
    <x v="86"/>
    <x v="84"/>
    <x v="87"/>
    <x v="84"/>
    <x v="77"/>
    <x v="74"/>
    <x v="74"/>
    <n v="169"/>
    <n v="170"/>
    <n v="169"/>
    <n v="124"/>
    <n v="108"/>
    <n v="108"/>
  </r>
  <r>
    <x v="33"/>
    <x v="0"/>
    <x v="17"/>
    <x v="2"/>
    <x v="1"/>
    <x v="2"/>
    <x v="0"/>
    <x v="3"/>
    <x v="3"/>
    <x v="0"/>
    <x v="0"/>
    <x v="0"/>
    <x v="0"/>
    <x v="0"/>
    <x v="0"/>
    <x v="0"/>
    <x v="0"/>
    <x v="0"/>
    <x v="0"/>
    <x v="0"/>
    <x v="0"/>
    <x v="0"/>
    <x v="0"/>
    <x v="0"/>
    <x v="0"/>
    <x v="0"/>
    <m/>
    <m/>
    <m/>
    <m/>
    <m/>
    <m/>
  </r>
  <r>
    <x v="33"/>
    <x v="0"/>
    <x v="17"/>
    <x v="2"/>
    <x v="1"/>
    <x v="3"/>
    <x v="0"/>
    <x v="3"/>
    <x v="3"/>
    <x v="0"/>
    <x v="0"/>
    <x v="0"/>
    <x v="0"/>
    <x v="0"/>
    <x v="0"/>
    <x v="0"/>
    <x v="0"/>
    <x v="0"/>
    <x v="0"/>
    <x v="0"/>
    <x v="0"/>
    <x v="0"/>
    <x v="0"/>
    <x v="0"/>
    <x v="0"/>
    <x v="0"/>
    <m/>
    <m/>
    <m/>
    <m/>
    <m/>
    <m/>
  </r>
  <r>
    <x v="33"/>
    <x v="0"/>
    <x v="17"/>
    <x v="2"/>
    <x v="1"/>
    <x v="4"/>
    <x v="0"/>
    <x v="3"/>
    <x v="3"/>
    <x v="0"/>
    <x v="0"/>
    <x v="0"/>
    <x v="0"/>
    <x v="0"/>
    <x v="0"/>
    <x v="0"/>
    <x v="0"/>
    <x v="0"/>
    <x v="0"/>
    <x v="0"/>
    <x v="0"/>
    <x v="0"/>
    <x v="0"/>
    <x v="0"/>
    <x v="0"/>
    <x v="0"/>
    <m/>
    <m/>
    <m/>
    <m/>
    <m/>
    <m/>
  </r>
  <r>
    <x v="33"/>
    <x v="0"/>
    <x v="17"/>
    <x v="2"/>
    <x v="1"/>
    <x v="5"/>
    <x v="0"/>
    <x v="3"/>
    <x v="3"/>
    <x v="0"/>
    <x v="0"/>
    <x v="0"/>
    <x v="0"/>
    <x v="0"/>
    <x v="0"/>
    <x v="0"/>
    <x v="0"/>
    <x v="0"/>
    <x v="0"/>
    <x v="0"/>
    <x v="0"/>
    <x v="0"/>
    <x v="0"/>
    <x v="0"/>
    <x v="0"/>
    <x v="0"/>
    <m/>
    <m/>
    <m/>
    <m/>
    <m/>
    <m/>
  </r>
  <r>
    <x v="33"/>
    <x v="0"/>
    <x v="17"/>
    <x v="2"/>
    <x v="1"/>
    <x v="6"/>
    <x v="0"/>
    <x v="2"/>
    <x v="2"/>
    <x v="2"/>
    <x v="2"/>
    <x v="2"/>
    <x v="2"/>
    <x v="2"/>
    <x v="2"/>
    <x v="2"/>
    <x v="2"/>
    <x v="2"/>
    <x v="2"/>
    <x v="2"/>
    <x v="2"/>
    <x v="2"/>
    <x v="2"/>
    <x v="2"/>
    <x v="2"/>
    <x v="2"/>
    <n v="0"/>
    <n v="0"/>
    <n v="0"/>
    <n v="0"/>
    <n v="0"/>
    <n v="0"/>
  </r>
  <r>
    <x v="33"/>
    <x v="0"/>
    <x v="17"/>
    <x v="2"/>
    <x v="1"/>
    <x v="7"/>
    <x v="0"/>
    <x v="3"/>
    <x v="3"/>
    <x v="0"/>
    <x v="0"/>
    <x v="0"/>
    <x v="0"/>
    <x v="0"/>
    <x v="0"/>
    <x v="0"/>
    <x v="0"/>
    <x v="0"/>
    <x v="0"/>
    <x v="0"/>
    <x v="0"/>
    <x v="0"/>
    <x v="0"/>
    <x v="0"/>
    <x v="0"/>
    <x v="0"/>
    <m/>
    <m/>
    <m/>
    <m/>
    <m/>
    <m/>
  </r>
  <r>
    <x v="33"/>
    <x v="0"/>
    <x v="17"/>
    <x v="2"/>
    <x v="1"/>
    <x v="8"/>
    <x v="0"/>
    <x v="2"/>
    <x v="3"/>
    <x v="0"/>
    <x v="0"/>
    <x v="0"/>
    <x v="0"/>
    <x v="0"/>
    <x v="0"/>
    <x v="0"/>
    <x v="0"/>
    <x v="0"/>
    <x v="0"/>
    <x v="0"/>
    <x v="0"/>
    <x v="0"/>
    <x v="0"/>
    <x v="0"/>
    <x v="0"/>
    <x v="0"/>
    <m/>
    <m/>
    <m/>
    <m/>
    <m/>
    <m/>
  </r>
  <r>
    <x v="33"/>
    <x v="0"/>
    <x v="17"/>
    <x v="2"/>
    <x v="1"/>
    <x v="9"/>
    <x v="0"/>
    <x v="2"/>
    <x v="3"/>
    <x v="0"/>
    <x v="0"/>
    <x v="0"/>
    <x v="0"/>
    <x v="0"/>
    <x v="0"/>
    <x v="0"/>
    <x v="0"/>
    <x v="0"/>
    <x v="0"/>
    <x v="0"/>
    <x v="0"/>
    <x v="0"/>
    <x v="0"/>
    <x v="0"/>
    <x v="0"/>
    <x v="0"/>
    <m/>
    <m/>
    <m/>
    <m/>
    <m/>
    <m/>
  </r>
  <r>
    <x v="33"/>
    <x v="0"/>
    <x v="17"/>
    <x v="2"/>
    <x v="1"/>
    <x v="10"/>
    <x v="0"/>
    <x v="3"/>
    <x v="3"/>
    <x v="0"/>
    <x v="0"/>
    <x v="0"/>
    <x v="0"/>
    <x v="0"/>
    <x v="0"/>
    <x v="0"/>
    <x v="0"/>
    <x v="0"/>
    <x v="0"/>
    <x v="0"/>
    <x v="0"/>
    <x v="0"/>
    <x v="0"/>
    <x v="0"/>
    <x v="0"/>
    <x v="0"/>
    <m/>
    <m/>
    <m/>
    <m/>
    <m/>
    <m/>
  </r>
  <r>
    <x v="33"/>
    <x v="0"/>
    <x v="17"/>
    <x v="2"/>
    <x v="1"/>
    <x v="11"/>
    <x v="0"/>
    <x v="3"/>
    <x v="187"/>
    <x v="80"/>
    <x v="86"/>
    <x v="87"/>
    <x v="92"/>
    <x v="89"/>
    <x v="85"/>
    <x v="90"/>
    <x v="86"/>
    <x v="90"/>
    <x v="83"/>
    <x v="87"/>
    <x v="85"/>
    <x v="88"/>
    <x v="85"/>
    <x v="78"/>
    <x v="75"/>
    <x v="75"/>
    <n v="-3732"/>
    <n v="-3902"/>
    <n v="-4071"/>
    <n v="-4195"/>
    <n v="-4303"/>
    <n v="-4411"/>
  </r>
  <r>
    <x v="33"/>
    <x v="0"/>
    <x v="17"/>
    <x v="2"/>
    <x v="1"/>
    <x v="12"/>
    <x v="0"/>
    <x v="3"/>
    <x v="2"/>
    <x v="2"/>
    <x v="2"/>
    <x v="2"/>
    <x v="2"/>
    <x v="2"/>
    <x v="2"/>
    <x v="2"/>
    <x v="2"/>
    <x v="2"/>
    <x v="2"/>
    <x v="2"/>
    <x v="2"/>
    <x v="2"/>
    <x v="2"/>
    <x v="2"/>
    <x v="2"/>
    <x v="2"/>
    <n v="0"/>
    <n v="0"/>
    <n v="0"/>
    <n v="0"/>
    <n v="0"/>
    <n v="0"/>
  </r>
  <r>
    <x v="33"/>
    <x v="0"/>
    <x v="17"/>
    <x v="2"/>
    <x v="0"/>
    <x v="0"/>
    <x v="0"/>
    <x v="166"/>
    <x v="188"/>
    <x v="0"/>
    <x v="0"/>
    <x v="0"/>
    <x v="0"/>
    <x v="0"/>
    <x v="0"/>
    <x v="0"/>
    <x v="0"/>
    <x v="0"/>
    <x v="0"/>
    <x v="0"/>
    <x v="0"/>
    <x v="0"/>
    <x v="0"/>
    <x v="0"/>
    <x v="0"/>
    <x v="0"/>
    <m/>
    <m/>
    <m/>
    <m/>
    <m/>
    <m/>
  </r>
  <r>
    <x v="33"/>
    <x v="0"/>
    <x v="17"/>
    <x v="2"/>
    <x v="0"/>
    <x v="1"/>
    <x v="0"/>
    <x v="167"/>
    <x v="189"/>
    <x v="81"/>
    <x v="87"/>
    <x v="88"/>
    <x v="93"/>
    <x v="90"/>
    <x v="86"/>
    <x v="91"/>
    <x v="87"/>
    <x v="91"/>
    <x v="84"/>
    <x v="88"/>
    <x v="86"/>
    <x v="89"/>
    <x v="86"/>
    <x v="79"/>
    <x v="76"/>
    <x v="76"/>
    <n v="37386"/>
    <n v="33198"/>
    <n v="33207"/>
    <n v="31512"/>
    <n v="35024"/>
    <n v="30784"/>
  </r>
  <r>
    <x v="33"/>
    <x v="0"/>
    <x v="17"/>
    <x v="2"/>
    <x v="0"/>
    <x v="2"/>
    <x v="0"/>
    <x v="168"/>
    <x v="190"/>
    <x v="0"/>
    <x v="0"/>
    <x v="0"/>
    <x v="0"/>
    <x v="0"/>
    <x v="0"/>
    <x v="0"/>
    <x v="0"/>
    <x v="0"/>
    <x v="0"/>
    <x v="0"/>
    <x v="0"/>
    <x v="0"/>
    <x v="0"/>
    <x v="0"/>
    <x v="0"/>
    <x v="0"/>
    <m/>
    <m/>
    <m/>
    <m/>
    <m/>
    <m/>
  </r>
  <r>
    <x v="33"/>
    <x v="0"/>
    <x v="17"/>
    <x v="2"/>
    <x v="0"/>
    <x v="3"/>
    <x v="0"/>
    <x v="2"/>
    <x v="2"/>
    <x v="0"/>
    <x v="0"/>
    <x v="0"/>
    <x v="0"/>
    <x v="0"/>
    <x v="0"/>
    <x v="0"/>
    <x v="0"/>
    <x v="0"/>
    <x v="0"/>
    <x v="0"/>
    <x v="0"/>
    <x v="0"/>
    <x v="0"/>
    <x v="0"/>
    <x v="0"/>
    <x v="0"/>
    <m/>
    <m/>
    <m/>
    <m/>
    <m/>
    <m/>
  </r>
  <r>
    <x v="33"/>
    <x v="0"/>
    <x v="17"/>
    <x v="2"/>
    <x v="0"/>
    <x v="4"/>
    <x v="0"/>
    <x v="169"/>
    <x v="191"/>
    <x v="0"/>
    <x v="0"/>
    <x v="0"/>
    <x v="0"/>
    <x v="0"/>
    <x v="0"/>
    <x v="0"/>
    <x v="0"/>
    <x v="0"/>
    <x v="0"/>
    <x v="0"/>
    <x v="0"/>
    <x v="0"/>
    <x v="0"/>
    <x v="0"/>
    <x v="0"/>
    <x v="0"/>
    <m/>
    <m/>
    <m/>
    <m/>
    <m/>
    <m/>
  </r>
  <r>
    <x v="33"/>
    <x v="0"/>
    <x v="17"/>
    <x v="2"/>
    <x v="0"/>
    <x v="5"/>
    <x v="0"/>
    <x v="170"/>
    <x v="173"/>
    <x v="0"/>
    <x v="0"/>
    <x v="0"/>
    <x v="0"/>
    <x v="0"/>
    <x v="0"/>
    <x v="0"/>
    <x v="0"/>
    <x v="0"/>
    <x v="0"/>
    <x v="0"/>
    <x v="0"/>
    <x v="0"/>
    <x v="0"/>
    <x v="0"/>
    <x v="0"/>
    <x v="0"/>
    <m/>
    <m/>
    <m/>
    <m/>
    <m/>
    <m/>
  </r>
  <r>
    <x v="33"/>
    <x v="0"/>
    <x v="17"/>
    <x v="2"/>
    <x v="0"/>
    <x v="6"/>
    <x v="0"/>
    <x v="171"/>
    <x v="2"/>
    <x v="82"/>
    <x v="88"/>
    <x v="2"/>
    <x v="2"/>
    <x v="2"/>
    <x v="2"/>
    <x v="2"/>
    <x v="2"/>
    <x v="2"/>
    <x v="2"/>
    <x v="2"/>
    <x v="2"/>
    <x v="2"/>
    <x v="2"/>
    <x v="2"/>
    <x v="2"/>
    <x v="2"/>
    <n v="0"/>
    <n v="0"/>
    <n v="0"/>
    <n v="0"/>
    <n v="0"/>
    <n v="0"/>
  </r>
  <r>
    <x v="33"/>
    <x v="0"/>
    <x v="17"/>
    <x v="2"/>
    <x v="0"/>
    <x v="7"/>
    <x v="0"/>
    <x v="171"/>
    <x v="3"/>
    <x v="82"/>
    <x v="88"/>
    <x v="0"/>
    <x v="0"/>
    <x v="0"/>
    <x v="0"/>
    <x v="0"/>
    <x v="0"/>
    <x v="0"/>
    <x v="0"/>
    <x v="0"/>
    <x v="0"/>
    <x v="0"/>
    <x v="0"/>
    <x v="0"/>
    <x v="0"/>
    <x v="0"/>
    <m/>
    <m/>
    <m/>
    <m/>
    <m/>
    <m/>
  </r>
  <r>
    <x v="33"/>
    <x v="0"/>
    <x v="17"/>
    <x v="2"/>
    <x v="0"/>
    <x v="8"/>
    <x v="0"/>
    <x v="2"/>
    <x v="3"/>
    <x v="0"/>
    <x v="0"/>
    <x v="0"/>
    <x v="0"/>
    <x v="0"/>
    <x v="0"/>
    <x v="0"/>
    <x v="0"/>
    <x v="0"/>
    <x v="0"/>
    <x v="0"/>
    <x v="0"/>
    <x v="0"/>
    <x v="0"/>
    <x v="0"/>
    <x v="0"/>
    <x v="0"/>
    <m/>
    <m/>
    <m/>
    <m/>
    <m/>
    <m/>
  </r>
  <r>
    <x v="33"/>
    <x v="0"/>
    <x v="17"/>
    <x v="2"/>
    <x v="0"/>
    <x v="9"/>
    <x v="0"/>
    <x v="2"/>
    <x v="3"/>
    <x v="0"/>
    <x v="0"/>
    <x v="0"/>
    <x v="0"/>
    <x v="0"/>
    <x v="0"/>
    <x v="0"/>
    <x v="0"/>
    <x v="0"/>
    <x v="0"/>
    <x v="0"/>
    <x v="0"/>
    <x v="0"/>
    <x v="0"/>
    <x v="0"/>
    <x v="0"/>
    <x v="0"/>
    <m/>
    <m/>
    <m/>
    <m/>
    <m/>
    <m/>
  </r>
  <r>
    <x v="33"/>
    <x v="0"/>
    <x v="17"/>
    <x v="2"/>
    <x v="0"/>
    <x v="10"/>
    <x v="0"/>
    <x v="171"/>
    <x v="3"/>
    <x v="82"/>
    <x v="88"/>
    <x v="0"/>
    <x v="0"/>
    <x v="0"/>
    <x v="0"/>
    <x v="0"/>
    <x v="0"/>
    <x v="0"/>
    <x v="0"/>
    <x v="0"/>
    <x v="0"/>
    <x v="0"/>
    <x v="0"/>
    <x v="0"/>
    <x v="0"/>
    <x v="0"/>
    <m/>
    <m/>
    <m/>
    <m/>
    <m/>
    <m/>
  </r>
  <r>
    <x v="33"/>
    <x v="0"/>
    <x v="17"/>
    <x v="2"/>
    <x v="0"/>
    <x v="11"/>
    <x v="0"/>
    <x v="3"/>
    <x v="192"/>
    <x v="83"/>
    <x v="89"/>
    <x v="89"/>
    <x v="94"/>
    <x v="91"/>
    <x v="87"/>
    <x v="92"/>
    <x v="88"/>
    <x v="92"/>
    <x v="85"/>
    <x v="89"/>
    <x v="87"/>
    <x v="90"/>
    <x v="87"/>
    <x v="80"/>
    <x v="77"/>
    <x v="77"/>
    <n v="-336308"/>
    <n v="-369506"/>
    <n v="-402713"/>
    <n v="-434225"/>
    <n v="-469249"/>
    <n v="-500033"/>
  </r>
  <r>
    <x v="33"/>
    <x v="0"/>
    <x v="17"/>
    <x v="2"/>
    <x v="0"/>
    <x v="12"/>
    <x v="0"/>
    <x v="3"/>
    <x v="2"/>
    <x v="2"/>
    <x v="2"/>
    <x v="2"/>
    <x v="2"/>
    <x v="2"/>
    <x v="2"/>
    <x v="2"/>
    <x v="2"/>
    <x v="2"/>
    <x v="2"/>
    <x v="2"/>
    <x v="2"/>
    <x v="2"/>
    <x v="2"/>
    <x v="2"/>
    <x v="2"/>
    <x v="2"/>
    <n v="0"/>
    <n v="0"/>
    <n v="0"/>
    <n v="0"/>
    <n v="0"/>
    <n v="0"/>
  </r>
  <r>
    <x v="34"/>
    <x v="0"/>
    <x v="2"/>
    <x v="4"/>
    <x v="0"/>
    <x v="0"/>
    <x v="0"/>
    <x v="172"/>
    <x v="193"/>
    <x v="0"/>
    <x v="0"/>
    <x v="0"/>
    <x v="0"/>
    <x v="0"/>
    <x v="0"/>
    <x v="0"/>
    <x v="0"/>
    <x v="0"/>
    <x v="0"/>
    <x v="0"/>
    <x v="0"/>
    <x v="0"/>
    <x v="0"/>
    <x v="0"/>
    <x v="0"/>
    <x v="0"/>
    <m/>
    <m/>
    <m/>
    <m/>
    <m/>
    <m/>
  </r>
  <r>
    <x v="34"/>
    <x v="0"/>
    <x v="2"/>
    <x v="4"/>
    <x v="0"/>
    <x v="1"/>
    <x v="0"/>
    <x v="173"/>
    <x v="194"/>
    <x v="84"/>
    <x v="90"/>
    <x v="90"/>
    <x v="95"/>
    <x v="92"/>
    <x v="88"/>
    <x v="93"/>
    <x v="89"/>
    <x v="93"/>
    <x v="86"/>
    <x v="90"/>
    <x v="88"/>
    <x v="91"/>
    <x v="88"/>
    <x v="81"/>
    <x v="78"/>
    <x v="78"/>
    <n v="1320"/>
    <n v="1320"/>
    <n v="1320"/>
    <n v="1550"/>
    <n v="1640"/>
    <n v="1638"/>
  </r>
  <r>
    <x v="34"/>
    <x v="0"/>
    <x v="2"/>
    <x v="4"/>
    <x v="0"/>
    <x v="2"/>
    <x v="0"/>
    <x v="174"/>
    <x v="195"/>
    <x v="0"/>
    <x v="0"/>
    <x v="0"/>
    <x v="0"/>
    <x v="0"/>
    <x v="0"/>
    <x v="0"/>
    <x v="0"/>
    <x v="0"/>
    <x v="0"/>
    <x v="0"/>
    <x v="0"/>
    <x v="0"/>
    <x v="0"/>
    <x v="0"/>
    <x v="0"/>
    <x v="0"/>
    <m/>
    <m/>
    <m/>
    <m/>
    <m/>
    <m/>
  </r>
  <r>
    <x v="34"/>
    <x v="0"/>
    <x v="2"/>
    <x v="4"/>
    <x v="0"/>
    <x v="3"/>
    <x v="0"/>
    <x v="2"/>
    <x v="2"/>
    <x v="0"/>
    <x v="0"/>
    <x v="0"/>
    <x v="0"/>
    <x v="0"/>
    <x v="0"/>
    <x v="0"/>
    <x v="0"/>
    <x v="0"/>
    <x v="0"/>
    <x v="0"/>
    <x v="0"/>
    <x v="0"/>
    <x v="0"/>
    <x v="0"/>
    <x v="0"/>
    <x v="0"/>
    <m/>
    <m/>
    <m/>
    <m/>
    <m/>
    <m/>
  </r>
  <r>
    <x v="34"/>
    <x v="0"/>
    <x v="2"/>
    <x v="4"/>
    <x v="0"/>
    <x v="4"/>
    <x v="0"/>
    <x v="175"/>
    <x v="196"/>
    <x v="0"/>
    <x v="0"/>
    <x v="0"/>
    <x v="0"/>
    <x v="0"/>
    <x v="0"/>
    <x v="0"/>
    <x v="0"/>
    <x v="0"/>
    <x v="0"/>
    <x v="0"/>
    <x v="0"/>
    <x v="0"/>
    <x v="0"/>
    <x v="0"/>
    <x v="0"/>
    <x v="0"/>
    <m/>
    <m/>
    <m/>
    <m/>
    <m/>
    <m/>
  </r>
  <r>
    <x v="34"/>
    <x v="0"/>
    <x v="2"/>
    <x v="4"/>
    <x v="0"/>
    <x v="5"/>
    <x v="0"/>
    <x v="3"/>
    <x v="3"/>
    <x v="0"/>
    <x v="0"/>
    <x v="0"/>
    <x v="0"/>
    <x v="0"/>
    <x v="0"/>
    <x v="0"/>
    <x v="0"/>
    <x v="0"/>
    <x v="0"/>
    <x v="0"/>
    <x v="0"/>
    <x v="0"/>
    <x v="0"/>
    <x v="0"/>
    <x v="0"/>
    <x v="0"/>
    <m/>
    <m/>
    <m/>
    <m/>
    <m/>
    <m/>
  </r>
  <r>
    <x v="34"/>
    <x v="0"/>
    <x v="2"/>
    <x v="4"/>
    <x v="0"/>
    <x v="6"/>
    <x v="0"/>
    <x v="176"/>
    <x v="2"/>
    <x v="2"/>
    <x v="2"/>
    <x v="2"/>
    <x v="96"/>
    <x v="51"/>
    <x v="2"/>
    <x v="2"/>
    <x v="2"/>
    <x v="2"/>
    <x v="2"/>
    <x v="2"/>
    <x v="50"/>
    <x v="92"/>
    <x v="2"/>
    <x v="2"/>
    <x v="2"/>
    <x v="2"/>
    <n v="0"/>
    <n v="0"/>
    <n v="0"/>
    <n v="0"/>
    <n v="0"/>
    <n v="0"/>
  </r>
  <r>
    <x v="34"/>
    <x v="0"/>
    <x v="2"/>
    <x v="4"/>
    <x v="0"/>
    <x v="7"/>
    <x v="0"/>
    <x v="176"/>
    <x v="3"/>
    <x v="0"/>
    <x v="0"/>
    <x v="0"/>
    <x v="96"/>
    <x v="51"/>
    <x v="0"/>
    <x v="0"/>
    <x v="0"/>
    <x v="0"/>
    <x v="0"/>
    <x v="0"/>
    <x v="50"/>
    <x v="92"/>
    <x v="0"/>
    <x v="0"/>
    <x v="0"/>
    <x v="0"/>
    <m/>
    <m/>
    <m/>
    <m/>
    <m/>
    <m/>
  </r>
  <r>
    <x v="34"/>
    <x v="0"/>
    <x v="2"/>
    <x v="4"/>
    <x v="0"/>
    <x v="8"/>
    <x v="0"/>
    <x v="2"/>
    <x v="3"/>
    <x v="0"/>
    <x v="0"/>
    <x v="0"/>
    <x v="0"/>
    <x v="0"/>
    <x v="0"/>
    <x v="0"/>
    <x v="0"/>
    <x v="0"/>
    <x v="0"/>
    <x v="0"/>
    <x v="0"/>
    <x v="0"/>
    <x v="0"/>
    <x v="0"/>
    <x v="0"/>
    <x v="0"/>
    <m/>
    <m/>
    <m/>
    <m/>
    <m/>
    <m/>
  </r>
  <r>
    <x v="34"/>
    <x v="0"/>
    <x v="2"/>
    <x v="4"/>
    <x v="0"/>
    <x v="9"/>
    <x v="0"/>
    <x v="2"/>
    <x v="3"/>
    <x v="0"/>
    <x v="0"/>
    <x v="0"/>
    <x v="0"/>
    <x v="0"/>
    <x v="0"/>
    <x v="0"/>
    <x v="0"/>
    <x v="0"/>
    <x v="0"/>
    <x v="0"/>
    <x v="0"/>
    <x v="0"/>
    <x v="0"/>
    <x v="0"/>
    <x v="0"/>
    <x v="0"/>
    <m/>
    <m/>
    <m/>
    <m/>
    <m/>
    <m/>
  </r>
  <r>
    <x v="34"/>
    <x v="0"/>
    <x v="2"/>
    <x v="4"/>
    <x v="0"/>
    <x v="10"/>
    <x v="0"/>
    <x v="176"/>
    <x v="3"/>
    <x v="0"/>
    <x v="0"/>
    <x v="0"/>
    <x v="96"/>
    <x v="51"/>
    <x v="0"/>
    <x v="0"/>
    <x v="0"/>
    <x v="0"/>
    <x v="0"/>
    <x v="0"/>
    <x v="50"/>
    <x v="92"/>
    <x v="0"/>
    <x v="0"/>
    <x v="0"/>
    <x v="0"/>
    <m/>
    <m/>
    <m/>
    <m/>
    <m/>
    <m/>
  </r>
  <r>
    <x v="34"/>
    <x v="0"/>
    <x v="2"/>
    <x v="4"/>
    <x v="0"/>
    <x v="11"/>
    <x v="0"/>
    <x v="3"/>
    <x v="197"/>
    <x v="85"/>
    <x v="91"/>
    <x v="91"/>
    <x v="97"/>
    <x v="93"/>
    <x v="89"/>
    <x v="94"/>
    <x v="90"/>
    <x v="94"/>
    <x v="87"/>
    <x v="91"/>
    <x v="89"/>
    <x v="93"/>
    <x v="89"/>
    <x v="82"/>
    <x v="79"/>
    <x v="79"/>
    <n v="423164"/>
    <n v="421844"/>
    <n v="420524"/>
    <n v="418974"/>
    <n v="417334"/>
    <n v="415696"/>
  </r>
  <r>
    <x v="34"/>
    <x v="0"/>
    <x v="2"/>
    <x v="4"/>
    <x v="0"/>
    <x v="12"/>
    <x v="0"/>
    <x v="3"/>
    <x v="2"/>
    <x v="2"/>
    <x v="2"/>
    <x v="2"/>
    <x v="2"/>
    <x v="2"/>
    <x v="2"/>
    <x v="2"/>
    <x v="2"/>
    <x v="2"/>
    <x v="2"/>
    <x v="2"/>
    <x v="2"/>
    <x v="2"/>
    <x v="2"/>
    <x v="2"/>
    <x v="2"/>
    <x v="2"/>
    <n v="0"/>
    <n v="0"/>
    <n v="0"/>
    <n v="0"/>
    <n v="0"/>
    <n v="0"/>
  </r>
  <r>
    <x v="35"/>
    <x v="0"/>
    <x v="2"/>
    <x v="2"/>
    <x v="0"/>
    <x v="0"/>
    <x v="0"/>
    <x v="177"/>
    <x v="198"/>
    <x v="0"/>
    <x v="0"/>
    <x v="0"/>
    <x v="0"/>
    <x v="0"/>
    <x v="0"/>
    <x v="0"/>
    <x v="0"/>
    <x v="0"/>
    <x v="0"/>
    <x v="0"/>
    <x v="0"/>
    <x v="0"/>
    <x v="0"/>
    <x v="0"/>
    <x v="0"/>
    <x v="0"/>
    <m/>
    <m/>
    <m/>
    <m/>
    <m/>
    <m/>
  </r>
  <r>
    <x v="35"/>
    <x v="0"/>
    <x v="2"/>
    <x v="2"/>
    <x v="0"/>
    <x v="1"/>
    <x v="0"/>
    <x v="178"/>
    <x v="199"/>
    <x v="86"/>
    <x v="92"/>
    <x v="92"/>
    <x v="98"/>
    <x v="94"/>
    <x v="90"/>
    <x v="95"/>
    <x v="91"/>
    <x v="95"/>
    <x v="88"/>
    <x v="92"/>
    <x v="90"/>
    <x v="94"/>
    <x v="90"/>
    <x v="83"/>
    <x v="80"/>
    <x v="80"/>
    <n v="1933"/>
    <n v="1930"/>
    <n v="1930"/>
    <n v="1911"/>
    <n v="2851"/>
    <n v="2855"/>
  </r>
  <r>
    <x v="35"/>
    <x v="0"/>
    <x v="2"/>
    <x v="2"/>
    <x v="0"/>
    <x v="2"/>
    <x v="0"/>
    <x v="179"/>
    <x v="200"/>
    <x v="0"/>
    <x v="0"/>
    <x v="0"/>
    <x v="0"/>
    <x v="0"/>
    <x v="0"/>
    <x v="0"/>
    <x v="0"/>
    <x v="0"/>
    <x v="0"/>
    <x v="0"/>
    <x v="0"/>
    <x v="0"/>
    <x v="0"/>
    <x v="0"/>
    <x v="0"/>
    <x v="0"/>
    <m/>
    <m/>
    <m/>
    <m/>
    <m/>
    <m/>
  </r>
  <r>
    <x v="35"/>
    <x v="0"/>
    <x v="2"/>
    <x v="2"/>
    <x v="0"/>
    <x v="3"/>
    <x v="0"/>
    <x v="2"/>
    <x v="2"/>
    <x v="0"/>
    <x v="0"/>
    <x v="0"/>
    <x v="0"/>
    <x v="0"/>
    <x v="0"/>
    <x v="0"/>
    <x v="0"/>
    <x v="0"/>
    <x v="0"/>
    <x v="0"/>
    <x v="0"/>
    <x v="0"/>
    <x v="0"/>
    <x v="0"/>
    <x v="0"/>
    <x v="0"/>
    <m/>
    <m/>
    <m/>
    <m/>
    <m/>
    <m/>
  </r>
  <r>
    <x v="35"/>
    <x v="0"/>
    <x v="2"/>
    <x v="2"/>
    <x v="0"/>
    <x v="4"/>
    <x v="0"/>
    <x v="180"/>
    <x v="201"/>
    <x v="0"/>
    <x v="0"/>
    <x v="0"/>
    <x v="0"/>
    <x v="0"/>
    <x v="0"/>
    <x v="0"/>
    <x v="0"/>
    <x v="0"/>
    <x v="0"/>
    <x v="0"/>
    <x v="0"/>
    <x v="0"/>
    <x v="0"/>
    <x v="0"/>
    <x v="0"/>
    <x v="0"/>
    <m/>
    <m/>
    <m/>
    <m/>
    <m/>
    <m/>
  </r>
  <r>
    <x v="35"/>
    <x v="0"/>
    <x v="2"/>
    <x v="2"/>
    <x v="0"/>
    <x v="5"/>
    <x v="0"/>
    <x v="181"/>
    <x v="202"/>
    <x v="0"/>
    <x v="0"/>
    <x v="0"/>
    <x v="0"/>
    <x v="0"/>
    <x v="0"/>
    <x v="0"/>
    <x v="0"/>
    <x v="0"/>
    <x v="0"/>
    <x v="0"/>
    <x v="0"/>
    <x v="0"/>
    <x v="0"/>
    <x v="0"/>
    <x v="0"/>
    <x v="0"/>
    <m/>
    <m/>
    <m/>
    <m/>
    <m/>
    <m/>
  </r>
  <r>
    <x v="35"/>
    <x v="0"/>
    <x v="2"/>
    <x v="2"/>
    <x v="0"/>
    <x v="6"/>
    <x v="0"/>
    <x v="182"/>
    <x v="2"/>
    <x v="87"/>
    <x v="93"/>
    <x v="93"/>
    <x v="99"/>
    <x v="2"/>
    <x v="91"/>
    <x v="96"/>
    <x v="92"/>
    <x v="2"/>
    <x v="2"/>
    <x v="2"/>
    <x v="2"/>
    <x v="2"/>
    <x v="2"/>
    <x v="2"/>
    <x v="2"/>
    <x v="2"/>
    <n v="0"/>
    <n v="0"/>
    <n v="0"/>
    <n v="0"/>
    <n v="0"/>
    <n v="0"/>
  </r>
  <r>
    <x v="35"/>
    <x v="0"/>
    <x v="2"/>
    <x v="2"/>
    <x v="0"/>
    <x v="7"/>
    <x v="0"/>
    <x v="182"/>
    <x v="3"/>
    <x v="87"/>
    <x v="93"/>
    <x v="93"/>
    <x v="99"/>
    <x v="0"/>
    <x v="91"/>
    <x v="96"/>
    <x v="92"/>
    <x v="0"/>
    <x v="0"/>
    <x v="0"/>
    <x v="0"/>
    <x v="0"/>
    <x v="0"/>
    <x v="0"/>
    <x v="0"/>
    <x v="0"/>
    <m/>
    <m/>
    <m/>
    <m/>
    <m/>
    <m/>
  </r>
  <r>
    <x v="35"/>
    <x v="0"/>
    <x v="2"/>
    <x v="2"/>
    <x v="0"/>
    <x v="8"/>
    <x v="0"/>
    <x v="2"/>
    <x v="3"/>
    <x v="0"/>
    <x v="0"/>
    <x v="0"/>
    <x v="0"/>
    <x v="0"/>
    <x v="0"/>
    <x v="0"/>
    <x v="0"/>
    <x v="0"/>
    <x v="0"/>
    <x v="0"/>
    <x v="0"/>
    <x v="0"/>
    <x v="0"/>
    <x v="0"/>
    <x v="0"/>
    <x v="0"/>
    <m/>
    <m/>
    <m/>
    <m/>
    <m/>
    <m/>
  </r>
  <r>
    <x v="35"/>
    <x v="0"/>
    <x v="2"/>
    <x v="2"/>
    <x v="0"/>
    <x v="9"/>
    <x v="0"/>
    <x v="2"/>
    <x v="3"/>
    <x v="0"/>
    <x v="0"/>
    <x v="0"/>
    <x v="0"/>
    <x v="0"/>
    <x v="0"/>
    <x v="0"/>
    <x v="0"/>
    <x v="0"/>
    <x v="0"/>
    <x v="0"/>
    <x v="0"/>
    <x v="0"/>
    <x v="0"/>
    <x v="0"/>
    <x v="0"/>
    <x v="0"/>
    <m/>
    <m/>
    <m/>
    <m/>
    <m/>
    <m/>
  </r>
  <r>
    <x v="35"/>
    <x v="0"/>
    <x v="2"/>
    <x v="2"/>
    <x v="0"/>
    <x v="10"/>
    <x v="0"/>
    <x v="182"/>
    <x v="3"/>
    <x v="87"/>
    <x v="93"/>
    <x v="93"/>
    <x v="99"/>
    <x v="0"/>
    <x v="91"/>
    <x v="96"/>
    <x v="92"/>
    <x v="0"/>
    <x v="0"/>
    <x v="0"/>
    <x v="0"/>
    <x v="0"/>
    <x v="0"/>
    <x v="0"/>
    <x v="0"/>
    <x v="0"/>
    <m/>
    <m/>
    <m/>
    <m/>
    <m/>
    <m/>
  </r>
  <r>
    <x v="35"/>
    <x v="0"/>
    <x v="2"/>
    <x v="2"/>
    <x v="0"/>
    <x v="11"/>
    <x v="0"/>
    <x v="3"/>
    <x v="203"/>
    <x v="88"/>
    <x v="94"/>
    <x v="94"/>
    <x v="100"/>
    <x v="95"/>
    <x v="92"/>
    <x v="97"/>
    <x v="93"/>
    <x v="96"/>
    <x v="89"/>
    <x v="93"/>
    <x v="91"/>
    <x v="95"/>
    <x v="91"/>
    <x v="84"/>
    <x v="81"/>
    <x v="81"/>
    <n v="533969"/>
    <n v="532039"/>
    <n v="530109"/>
    <n v="528198"/>
    <n v="525347"/>
    <n v="522492"/>
  </r>
  <r>
    <x v="35"/>
    <x v="0"/>
    <x v="2"/>
    <x v="2"/>
    <x v="0"/>
    <x v="12"/>
    <x v="0"/>
    <x v="3"/>
    <x v="2"/>
    <x v="2"/>
    <x v="2"/>
    <x v="2"/>
    <x v="2"/>
    <x v="2"/>
    <x v="2"/>
    <x v="2"/>
    <x v="2"/>
    <x v="2"/>
    <x v="2"/>
    <x v="2"/>
    <x v="2"/>
    <x v="2"/>
    <x v="2"/>
    <x v="2"/>
    <x v="2"/>
    <x v="2"/>
    <n v="0"/>
    <n v="0"/>
    <n v="0"/>
    <n v="0"/>
    <n v="0"/>
    <n v="0"/>
  </r>
  <r>
    <x v="36"/>
    <x v="0"/>
    <x v="2"/>
    <x v="1"/>
    <x v="0"/>
    <x v="0"/>
    <x v="0"/>
    <x v="183"/>
    <x v="204"/>
    <x v="0"/>
    <x v="0"/>
    <x v="0"/>
    <x v="0"/>
    <x v="0"/>
    <x v="0"/>
    <x v="0"/>
    <x v="0"/>
    <x v="0"/>
    <x v="0"/>
    <x v="0"/>
    <x v="0"/>
    <x v="0"/>
    <x v="0"/>
    <x v="0"/>
    <x v="0"/>
    <x v="0"/>
    <m/>
    <m/>
    <m/>
    <m/>
    <m/>
    <m/>
  </r>
  <r>
    <x v="36"/>
    <x v="0"/>
    <x v="2"/>
    <x v="1"/>
    <x v="0"/>
    <x v="1"/>
    <x v="0"/>
    <x v="184"/>
    <x v="12"/>
    <x v="89"/>
    <x v="95"/>
    <x v="95"/>
    <x v="101"/>
    <x v="96"/>
    <x v="93"/>
    <x v="98"/>
    <x v="94"/>
    <x v="97"/>
    <x v="90"/>
    <x v="94"/>
    <x v="92"/>
    <x v="96"/>
    <x v="92"/>
    <x v="85"/>
    <x v="82"/>
    <x v="82"/>
    <n v="0"/>
    <n v="0"/>
    <n v="0"/>
    <n v="0"/>
    <n v="0"/>
    <n v="0"/>
  </r>
  <r>
    <x v="36"/>
    <x v="0"/>
    <x v="2"/>
    <x v="1"/>
    <x v="0"/>
    <x v="2"/>
    <x v="0"/>
    <x v="185"/>
    <x v="205"/>
    <x v="0"/>
    <x v="0"/>
    <x v="0"/>
    <x v="0"/>
    <x v="0"/>
    <x v="0"/>
    <x v="0"/>
    <x v="0"/>
    <x v="0"/>
    <x v="0"/>
    <x v="0"/>
    <x v="0"/>
    <x v="0"/>
    <x v="0"/>
    <x v="0"/>
    <x v="0"/>
    <x v="0"/>
    <m/>
    <m/>
    <m/>
    <m/>
    <m/>
    <m/>
  </r>
  <r>
    <x v="36"/>
    <x v="0"/>
    <x v="2"/>
    <x v="1"/>
    <x v="0"/>
    <x v="3"/>
    <x v="0"/>
    <x v="2"/>
    <x v="2"/>
    <x v="0"/>
    <x v="0"/>
    <x v="0"/>
    <x v="0"/>
    <x v="0"/>
    <x v="0"/>
    <x v="0"/>
    <x v="0"/>
    <x v="0"/>
    <x v="0"/>
    <x v="0"/>
    <x v="0"/>
    <x v="0"/>
    <x v="0"/>
    <x v="0"/>
    <x v="0"/>
    <x v="0"/>
    <m/>
    <m/>
    <m/>
    <m/>
    <m/>
    <m/>
  </r>
  <r>
    <x v="36"/>
    <x v="0"/>
    <x v="2"/>
    <x v="1"/>
    <x v="0"/>
    <x v="4"/>
    <x v="0"/>
    <x v="186"/>
    <x v="206"/>
    <x v="0"/>
    <x v="0"/>
    <x v="0"/>
    <x v="0"/>
    <x v="0"/>
    <x v="0"/>
    <x v="0"/>
    <x v="0"/>
    <x v="0"/>
    <x v="0"/>
    <x v="0"/>
    <x v="0"/>
    <x v="0"/>
    <x v="0"/>
    <x v="0"/>
    <x v="0"/>
    <x v="0"/>
    <m/>
    <m/>
    <m/>
    <m/>
    <m/>
    <m/>
  </r>
  <r>
    <x v="36"/>
    <x v="0"/>
    <x v="2"/>
    <x v="1"/>
    <x v="0"/>
    <x v="5"/>
    <x v="0"/>
    <x v="187"/>
    <x v="207"/>
    <x v="0"/>
    <x v="0"/>
    <x v="0"/>
    <x v="0"/>
    <x v="0"/>
    <x v="0"/>
    <x v="0"/>
    <x v="0"/>
    <x v="0"/>
    <x v="0"/>
    <x v="0"/>
    <x v="0"/>
    <x v="0"/>
    <x v="0"/>
    <x v="0"/>
    <x v="0"/>
    <x v="0"/>
    <m/>
    <m/>
    <m/>
    <m/>
    <m/>
    <m/>
  </r>
  <r>
    <x v="36"/>
    <x v="0"/>
    <x v="2"/>
    <x v="1"/>
    <x v="0"/>
    <x v="6"/>
    <x v="0"/>
    <x v="188"/>
    <x v="2"/>
    <x v="2"/>
    <x v="96"/>
    <x v="33"/>
    <x v="36"/>
    <x v="97"/>
    <x v="94"/>
    <x v="99"/>
    <x v="95"/>
    <x v="98"/>
    <x v="91"/>
    <x v="95"/>
    <x v="93"/>
    <x v="97"/>
    <x v="93"/>
    <x v="2"/>
    <x v="2"/>
    <x v="2"/>
    <n v="0"/>
    <n v="0"/>
    <n v="0"/>
    <n v="0"/>
    <n v="0"/>
    <n v="0"/>
  </r>
  <r>
    <x v="36"/>
    <x v="0"/>
    <x v="2"/>
    <x v="1"/>
    <x v="0"/>
    <x v="7"/>
    <x v="0"/>
    <x v="188"/>
    <x v="3"/>
    <x v="0"/>
    <x v="96"/>
    <x v="33"/>
    <x v="36"/>
    <x v="97"/>
    <x v="94"/>
    <x v="99"/>
    <x v="95"/>
    <x v="98"/>
    <x v="91"/>
    <x v="95"/>
    <x v="93"/>
    <x v="97"/>
    <x v="93"/>
    <x v="0"/>
    <x v="0"/>
    <x v="0"/>
    <m/>
    <m/>
    <m/>
    <m/>
    <m/>
    <m/>
  </r>
  <r>
    <x v="36"/>
    <x v="0"/>
    <x v="2"/>
    <x v="1"/>
    <x v="0"/>
    <x v="8"/>
    <x v="0"/>
    <x v="2"/>
    <x v="3"/>
    <x v="0"/>
    <x v="0"/>
    <x v="0"/>
    <x v="0"/>
    <x v="0"/>
    <x v="0"/>
    <x v="0"/>
    <x v="0"/>
    <x v="0"/>
    <x v="0"/>
    <x v="0"/>
    <x v="0"/>
    <x v="0"/>
    <x v="0"/>
    <x v="0"/>
    <x v="0"/>
    <x v="0"/>
    <m/>
    <m/>
    <m/>
    <m/>
    <m/>
    <m/>
  </r>
  <r>
    <x v="36"/>
    <x v="0"/>
    <x v="2"/>
    <x v="1"/>
    <x v="0"/>
    <x v="9"/>
    <x v="0"/>
    <x v="2"/>
    <x v="3"/>
    <x v="0"/>
    <x v="0"/>
    <x v="0"/>
    <x v="0"/>
    <x v="0"/>
    <x v="0"/>
    <x v="0"/>
    <x v="0"/>
    <x v="0"/>
    <x v="0"/>
    <x v="0"/>
    <x v="0"/>
    <x v="0"/>
    <x v="0"/>
    <x v="0"/>
    <x v="0"/>
    <x v="0"/>
    <m/>
    <m/>
    <m/>
    <m/>
    <m/>
    <m/>
  </r>
  <r>
    <x v="36"/>
    <x v="0"/>
    <x v="2"/>
    <x v="1"/>
    <x v="0"/>
    <x v="10"/>
    <x v="0"/>
    <x v="188"/>
    <x v="3"/>
    <x v="0"/>
    <x v="96"/>
    <x v="33"/>
    <x v="36"/>
    <x v="97"/>
    <x v="94"/>
    <x v="99"/>
    <x v="95"/>
    <x v="98"/>
    <x v="91"/>
    <x v="95"/>
    <x v="93"/>
    <x v="97"/>
    <x v="93"/>
    <x v="0"/>
    <x v="0"/>
    <x v="0"/>
    <m/>
    <m/>
    <m/>
    <m/>
    <m/>
    <m/>
  </r>
  <r>
    <x v="36"/>
    <x v="0"/>
    <x v="2"/>
    <x v="1"/>
    <x v="0"/>
    <x v="11"/>
    <x v="0"/>
    <x v="3"/>
    <x v="208"/>
    <x v="90"/>
    <x v="97"/>
    <x v="96"/>
    <x v="102"/>
    <x v="98"/>
    <x v="95"/>
    <x v="100"/>
    <x v="96"/>
    <x v="99"/>
    <x v="92"/>
    <x v="96"/>
    <x v="94"/>
    <x v="98"/>
    <x v="94"/>
    <x v="86"/>
    <x v="83"/>
    <x v="83"/>
    <n v="201698"/>
    <n v="201698"/>
    <n v="201698"/>
    <n v="201698"/>
    <n v="201698"/>
    <n v="201698"/>
  </r>
  <r>
    <x v="36"/>
    <x v="0"/>
    <x v="2"/>
    <x v="1"/>
    <x v="0"/>
    <x v="12"/>
    <x v="0"/>
    <x v="3"/>
    <x v="2"/>
    <x v="2"/>
    <x v="2"/>
    <x v="2"/>
    <x v="2"/>
    <x v="2"/>
    <x v="2"/>
    <x v="2"/>
    <x v="2"/>
    <x v="2"/>
    <x v="2"/>
    <x v="2"/>
    <x v="2"/>
    <x v="2"/>
    <x v="2"/>
    <x v="2"/>
    <x v="2"/>
    <x v="2"/>
    <n v="0"/>
    <n v="0"/>
    <n v="0"/>
    <n v="0"/>
    <n v="0"/>
    <n v="0"/>
  </r>
  <r>
    <x v="37"/>
    <x v="0"/>
    <x v="2"/>
    <x v="0"/>
    <x v="1"/>
    <x v="0"/>
    <x v="0"/>
    <x v="189"/>
    <x v="209"/>
    <x v="0"/>
    <x v="0"/>
    <x v="0"/>
    <x v="0"/>
    <x v="0"/>
    <x v="0"/>
    <x v="0"/>
    <x v="0"/>
    <x v="0"/>
    <x v="0"/>
    <x v="0"/>
    <x v="0"/>
    <x v="0"/>
    <x v="0"/>
    <x v="0"/>
    <x v="0"/>
    <x v="0"/>
    <m/>
    <m/>
    <m/>
    <m/>
    <m/>
    <m/>
  </r>
  <r>
    <x v="37"/>
    <x v="0"/>
    <x v="2"/>
    <x v="0"/>
    <x v="1"/>
    <x v="1"/>
    <x v="0"/>
    <x v="190"/>
    <x v="210"/>
    <x v="91"/>
    <x v="98"/>
    <x v="97"/>
    <x v="103"/>
    <x v="99"/>
    <x v="96"/>
    <x v="101"/>
    <x v="97"/>
    <x v="100"/>
    <x v="93"/>
    <x v="97"/>
    <x v="95"/>
    <x v="99"/>
    <x v="95"/>
    <x v="87"/>
    <x v="84"/>
    <x v="84"/>
    <n v="126"/>
    <n v="125"/>
    <n v="71"/>
    <n v="14"/>
    <n v="0"/>
    <n v="0"/>
  </r>
  <r>
    <x v="37"/>
    <x v="0"/>
    <x v="2"/>
    <x v="0"/>
    <x v="1"/>
    <x v="2"/>
    <x v="0"/>
    <x v="2"/>
    <x v="2"/>
    <x v="0"/>
    <x v="0"/>
    <x v="0"/>
    <x v="0"/>
    <x v="0"/>
    <x v="0"/>
    <x v="0"/>
    <x v="0"/>
    <x v="0"/>
    <x v="0"/>
    <x v="0"/>
    <x v="0"/>
    <x v="0"/>
    <x v="0"/>
    <x v="0"/>
    <x v="0"/>
    <x v="0"/>
    <m/>
    <m/>
    <m/>
    <m/>
    <m/>
    <m/>
  </r>
  <r>
    <x v="37"/>
    <x v="0"/>
    <x v="2"/>
    <x v="0"/>
    <x v="1"/>
    <x v="3"/>
    <x v="0"/>
    <x v="2"/>
    <x v="2"/>
    <x v="0"/>
    <x v="0"/>
    <x v="0"/>
    <x v="0"/>
    <x v="0"/>
    <x v="0"/>
    <x v="0"/>
    <x v="0"/>
    <x v="0"/>
    <x v="0"/>
    <x v="0"/>
    <x v="0"/>
    <x v="0"/>
    <x v="0"/>
    <x v="0"/>
    <x v="0"/>
    <x v="0"/>
    <m/>
    <m/>
    <m/>
    <m/>
    <m/>
    <m/>
  </r>
  <r>
    <x v="37"/>
    <x v="0"/>
    <x v="2"/>
    <x v="0"/>
    <x v="1"/>
    <x v="4"/>
    <x v="0"/>
    <x v="191"/>
    <x v="211"/>
    <x v="0"/>
    <x v="0"/>
    <x v="0"/>
    <x v="0"/>
    <x v="0"/>
    <x v="0"/>
    <x v="0"/>
    <x v="0"/>
    <x v="0"/>
    <x v="0"/>
    <x v="0"/>
    <x v="0"/>
    <x v="0"/>
    <x v="0"/>
    <x v="0"/>
    <x v="0"/>
    <x v="0"/>
    <m/>
    <m/>
    <m/>
    <m/>
    <m/>
    <m/>
  </r>
  <r>
    <x v="37"/>
    <x v="0"/>
    <x v="2"/>
    <x v="0"/>
    <x v="1"/>
    <x v="5"/>
    <x v="0"/>
    <x v="3"/>
    <x v="3"/>
    <x v="0"/>
    <x v="0"/>
    <x v="0"/>
    <x v="0"/>
    <x v="0"/>
    <x v="0"/>
    <x v="0"/>
    <x v="0"/>
    <x v="0"/>
    <x v="0"/>
    <x v="0"/>
    <x v="0"/>
    <x v="0"/>
    <x v="0"/>
    <x v="0"/>
    <x v="0"/>
    <x v="0"/>
    <m/>
    <m/>
    <m/>
    <m/>
    <m/>
    <m/>
  </r>
  <r>
    <x v="37"/>
    <x v="0"/>
    <x v="2"/>
    <x v="0"/>
    <x v="1"/>
    <x v="6"/>
    <x v="0"/>
    <x v="2"/>
    <x v="2"/>
    <x v="2"/>
    <x v="2"/>
    <x v="2"/>
    <x v="2"/>
    <x v="2"/>
    <x v="2"/>
    <x v="2"/>
    <x v="2"/>
    <x v="2"/>
    <x v="2"/>
    <x v="2"/>
    <x v="2"/>
    <x v="2"/>
    <x v="2"/>
    <x v="2"/>
    <x v="2"/>
    <x v="2"/>
    <n v="0"/>
    <n v="0"/>
    <n v="0"/>
    <n v="0"/>
    <n v="0"/>
    <n v="0"/>
  </r>
  <r>
    <x v="37"/>
    <x v="0"/>
    <x v="2"/>
    <x v="0"/>
    <x v="1"/>
    <x v="7"/>
    <x v="0"/>
    <x v="3"/>
    <x v="3"/>
    <x v="0"/>
    <x v="0"/>
    <x v="0"/>
    <x v="0"/>
    <x v="0"/>
    <x v="0"/>
    <x v="0"/>
    <x v="0"/>
    <x v="0"/>
    <x v="0"/>
    <x v="0"/>
    <x v="0"/>
    <x v="0"/>
    <x v="0"/>
    <x v="0"/>
    <x v="0"/>
    <x v="0"/>
    <m/>
    <m/>
    <m/>
    <m/>
    <m/>
    <m/>
  </r>
  <r>
    <x v="37"/>
    <x v="0"/>
    <x v="2"/>
    <x v="0"/>
    <x v="1"/>
    <x v="8"/>
    <x v="0"/>
    <x v="2"/>
    <x v="3"/>
    <x v="0"/>
    <x v="0"/>
    <x v="0"/>
    <x v="0"/>
    <x v="0"/>
    <x v="0"/>
    <x v="0"/>
    <x v="0"/>
    <x v="0"/>
    <x v="0"/>
    <x v="0"/>
    <x v="0"/>
    <x v="0"/>
    <x v="0"/>
    <x v="0"/>
    <x v="0"/>
    <x v="0"/>
    <m/>
    <m/>
    <m/>
    <m/>
    <m/>
    <m/>
  </r>
  <r>
    <x v="37"/>
    <x v="0"/>
    <x v="2"/>
    <x v="0"/>
    <x v="1"/>
    <x v="9"/>
    <x v="0"/>
    <x v="2"/>
    <x v="3"/>
    <x v="0"/>
    <x v="0"/>
    <x v="0"/>
    <x v="0"/>
    <x v="0"/>
    <x v="0"/>
    <x v="0"/>
    <x v="0"/>
    <x v="0"/>
    <x v="0"/>
    <x v="0"/>
    <x v="0"/>
    <x v="0"/>
    <x v="0"/>
    <x v="0"/>
    <x v="0"/>
    <x v="0"/>
    <m/>
    <m/>
    <m/>
    <m/>
    <m/>
    <m/>
  </r>
  <r>
    <x v="37"/>
    <x v="0"/>
    <x v="2"/>
    <x v="0"/>
    <x v="1"/>
    <x v="10"/>
    <x v="0"/>
    <x v="3"/>
    <x v="3"/>
    <x v="0"/>
    <x v="0"/>
    <x v="0"/>
    <x v="0"/>
    <x v="0"/>
    <x v="0"/>
    <x v="0"/>
    <x v="0"/>
    <x v="0"/>
    <x v="0"/>
    <x v="0"/>
    <x v="0"/>
    <x v="0"/>
    <x v="0"/>
    <x v="0"/>
    <x v="0"/>
    <x v="0"/>
    <m/>
    <m/>
    <m/>
    <m/>
    <m/>
    <m/>
  </r>
  <r>
    <x v="37"/>
    <x v="0"/>
    <x v="2"/>
    <x v="0"/>
    <x v="1"/>
    <x v="11"/>
    <x v="0"/>
    <x v="3"/>
    <x v="212"/>
    <x v="92"/>
    <x v="99"/>
    <x v="98"/>
    <x v="104"/>
    <x v="100"/>
    <x v="97"/>
    <x v="102"/>
    <x v="98"/>
    <x v="101"/>
    <x v="94"/>
    <x v="98"/>
    <x v="96"/>
    <x v="100"/>
    <x v="96"/>
    <x v="88"/>
    <x v="85"/>
    <x v="85"/>
    <n v="-29073"/>
    <n v="-29198"/>
    <n v="-29269"/>
    <n v="-29283"/>
    <n v="-29283"/>
    <n v="-29283"/>
  </r>
  <r>
    <x v="37"/>
    <x v="0"/>
    <x v="2"/>
    <x v="0"/>
    <x v="1"/>
    <x v="12"/>
    <x v="0"/>
    <x v="3"/>
    <x v="2"/>
    <x v="2"/>
    <x v="2"/>
    <x v="2"/>
    <x v="2"/>
    <x v="2"/>
    <x v="2"/>
    <x v="2"/>
    <x v="2"/>
    <x v="2"/>
    <x v="2"/>
    <x v="2"/>
    <x v="2"/>
    <x v="2"/>
    <x v="2"/>
    <x v="2"/>
    <x v="2"/>
    <x v="2"/>
    <n v="0"/>
    <n v="0"/>
    <n v="0"/>
    <n v="0"/>
    <n v="0"/>
    <n v="0"/>
  </r>
  <r>
    <x v="37"/>
    <x v="0"/>
    <x v="2"/>
    <x v="0"/>
    <x v="0"/>
    <x v="0"/>
    <x v="0"/>
    <x v="192"/>
    <x v="213"/>
    <x v="0"/>
    <x v="0"/>
    <x v="0"/>
    <x v="0"/>
    <x v="0"/>
    <x v="0"/>
    <x v="0"/>
    <x v="0"/>
    <x v="0"/>
    <x v="0"/>
    <x v="0"/>
    <x v="0"/>
    <x v="0"/>
    <x v="0"/>
    <x v="0"/>
    <x v="0"/>
    <x v="0"/>
    <m/>
    <m/>
    <m/>
    <m/>
    <m/>
    <m/>
  </r>
  <r>
    <x v="37"/>
    <x v="0"/>
    <x v="2"/>
    <x v="0"/>
    <x v="0"/>
    <x v="1"/>
    <x v="0"/>
    <x v="193"/>
    <x v="214"/>
    <x v="93"/>
    <x v="100"/>
    <x v="99"/>
    <x v="105"/>
    <x v="101"/>
    <x v="98"/>
    <x v="103"/>
    <x v="99"/>
    <x v="102"/>
    <x v="95"/>
    <x v="99"/>
    <x v="97"/>
    <x v="101"/>
    <x v="97"/>
    <x v="89"/>
    <x v="86"/>
    <x v="86"/>
    <n v="41674"/>
    <n v="40840"/>
    <n v="40925"/>
    <n v="36276"/>
    <n v="35173"/>
    <n v="35582"/>
  </r>
  <r>
    <x v="37"/>
    <x v="0"/>
    <x v="2"/>
    <x v="0"/>
    <x v="0"/>
    <x v="2"/>
    <x v="0"/>
    <x v="194"/>
    <x v="215"/>
    <x v="0"/>
    <x v="0"/>
    <x v="0"/>
    <x v="0"/>
    <x v="0"/>
    <x v="0"/>
    <x v="0"/>
    <x v="0"/>
    <x v="0"/>
    <x v="0"/>
    <x v="0"/>
    <x v="0"/>
    <x v="0"/>
    <x v="0"/>
    <x v="0"/>
    <x v="0"/>
    <x v="0"/>
    <m/>
    <m/>
    <m/>
    <m/>
    <m/>
    <m/>
  </r>
  <r>
    <x v="37"/>
    <x v="0"/>
    <x v="2"/>
    <x v="0"/>
    <x v="0"/>
    <x v="3"/>
    <x v="0"/>
    <x v="2"/>
    <x v="2"/>
    <x v="0"/>
    <x v="0"/>
    <x v="0"/>
    <x v="0"/>
    <x v="0"/>
    <x v="0"/>
    <x v="0"/>
    <x v="0"/>
    <x v="0"/>
    <x v="0"/>
    <x v="0"/>
    <x v="0"/>
    <x v="0"/>
    <x v="0"/>
    <x v="0"/>
    <x v="0"/>
    <x v="0"/>
    <m/>
    <m/>
    <m/>
    <m/>
    <m/>
    <m/>
  </r>
  <r>
    <x v="37"/>
    <x v="0"/>
    <x v="2"/>
    <x v="0"/>
    <x v="0"/>
    <x v="4"/>
    <x v="0"/>
    <x v="59"/>
    <x v="64"/>
    <x v="0"/>
    <x v="0"/>
    <x v="0"/>
    <x v="0"/>
    <x v="0"/>
    <x v="0"/>
    <x v="0"/>
    <x v="0"/>
    <x v="0"/>
    <x v="0"/>
    <x v="0"/>
    <x v="0"/>
    <x v="0"/>
    <x v="0"/>
    <x v="0"/>
    <x v="0"/>
    <x v="0"/>
    <m/>
    <m/>
    <m/>
    <m/>
    <m/>
    <m/>
  </r>
  <r>
    <x v="37"/>
    <x v="0"/>
    <x v="2"/>
    <x v="0"/>
    <x v="0"/>
    <x v="5"/>
    <x v="0"/>
    <x v="3"/>
    <x v="3"/>
    <x v="0"/>
    <x v="0"/>
    <x v="0"/>
    <x v="0"/>
    <x v="0"/>
    <x v="0"/>
    <x v="0"/>
    <x v="0"/>
    <x v="0"/>
    <x v="0"/>
    <x v="0"/>
    <x v="0"/>
    <x v="0"/>
    <x v="0"/>
    <x v="0"/>
    <x v="0"/>
    <x v="0"/>
    <m/>
    <m/>
    <m/>
    <m/>
    <m/>
    <m/>
  </r>
  <r>
    <x v="37"/>
    <x v="0"/>
    <x v="2"/>
    <x v="0"/>
    <x v="0"/>
    <x v="6"/>
    <x v="0"/>
    <x v="195"/>
    <x v="2"/>
    <x v="2"/>
    <x v="2"/>
    <x v="2"/>
    <x v="2"/>
    <x v="2"/>
    <x v="2"/>
    <x v="2"/>
    <x v="2"/>
    <x v="2"/>
    <x v="2"/>
    <x v="2"/>
    <x v="2"/>
    <x v="2"/>
    <x v="2"/>
    <x v="90"/>
    <x v="2"/>
    <x v="2"/>
    <n v="0"/>
    <n v="0"/>
    <n v="0"/>
    <n v="0"/>
    <n v="0"/>
    <n v="0"/>
  </r>
  <r>
    <x v="37"/>
    <x v="0"/>
    <x v="2"/>
    <x v="0"/>
    <x v="0"/>
    <x v="7"/>
    <x v="0"/>
    <x v="195"/>
    <x v="3"/>
    <x v="0"/>
    <x v="0"/>
    <x v="0"/>
    <x v="0"/>
    <x v="0"/>
    <x v="0"/>
    <x v="0"/>
    <x v="0"/>
    <x v="0"/>
    <x v="0"/>
    <x v="0"/>
    <x v="0"/>
    <x v="0"/>
    <x v="0"/>
    <x v="90"/>
    <x v="0"/>
    <x v="0"/>
    <m/>
    <m/>
    <m/>
    <m/>
    <m/>
    <m/>
  </r>
  <r>
    <x v="37"/>
    <x v="0"/>
    <x v="2"/>
    <x v="0"/>
    <x v="0"/>
    <x v="8"/>
    <x v="0"/>
    <x v="2"/>
    <x v="3"/>
    <x v="0"/>
    <x v="0"/>
    <x v="0"/>
    <x v="0"/>
    <x v="0"/>
    <x v="0"/>
    <x v="0"/>
    <x v="0"/>
    <x v="0"/>
    <x v="0"/>
    <x v="0"/>
    <x v="0"/>
    <x v="0"/>
    <x v="0"/>
    <x v="0"/>
    <x v="0"/>
    <x v="0"/>
    <m/>
    <m/>
    <m/>
    <m/>
    <m/>
    <m/>
  </r>
  <r>
    <x v="37"/>
    <x v="0"/>
    <x v="2"/>
    <x v="0"/>
    <x v="0"/>
    <x v="9"/>
    <x v="0"/>
    <x v="2"/>
    <x v="3"/>
    <x v="0"/>
    <x v="0"/>
    <x v="0"/>
    <x v="0"/>
    <x v="0"/>
    <x v="0"/>
    <x v="0"/>
    <x v="0"/>
    <x v="0"/>
    <x v="0"/>
    <x v="0"/>
    <x v="0"/>
    <x v="0"/>
    <x v="0"/>
    <x v="0"/>
    <x v="0"/>
    <x v="0"/>
    <m/>
    <m/>
    <m/>
    <m/>
    <m/>
    <m/>
  </r>
  <r>
    <x v="37"/>
    <x v="0"/>
    <x v="2"/>
    <x v="0"/>
    <x v="0"/>
    <x v="10"/>
    <x v="0"/>
    <x v="195"/>
    <x v="3"/>
    <x v="0"/>
    <x v="0"/>
    <x v="0"/>
    <x v="0"/>
    <x v="0"/>
    <x v="0"/>
    <x v="0"/>
    <x v="0"/>
    <x v="0"/>
    <x v="0"/>
    <x v="0"/>
    <x v="0"/>
    <x v="0"/>
    <x v="0"/>
    <x v="90"/>
    <x v="0"/>
    <x v="0"/>
    <m/>
    <m/>
    <m/>
    <m/>
    <m/>
    <m/>
  </r>
  <r>
    <x v="37"/>
    <x v="0"/>
    <x v="2"/>
    <x v="0"/>
    <x v="0"/>
    <x v="11"/>
    <x v="0"/>
    <x v="3"/>
    <x v="216"/>
    <x v="94"/>
    <x v="101"/>
    <x v="100"/>
    <x v="106"/>
    <x v="102"/>
    <x v="99"/>
    <x v="104"/>
    <x v="100"/>
    <x v="103"/>
    <x v="96"/>
    <x v="100"/>
    <x v="98"/>
    <x v="102"/>
    <x v="98"/>
    <x v="91"/>
    <x v="87"/>
    <x v="87"/>
    <n v="-1096699"/>
    <n v="-1137539"/>
    <n v="-1178464"/>
    <n v="-1214740"/>
    <n v="-1249913"/>
    <n v="-1285495"/>
  </r>
  <r>
    <x v="37"/>
    <x v="0"/>
    <x v="2"/>
    <x v="0"/>
    <x v="0"/>
    <x v="12"/>
    <x v="0"/>
    <x v="3"/>
    <x v="2"/>
    <x v="2"/>
    <x v="2"/>
    <x v="2"/>
    <x v="2"/>
    <x v="2"/>
    <x v="2"/>
    <x v="2"/>
    <x v="2"/>
    <x v="2"/>
    <x v="2"/>
    <x v="2"/>
    <x v="2"/>
    <x v="2"/>
    <x v="2"/>
    <x v="2"/>
    <x v="2"/>
    <x v="2"/>
    <n v="0"/>
    <n v="0"/>
    <n v="0"/>
    <n v="0"/>
    <n v="0"/>
    <n v="0"/>
  </r>
  <r>
    <x v="38"/>
    <x v="0"/>
    <x v="18"/>
    <x v="4"/>
    <x v="1"/>
    <x v="0"/>
    <x v="0"/>
    <x v="196"/>
    <x v="217"/>
    <x v="0"/>
    <x v="0"/>
    <x v="0"/>
    <x v="0"/>
    <x v="0"/>
    <x v="0"/>
    <x v="0"/>
    <x v="0"/>
    <x v="0"/>
    <x v="0"/>
    <x v="0"/>
    <x v="0"/>
    <x v="0"/>
    <x v="0"/>
    <x v="0"/>
    <x v="0"/>
    <x v="0"/>
    <m/>
    <m/>
    <m/>
    <m/>
    <m/>
    <m/>
  </r>
  <r>
    <x v="38"/>
    <x v="0"/>
    <x v="18"/>
    <x v="4"/>
    <x v="1"/>
    <x v="1"/>
    <x v="0"/>
    <x v="197"/>
    <x v="218"/>
    <x v="95"/>
    <x v="102"/>
    <x v="101"/>
    <x v="107"/>
    <x v="103"/>
    <x v="100"/>
    <x v="105"/>
    <x v="101"/>
    <x v="104"/>
    <x v="97"/>
    <x v="101"/>
    <x v="99"/>
    <x v="103"/>
    <x v="99"/>
    <x v="92"/>
    <x v="88"/>
    <x v="74"/>
    <n v="98"/>
    <n v="77"/>
    <n v="31"/>
    <n v="4"/>
    <n v="0"/>
    <n v="0"/>
  </r>
  <r>
    <x v="38"/>
    <x v="0"/>
    <x v="18"/>
    <x v="4"/>
    <x v="1"/>
    <x v="2"/>
    <x v="0"/>
    <x v="198"/>
    <x v="219"/>
    <x v="0"/>
    <x v="0"/>
    <x v="0"/>
    <x v="0"/>
    <x v="0"/>
    <x v="0"/>
    <x v="0"/>
    <x v="0"/>
    <x v="0"/>
    <x v="0"/>
    <x v="0"/>
    <x v="0"/>
    <x v="0"/>
    <x v="0"/>
    <x v="0"/>
    <x v="0"/>
    <x v="0"/>
    <m/>
    <m/>
    <m/>
    <m/>
    <m/>
    <m/>
  </r>
  <r>
    <x v="38"/>
    <x v="0"/>
    <x v="18"/>
    <x v="4"/>
    <x v="1"/>
    <x v="3"/>
    <x v="0"/>
    <x v="2"/>
    <x v="2"/>
    <x v="0"/>
    <x v="0"/>
    <x v="0"/>
    <x v="0"/>
    <x v="0"/>
    <x v="0"/>
    <x v="0"/>
    <x v="0"/>
    <x v="0"/>
    <x v="0"/>
    <x v="0"/>
    <x v="0"/>
    <x v="0"/>
    <x v="0"/>
    <x v="0"/>
    <x v="0"/>
    <x v="0"/>
    <m/>
    <m/>
    <m/>
    <m/>
    <m/>
    <m/>
  </r>
  <r>
    <x v="38"/>
    <x v="0"/>
    <x v="18"/>
    <x v="4"/>
    <x v="1"/>
    <x v="4"/>
    <x v="0"/>
    <x v="199"/>
    <x v="220"/>
    <x v="0"/>
    <x v="0"/>
    <x v="0"/>
    <x v="0"/>
    <x v="0"/>
    <x v="0"/>
    <x v="0"/>
    <x v="0"/>
    <x v="0"/>
    <x v="0"/>
    <x v="0"/>
    <x v="0"/>
    <x v="0"/>
    <x v="0"/>
    <x v="0"/>
    <x v="0"/>
    <x v="0"/>
    <m/>
    <m/>
    <m/>
    <m/>
    <m/>
    <m/>
  </r>
  <r>
    <x v="38"/>
    <x v="0"/>
    <x v="18"/>
    <x v="4"/>
    <x v="1"/>
    <x v="5"/>
    <x v="0"/>
    <x v="3"/>
    <x v="3"/>
    <x v="0"/>
    <x v="0"/>
    <x v="0"/>
    <x v="0"/>
    <x v="0"/>
    <x v="0"/>
    <x v="0"/>
    <x v="0"/>
    <x v="0"/>
    <x v="0"/>
    <x v="0"/>
    <x v="0"/>
    <x v="0"/>
    <x v="0"/>
    <x v="0"/>
    <x v="0"/>
    <x v="0"/>
    <m/>
    <m/>
    <m/>
    <m/>
    <m/>
    <m/>
  </r>
  <r>
    <x v="38"/>
    <x v="0"/>
    <x v="18"/>
    <x v="4"/>
    <x v="1"/>
    <x v="6"/>
    <x v="0"/>
    <x v="142"/>
    <x v="2"/>
    <x v="2"/>
    <x v="2"/>
    <x v="2"/>
    <x v="108"/>
    <x v="2"/>
    <x v="2"/>
    <x v="2"/>
    <x v="2"/>
    <x v="2"/>
    <x v="2"/>
    <x v="2"/>
    <x v="2"/>
    <x v="2"/>
    <x v="2"/>
    <x v="2"/>
    <x v="2"/>
    <x v="2"/>
    <n v="0"/>
    <n v="0"/>
    <n v="0"/>
    <n v="0"/>
    <n v="0"/>
    <n v="0"/>
  </r>
  <r>
    <x v="38"/>
    <x v="0"/>
    <x v="18"/>
    <x v="4"/>
    <x v="1"/>
    <x v="7"/>
    <x v="0"/>
    <x v="142"/>
    <x v="3"/>
    <x v="0"/>
    <x v="0"/>
    <x v="0"/>
    <x v="108"/>
    <x v="0"/>
    <x v="0"/>
    <x v="0"/>
    <x v="0"/>
    <x v="0"/>
    <x v="0"/>
    <x v="0"/>
    <x v="0"/>
    <x v="0"/>
    <x v="0"/>
    <x v="0"/>
    <x v="0"/>
    <x v="0"/>
    <m/>
    <m/>
    <m/>
    <m/>
    <m/>
    <m/>
  </r>
  <r>
    <x v="38"/>
    <x v="0"/>
    <x v="18"/>
    <x v="4"/>
    <x v="1"/>
    <x v="8"/>
    <x v="0"/>
    <x v="2"/>
    <x v="3"/>
    <x v="0"/>
    <x v="0"/>
    <x v="0"/>
    <x v="0"/>
    <x v="0"/>
    <x v="0"/>
    <x v="0"/>
    <x v="0"/>
    <x v="0"/>
    <x v="0"/>
    <x v="0"/>
    <x v="0"/>
    <x v="0"/>
    <x v="0"/>
    <x v="0"/>
    <x v="0"/>
    <x v="0"/>
    <m/>
    <m/>
    <m/>
    <m/>
    <m/>
    <m/>
  </r>
  <r>
    <x v="38"/>
    <x v="0"/>
    <x v="18"/>
    <x v="4"/>
    <x v="1"/>
    <x v="9"/>
    <x v="0"/>
    <x v="2"/>
    <x v="3"/>
    <x v="0"/>
    <x v="0"/>
    <x v="0"/>
    <x v="0"/>
    <x v="0"/>
    <x v="0"/>
    <x v="0"/>
    <x v="0"/>
    <x v="0"/>
    <x v="0"/>
    <x v="0"/>
    <x v="0"/>
    <x v="0"/>
    <x v="0"/>
    <x v="0"/>
    <x v="0"/>
    <x v="0"/>
    <m/>
    <m/>
    <m/>
    <m/>
    <m/>
    <m/>
  </r>
  <r>
    <x v="38"/>
    <x v="0"/>
    <x v="18"/>
    <x v="4"/>
    <x v="1"/>
    <x v="10"/>
    <x v="0"/>
    <x v="142"/>
    <x v="3"/>
    <x v="0"/>
    <x v="0"/>
    <x v="0"/>
    <x v="108"/>
    <x v="0"/>
    <x v="0"/>
    <x v="0"/>
    <x v="0"/>
    <x v="0"/>
    <x v="0"/>
    <x v="0"/>
    <x v="0"/>
    <x v="0"/>
    <x v="0"/>
    <x v="0"/>
    <x v="0"/>
    <x v="0"/>
    <m/>
    <m/>
    <m/>
    <m/>
    <m/>
    <m/>
  </r>
  <r>
    <x v="38"/>
    <x v="0"/>
    <x v="18"/>
    <x v="4"/>
    <x v="1"/>
    <x v="11"/>
    <x v="0"/>
    <x v="3"/>
    <x v="221"/>
    <x v="96"/>
    <x v="103"/>
    <x v="102"/>
    <x v="109"/>
    <x v="104"/>
    <x v="101"/>
    <x v="106"/>
    <x v="102"/>
    <x v="105"/>
    <x v="98"/>
    <x v="102"/>
    <x v="100"/>
    <x v="104"/>
    <x v="100"/>
    <x v="93"/>
    <x v="89"/>
    <x v="88"/>
    <n v="8230"/>
    <n v="8153"/>
    <n v="8122"/>
    <n v="8118"/>
    <n v="8118"/>
    <n v="8118"/>
  </r>
  <r>
    <x v="38"/>
    <x v="0"/>
    <x v="18"/>
    <x v="4"/>
    <x v="1"/>
    <x v="12"/>
    <x v="0"/>
    <x v="3"/>
    <x v="2"/>
    <x v="2"/>
    <x v="2"/>
    <x v="2"/>
    <x v="2"/>
    <x v="2"/>
    <x v="2"/>
    <x v="2"/>
    <x v="2"/>
    <x v="2"/>
    <x v="2"/>
    <x v="2"/>
    <x v="2"/>
    <x v="2"/>
    <x v="2"/>
    <x v="2"/>
    <x v="2"/>
    <x v="2"/>
    <n v="0"/>
    <n v="0"/>
    <n v="0"/>
    <n v="0"/>
    <n v="0"/>
    <n v="0"/>
  </r>
  <r>
    <x v="39"/>
    <x v="0"/>
    <x v="18"/>
    <x v="1"/>
    <x v="1"/>
    <x v="0"/>
    <x v="0"/>
    <x v="200"/>
    <x v="222"/>
    <x v="0"/>
    <x v="0"/>
    <x v="0"/>
    <x v="0"/>
    <x v="0"/>
    <x v="0"/>
    <x v="0"/>
    <x v="0"/>
    <x v="0"/>
    <x v="0"/>
    <x v="0"/>
    <x v="0"/>
    <x v="0"/>
    <x v="0"/>
    <x v="0"/>
    <x v="0"/>
    <x v="0"/>
    <m/>
    <m/>
    <m/>
    <m/>
    <m/>
    <m/>
  </r>
  <r>
    <x v="39"/>
    <x v="0"/>
    <x v="18"/>
    <x v="1"/>
    <x v="1"/>
    <x v="1"/>
    <x v="0"/>
    <x v="201"/>
    <x v="223"/>
    <x v="97"/>
    <x v="104"/>
    <x v="103"/>
    <x v="110"/>
    <x v="105"/>
    <x v="102"/>
    <x v="107"/>
    <x v="103"/>
    <x v="106"/>
    <x v="99"/>
    <x v="103"/>
    <x v="101"/>
    <x v="105"/>
    <x v="101"/>
    <x v="94"/>
    <x v="90"/>
    <x v="89"/>
    <n v="218"/>
    <n v="194"/>
    <n v="194"/>
    <n v="168"/>
    <n v="157"/>
    <n v="157"/>
  </r>
  <r>
    <x v="39"/>
    <x v="0"/>
    <x v="18"/>
    <x v="1"/>
    <x v="1"/>
    <x v="2"/>
    <x v="0"/>
    <x v="202"/>
    <x v="224"/>
    <x v="0"/>
    <x v="0"/>
    <x v="0"/>
    <x v="0"/>
    <x v="0"/>
    <x v="0"/>
    <x v="0"/>
    <x v="0"/>
    <x v="0"/>
    <x v="0"/>
    <x v="0"/>
    <x v="0"/>
    <x v="0"/>
    <x v="0"/>
    <x v="0"/>
    <x v="0"/>
    <x v="0"/>
    <m/>
    <m/>
    <m/>
    <m/>
    <m/>
    <m/>
  </r>
  <r>
    <x v="39"/>
    <x v="0"/>
    <x v="18"/>
    <x v="1"/>
    <x v="1"/>
    <x v="3"/>
    <x v="0"/>
    <x v="2"/>
    <x v="2"/>
    <x v="0"/>
    <x v="0"/>
    <x v="0"/>
    <x v="0"/>
    <x v="0"/>
    <x v="0"/>
    <x v="0"/>
    <x v="0"/>
    <x v="0"/>
    <x v="0"/>
    <x v="0"/>
    <x v="0"/>
    <x v="0"/>
    <x v="0"/>
    <x v="0"/>
    <x v="0"/>
    <x v="0"/>
    <m/>
    <m/>
    <m/>
    <m/>
    <m/>
    <m/>
  </r>
  <r>
    <x v="39"/>
    <x v="0"/>
    <x v="18"/>
    <x v="1"/>
    <x v="1"/>
    <x v="4"/>
    <x v="0"/>
    <x v="2"/>
    <x v="2"/>
    <x v="0"/>
    <x v="0"/>
    <x v="0"/>
    <x v="0"/>
    <x v="0"/>
    <x v="0"/>
    <x v="0"/>
    <x v="0"/>
    <x v="0"/>
    <x v="0"/>
    <x v="0"/>
    <x v="0"/>
    <x v="0"/>
    <x v="0"/>
    <x v="0"/>
    <x v="0"/>
    <x v="0"/>
    <m/>
    <m/>
    <m/>
    <m/>
    <m/>
    <m/>
  </r>
  <r>
    <x v="39"/>
    <x v="0"/>
    <x v="18"/>
    <x v="1"/>
    <x v="1"/>
    <x v="5"/>
    <x v="0"/>
    <x v="3"/>
    <x v="3"/>
    <x v="0"/>
    <x v="0"/>
    <x v="0"/>
    <x v="0"/>
    <x v="0"/>
    <x v="0"/>
    <x v="0"/>
    <x v="0"/>
    <x v="0"/>
    <x v="0"/>
    <x v="0"/>
    <x v="0"/>
    <x v="0"/>
    <x v="0"/>
    <x v="0"/>
    <x v="0"/>
    <x v="0"/>
    <m/>
    <m/>
    <m/>
    <m/>
    <m/>
    <m/>
  </r>
  <r>
    <x v="39"/>
    <x v="0"/>
    <x v="18"/>
    <x v="1"/>
    <x v="1"/>
    <x v="6"/>
    <x v="0"/>
    <x v="203"/>
    <x v="2"/>
    <x v="2"/>
    <x v="2"/>
    <x v="2"/>
    <x v="2"/>
    <x v="2"/>
    <x v="2"/>
    <x v="2"/>
    <x v="2"/>
    <x v="2"/>
    <x v="100"/>
    <x v="2"/>
    <x v="2"/>
    <x v="2"/>
    <x v="2"/>
    <x v="2"/>
    <x v="2"/>
    <x v="2"/>
    <n v="0"/>
    <n v="0"/>
    <n v="0"/>
    <n v="0"/>
    <n v="0"/>
    <n v="0"/>
  </r>
  <r>
    <x v="39"/>
    <x v="0"/>
    <x v="18"/>
    <x v="1"/>
    <x v="1"/>
    <x v="7"/>
    <x v="0"/>
    <x v="203"/>
    <x v="3"/>
    <x v="0"/>
    <x v="0"/>
    <x v="0"/>
    <x v="0"/>
    <x v="0"/>
    <x v="0"/>
    <x v="0"/>
    <x v="0"/>
    <x v="0"/>
    <x v="100"/>
    <x v="0"/>
    <x v="0"/>
    <x v="0"/>
    <x v="0"/>
    <x v="0"/>
    <x v="0"/>
    <x v="0"/>
    <m/>
    <m/>
    <m/>
    <m/>
    <m/>
    <m/>
  </r>
  <r>
    <x v="39"/>
    <x v="0"/>
    <x v="18"/>
    <x v="1"/>
    <x v="1"/>
    <x v="8"/>
    <x v="0"/>
    <x v="2"/>
    <x v="3"/>
    <x v="0"/>
    <x v="0"/>
    <x v="0"/>
    <x v="0"/>
    <x v="0"/>
    <x v="0"/>
    <x v="0"/>
    <x v="0"/>
    <x v="0"/>
    <x v="0"/>
    <x v="0"/>
    <x v="0"/>
    <x v="0"/>
    <x v="0"/>
    <x v="0"/>
    <x v="0"/>
    <x v="0"/>
    <m/>
    <m/>
    <m/>
    <m/>
    <m/>
    <m/>
  </r>
  <r>
    <x v="39"/>
    <x v="0"/>
    <x v="18"/>
    <x v="1"/>
    <x v="1"/>
    <x v="9"/>
    <x v="0"/>
    <x v="2"/>
    <x v="3"/>
    <x v="0"/>
    <x v="0"/>
    <x v="0"/>
    <x v="0"/>
    <x v="0"/>
    <x v="0"/>
    <x v="0"/>
    <x v="0"/>
    <x v="0"/>
    <x v="0"/>
    <x v="0"/>
    <x v="0"/>
    <x v="0"/>
    <x v="0"/>
    <x v="0"/>
    <x v="0"/>
    <x v="0"/>
    <m/>
    <m/>
    <m/>
    <m/>
    <m/>
    <m/>
  </r>
  <r>
    <x v="39"/>
    <x v="0"/>
    <x v="18"/>
    <x v="1"/>
    <x v="1"/>
    <x v="10"/>
    <x v="0"/>
    <x v="203"/>
    <x v="3"/>
    <x v="0"/>
    <x v="0"/>
    <x v="0"/>
    <x v="0"/>
    <x v="0"/>
    <x v="0"/>
    <x v="0"/>
    <x v="0"/>
    <x v="0"/>
    <x v="100"/>
    <x v="0"/>
    <x v="0"/>
    <x v="0"/>
    <x v="0"/>
    <x v="0"/>
    <x v="0"/>
    <x v="0"/>
    <m/>
    <m/>
    <m/>
    <m/>
    <m/>
    <m/>
  </r>
  <r>
    <x v="39"/>
    <x v="0"/>
    <x v="18"/>
    <x v="1"/>
    <x v="1"/>
    <x v="11"/>
    <x v="0"/>
    <x v="3"/>
    <x v="225"/>
    <x v="98"/>
    <x v="105"/>
    <x v="104"/>
    <x v="111"/>
    <x v="106"/>
    <x v="103"/>
    <x v="108"/>
    <x v="104"/>
    <x v="107"/>
    <x v="101"/>
    <x v="104"/>
    <x v="102"/>
    <x v="106"/>
    <x v="102"/>
    <x v="95"/>
    <x v="91"/>
    <x v="90"/>
    <n v="-8532"/>
    <n v="-8726"/>
    <n v="-8920"/>
    <n v="-9088"/>
    <n v="-9245"/>
    <n v="-9402"/>
  </r>
  <r>
    <x v="39"/>
    <x v="0"/>
    <x v="18"/>
    <x v="1"/>
    <x v="1"/>
    <x v="12"/>
    <x v="0"/>
    <x v="3"/>
    <x v="2"/>
    <x v="2"/>
    <x v="2"/>
    <x v="2"/>
    <x v="2"/>
    <x v="2"/>
    <x v="2"/>
    <x v="2"/>
    <x v="2"/>
    <x v="2"/>
    <x v="2"/>
    <x v="2"/>
    <x v="2"/>
    <x v="2"/>
    <x v="2"/>
    <x v="2"/>
    <x v="2"/>
    <x v="2"/>
    <n v="0"/>
    <n v="0"/>
    <n v="0"/>
    <n v="0"/>
    <n v="0"/>
    <n v="0"/>
  </r>
  <r>
    <x v="39"/>
    <x v="0"/>
    <x v="18"/>
    <x v="1"/>
    <x v="0"/>
    <x v="0"/>
    <x v="0"/>
    <x v="204"/>
    <x v="226"/>
    <x v="0"/>
    <x v="0"/>
    <x v="0"/>
    <x v="0"/>
    <x v="0"/>
    <x v="0"/>
    <x v="0"/>
    <x v="0"/>
    <x v="0"/>
    <x v="0"/>
    <x v="0"/>
    <x v="0"/>
    <x v="0"/>
    <x v="0"/>
    <x v="0"/>
    <x v="0"/>
    <x v="0"/>
    <m/>
    <m/>
    <m/>
    <m/>
    <m/>
    <m/>
  </r>
  <r>
    <x v="39"/>
    <x v="0"/>
    <x v="18"/>
    <x v="1"/>
    <x v="0"/>
    <x v="1"/>
    <x v="0"/>
    <x v="205"/>
    <x v="227"/>
    <x v="99"/>
    <x v="106"/>
    <x v="105"/>
    <x v="112"/>
    <x v="107"/>
    <x v="104"/>
    <x v="109"/>
    <x v="105"/>
    <x v="108"/>
    <x v="102"/>
    <x v="105"/>
    <x v="103"/>
    <x v="107"/>
    <x v="103"/>
    <x v="96"/>
    <x v="92"/>
    <x v="91"/>
    <n v="20790"/>
    <n v="788"/>
    <n v="720"/>
    <n v="758"/>
    <n v="640"/>
    <n v="640"/>
  </r>
  <r>
    <x v="39"/>
    <x v="0"/>
    <x v="18"/>
    <x v="1"/>
    <x v="0"/>
    <x v="2"/>
    <x v="0"/>
    <x v="206"/>
    <x v="228"/>
    <x v="0"/>
    <x v="0"/>
    <x v="0"/>
    <x v="0"/>
    <x v="0"/>
    <x v="0"/>
    <x v="0"/>
    <x v="0"/>
    <x v="0"/>
    <x v="0"/>
    <x v="0"/>
    <x v="0"/>
    <x v="0"/>
    <x v="0"/>
    <x v="0"/>
    <x v="0"/>
    <x v="0"/>
    <m/>
    <m/>
    <m/>
    <m/>
    <m/>
    <m/>
  </r>
  <r>
    <x v="39"/>
    <x v="0"/>
    <x v="18"/>
    <x v="1"/>
    <x v="0"/>
    <x v="3"/>
    <x v="0"/>
    <x v="2"/>
    <x v="2"/>
    <x v="0"/>
    <x v="0"/>
    <x v="0"/>
    <x v="0"/>
    <x v="0"/>
    <x v="0"/>
    <x v="0"/>
    <x v="0"/>
    <x v="0"/>
    <x v="0"/>
    <x v="0"/>
    <x v="0"/>
    <x v="0"/>
    <x v="0"/>
    <x v="0"/>
    <x v="0"/>
    <x v="0"/>
    <m/>
    <m/>
    <m/>
    <m/>
    <m/>
    <m/>
  </r>
  <r>
    <x v="39"/>
    <x v="0"/>
    <x v="18"/>
    <x v="1"/>
    <x v="0"/>
    <x v="4"/>
    <x v="0"/>
    <x v="207"/>
    <x v="229"/>
    <x v="0"/>
    <x v="0"/>
    <x v="0"/>
    <x v="0"/>
    <x v="0"/>
    <x v="0"/>
    <x v="0"/>
    <x v="0"/>
    <x v="0"/>
    <x v="0"/>
    <x v="0"/>
    <x v="0"/>
    <x v="0"/>
    <x v="0"/>
    <x v="0"/>
    <x v="0"/>
    <x v="0"/>
    <m/>
    <m/>
    <m/>
    <m/>
    <m/>
    <m/>
  </r>
  <r>
    <x v="39"/>
    <x v="0"/>
    <x v="18"/>
    <x v="1"/>
    <x v="0"/>
    <x v="5"/>
    <x v="0"/>
    <x v="202"/>
    <x v="224"/>
    <x v="0"/>
    <x v="0"/>
    <x v="0"/>
    <x v="0"/>
    <x v="0"/>
    <x v="0"/>
    <x v="0"/>
    <x v="0"/>
    <x v="0"/>
    <x v="0"/>
    <x v="0"/>
    <x v="0"/>
    <x v="0"/>
    <x v="0"/>
    <x v="0"/>
    <x v="0"/>
    <x v="0"/>
    <m/>
    <m/>
    <m/>
    <m/>
    <m/>
    <m/>
  </r>
  <r>
    <x v="39"/>
    <x v="0"/>
    <x v="18"/>
    <x v="1"/>
    <x v="0"/>
    <x v="6"/>
    <x v="0"/>
    <x v="208"/>
    <x v="2"/>
    <x v="100"/>
    <x v="2"/>
    <x v="106"/>
    <x v="113"/>
    <x v="108"/>
    <x v="105"/>
    <x v="110"/>
    <x v="106"/>
    <x v="109"/>
    <x v="103"/>
    <x v="106"/>
    <x v="2"/>
    <x v="108"/>
    <x v="104"/>
    <x v="2"/>
    <x v="2"/>
    <x v="2"/>
    <n v="0"/>
    <n v="0"/>
    <n v="0"/>
    <n v="0"/>
    <n v="0"/>
    <n v="0"/>
  </r>
  <r>
    <x v="39"/>
    <x v="0"/>
    <x v="18"/>
    <x v="1"/>
    <x v="0"/>
    <x v="7"/>
    <x v="0"/>
    <x v="208"/>
    <x v="3"/>
    <x v="100"/>
    <x v="0"/>
    <x v="106"/>
    <x v="113"/>
    <x v="108"/>
    <x v="105"/>
    <x v="110"/>
    <x v="106"/>
    <x v="109"/>
    <x v="103"/>
    <x v="106"/>
    <x v="0"/>
    <x v="108"/>
    <x v="104"/>
    <x v="0"/>
    <x v="0"/>
    <x v="0"/>
    <m/>
    <m/>
    <m/>
    <m/>
    <m/>
    <m/>
  </r>
  <r>
    <x v="39"/>
    <x v="0"/>
    <x v="18"/>
    <x v="1"/>
    <x v="0"/>
    <x v="8"/>
    <x v="0"/>
    <x v="2"/>
    <x v="3"/>
    <x v="0"/>
    <x v="0"/>
    <x v="0"/>
    <x v="0"/>
    <x v="0"/>
    <x v="0"/>
    <x v="0"/>
    <x v="0"/>
    <x v="0"/>
    <x v="0"/>
    <x v="0"/>
    <x v="0"/>
    <x v="0"/>
    <x v="0"/>
    <x v="0"/>
    <x v="0"/>
    <x v="0"/>
    <m/>
    <m/>
    <m/>
    <m/>
    <m/>
    <m/>
  </r>
  <r>
    <x v="39"/>
    <x v="0"/>
    <x v="18"/>
    <x v="1"/>
    <x v="0"/>
    <x v="9"/>
    <x v="0"/>
    <x v="2"/>
    <x v="3"/>
    <x v="0"/>
    <x v="0"/>
    <x v="0"/>
    <x v="0"/>
    <x v="0"/>
    <x v="0"/>
    <x v="0"/>
    <x v="0"/>
    <x v="0"/>
    <x v="0"/>
    <x v="0"/>
    <x v="0"/>
    <x v="0"/>
    <x v="0"/>
    <x v="0"/>
    <x v="0"/>
    <x v="0"/>
    <m/>
    <m/>
    <m/>
    <m/>
    <m/>
    <m/>
  </r>
  <r>
    <x v="39"/>
    <x v="0"/>
    <x v="18"/>
    <x v="1"/>
    <x v="0"/>
    <x v="10"/>
    <x v="0"/>
    <x v="208"/>
    <x v="3"/>
    <x v="100"/>
    <x v="0"/>
    <x v="106"/>
    <x v="113"/>
    <x v="108"/>
    <x v="105"/>
    <x v="110"/>
    <x v="106"/>
    <x v="109"/>
    <x v="103"/>
    <x v="106"/>
    <x v="0"/>
    <x v="108"/>
    <x v="104"/>
    <x v="0"/>
    <x v="0"/>
    <x v="0"/>
    <m/>
    <m/>
    <m/>
    <m/>
    <m/>
    <m/>
  </r>
  <r>
    <x v="39"/>
    <x v="0"/>
    <x v="18"/>
    <x v="1"/>
    <x v="0"/>
    <x v="11"/>
    <x v="0"/>
    <x v="3"/>
    <x v="230"/>
    <x v="101"/>
    <x v="107"/>
    <x v="107"/>
    <x v="114"/>
    <x v="109"/>
    <x v="106"/>
    <x v="111"/>
    <x v="107"/>
    <x v="110"/>
    <x v="104"/>
    <x v="107"/>
    <x v="104"/>
    <x v="109"/>
    <x v="105"/>
    <x v="97"/>
    <x v="93"/>
    <x v="92"/>
    <n v="-178524"/>
    <n v="-179312"/>
    <n v="-180032"/>
    <n v="-180790"/>
    <n v="-181430"/>
    <n v="-182070"/>
  </r>
  <r>
    <x v="39"/>
    <x v="0"/>
    <x v="18"/>
    <x v="1"/>
    <x v="0"/>
    <x v="12"/>
    <x v="0"/>
    <x v="3"/>
    <x v="2"/>
    <x v="2"/>
    <x v="2"/>
    <x v="2"/>
    <x v="2"/>
    <x v="2"/>
    <x v="2"/>
    <x v="2"/>
    <x v="2"/>
    <x v="2"/>
    <x v="2"/>
    <x v="2"/>
    <x v="2"/>
    <x v="2"/>
    <x v="2"/>
    <x v="2"/>
    <x v="2"/>
    <x v="2"/>
    <n v="0"/>
    <n v="0"/>
    <n v="0"/>
    <n v="0"/>
    <n v="0"/>
    <n v="0"/>
  </r>
  <r>
    <x v="40"/>
    <x v="0"/>
    <x v="19"/>
    <x v="2"/>
    <x v="1"/>
    <x v="0"/>
    <x v="0"/>
    <x v="209"/>
    <x v="231"/>
    <x v="0"/>
    <x v="0"/>
    <x v="0"/>
    <x v="0"/>
    <x v="0"/>
    <x v="0"/>
    <x v="0"/>
    <x v="0"/>
    <x v="0"/>
    <x v="0"/>
    <x v="0"/>
    <x v="0"/>
    <x v="0"/>
    <x v="0"/>
    <x v="0"/>
    <x v="0"/>
    <x v="0"/>
    <m/>
    <m/>
    <m/>
    <m/>
    <m/>
    <m/>
  </r>
  <r>
    <x v="40"/>
    <x v="0"/>
    <x v="19"/>
    <x v="2"/>
    <x v="1"/>
    <x v="1"/>
    <x v="0"/>
    <x v="210"/>
    <x v="232"/>
    <x v="102"/>
    <x v="108"/>
    <x v="108"/>
    <x v="115"/>
    <x v="110"/>
    <x v="107"/>
    <x v="112"/>
    <x v="108"/>
    <x v="111"/>
    <x v="105"/>
    <x v="108"/>
    <x v="105"/>
    <x v="110"/>
    <x v="106"/>
    <x v="98"/>
    <x v="94"/>
    <x v="93"/>
    <n v="339"/>
    <n v="339"/>
    <n v="338"/>
    <n v="96"/>
    <n v="0"/>
    <n v="0"/>
  </r>
  <r>
    <x v="40"/>
    <x v="0"/>
    <x v="19"/>
    <x v="2"/>
    <x v="1"/>
    <x v="2"/>
    <x v="0"/>
    <x v="211"/>
    <x v="233"/>
    <x v="0"/>
    <x v="0"/>
    <x v="0"/>
    <x v="0"/>
    <x v="0"/>
    <x v="0"/>
    <x v="0"/>
    <x v="0"/>
    <x v="0"/>
    <x v="0"/>
    <x v="0"/>
    <x v="0"/>
    <x v="0"/>
    <x v="0"/>
    <x v="0"/>
    <x v="0"/>
    <x v="0"/>
    <m/>
    <m/>
    <m/>
    <m/>
    <m/>
    <m/>
  </r>
  <r>
    <x v="40"/>
    <x v="0"/>
    <x v="19"/>
    <x v="2"/>
    <x v="1"/>
    <x v="3"/>
    <x v="0"/>
    <x v="2"/>
    <x v="2"/>
    <x v="0"/>
    <x v="0"/>
    <x v="0"/>
    <x v="0"/>
    <x v="0"/>
    <x v="0"/>
    <x v="0"/>
    <x v="0"/>
    <x v="0"/>
    <x v="0"/>
    <x v="0"/>
    <x v="0"/>
    <x v="0"/>
    <x v="0"/>
    <x v="0"/>
    <x v="0"/>
    <x v="0"/>
    <m/>
    <m/>
    <m/>
    <m/>
    <m/>
    <m/>
  </r>
  <r>
    <x v="40"/>
    <x v="0"/>
    <x v="19"/>
    <x v="2"/>
    <x v="1"/>
    <x v="4"/>
    <x v="0"/>
    <x v="212"/>
    <x v="234"/>
    <x v="0"/>
    <x v="0"/>
    <x v="0"/>
    <x v="0"/>
    <x v="0"/>
    <x v="0"/>
    <x v="0"/>
    <x v="0"/>
    <x v="0"/>
    <x v="0"/>
    <x v="0"/>
    <x v="0"/>
    <x v="0"/>
    <x v="0"/>
    <x v="0"/>
    <x v="0"/>
    <x v="0"/>
    <m/>
    <m/>
    <m/>
    <m/>
    <m/>
    <m/>
  </r>
  <r>
    <x v="40"/>
    <x v="0"/>
    <x v="19"/>
    <x v="2"/>
    <x v="1"/>
    <x v="5"/>
    <x v="0"/>
    <x v="3"/>
    <x v="3"/>
    <x v="0"/>
    <x v="0"/>
    <x v="0"/>
    <x v="0"/>
    <x v="0"/>
    <x v="0"/>
    <x v="0"/>
    <x v="0"/>
    <x v="0"/>
    <x v="0"/>
    <x v="0"/>
    <x v="0"/>
    <x v="0"/>
    <x v="0"/>
    <x v="0"/>
    <x v="0"/>
    <x v="0"/>
    <m/>
    <m/>
    <m/>
    <m/>
    <m/>
    <m/>
  </r>
  <r>
    <x v="40"/>
    <x v="0"/>
    <x v="19"/>
    <x v="2"/>
    <x v="1"/>
    <x v="6"/>
    <x v="0"/>
    <x v="213"/>
    <x v="2"/>
    <x v="2"/>
    <x v="2"/>
    <x v="2"/>
    <x v="116"/>
    <x v="2"/>
    <x v="108"/>
    <x v="2"/>
    <x v="2"/>
    <x v="112"/>
    <x v="2"/>
    <x v="2"/>
    <x v="106"/>
    <x v="2"/>
    <x v="2"/>
    <x v="2"/>
    <x v="2"/>
    <x v="2"/>
    <n v="0"/>
    <n v="0"/>
    <n v="0"/>
    <n v="0"/>
    <n v="0"/>
    <n v="0"/>
  </r>
  <r>
    <x v="40"/>
    <x v="0"/>
    <x v="19"/>
    <x v="2"/>
    <x v="1"/>
    <x v="7"/>
    <x v="0"/>
    <x v="213"/>
    <x v="3"/>
    <x v="0"/>
    <x v="0"/>
    <x v="0"/>
    <x v="116"/>
    <x v="0"/>
    <x v="108"/>
    <x v="0"/>
    <x v="0"/>
    <x v="112"/>
    <x v="0"/>
    <x v="0"/>
    <x v="106"/>
    <x v="0"/>
    <x v="0"/>
    <x v="0"/>
    <x v="0"/>
    <x v="0"/>
    <m/>
    <m/>
    <m/>
    <m/>
    <m/>
    <m/>
  </r>
  <r>
    <x v="40"/>
    <x v="0"/>
    <x v="19"/>
    <x v="2"/>
    <x v="1"/>
    <x v="8"/>
    <x v="0"/>
    <x v="2"/>
    <x v="3"/>
    <x v="0"/>
    <x v="0"/>
    <x v="0"/>
    <x v="0"/>
    <x v="0"/>
    <x v="0"/>
    <x v="0"/>
    <x v="0"/>
    <x v="0"/>
    <x v="0"/>
    <x v="0"/>
    <x v="0"/>
    <x v="0"/>
    <x v="0"/>
    <x v="0"/>
    <x v="0"/>
    <x v="0"/>
    <m/>
    <m/>
    <m/>
    <m/>
    <m/>
    <m/>
  </r>
  <r>
    <x v="40"/>
    <x v="0"/>
    <x v="19"/>
    <x v="2"/>
    <x v="1"/>
    <x v="9"/>
    <x v="0"/>
    <x v="2"/>
    <x v="3"/>
    <x v="0"/>
    <x v="0"/>
    <x v="0"/>
    <x v="0"/>
    <x v="0"/>
    <x v="0"/>
    <x v="0"/>
    <x v="0"/>
    <x v="0"/>
    <x v="0"/>
    <x v="0"/>
    <x v="0"/>
    <x v="0"/>
    <x v="0"/>
    <x v="0"/>
    <x v="0"/>
    <x v="0"/>
    <m/>
    <m/>
    <m/>
    <m/>
    <m/>
    <m/>
  </r>
  <r>
    <x v="40"/>
    <x v="0"/>
    <x v="19"/>
    <x v="2"/>
    <x v="1"/>
    <x v="10"/>
    <x v="0"/>
    <x v="213"/>
    <x v="3"/>
    <x v="0"/>
    <x v="0"/>
    <x v="0"/>
    <x v="116"/>
    <x v="0"/>
    <x v="108"/>
    <x v="0"/>
    <x v="0"/>
    <x v="112"/>
    <x v="0"/>
    <x v="0"/>
    <x v="106"/>
    <x v="0"/>
    <x v="0"/>
    <x v="0"/>
    <x v="0"/>
    <x v="0"/>
    <m/>
    <m/>
    <m/>
    <m/>
    <m/>
    <m/>
  </r>
  <r>
    <x v="40"/>
    <x v="0"/>
    <x v="19"/>
    <x v="2"/>
    <x v="1"/>
    <x v="11"/>
    <x v="0"/>
    <x v="3"/>
    <x v="235"/>
    <x v="103"/>
    <x v="109"/>
    <x v="109"/>
    <x v="117"/>
    <x v="111"/>
    <x v="109"/>
    <x v="113"/>
    <x v="109"/>
    <x v="113"/>
    <x v="106"/>
    <x v="109"/>
    <x v="107"/>
    <x v="111"/>
    <x v="107"/>
    <x v="99"/>
    <x v="95"/>
    <x v="94"/>
    <n v="43897"/>
    <n v="43558"/>
    <n v="43220"/>
    <n v="43124"/>
    <n v="43124"/>
    <n v="43124"/>
  </r>
  <r>
    <x v="40"/>
    <x v="0"/>
    <x v="19"/>
    <x v="2"/>
    <x v="1"/>
    <x v="12"/>
    <x v="0"/>
    <x v="3"/>
    <x v="2"/>
    <x v="2"/>
    <x v="2"/>
    <x v="2"/>
    <x v="2"/>
    <x v="2"/>
    <x v="2"/>
    <x v="2"/>
    <x v="2"/>
    <x v="2"/>
    <x v="2"/>
    <x v="2"/>
    <x v="2"/>
    <x v="2"/>
    <x v="2"/>
    <x v="2"/>
    <x v="2"/>
    <x v="2"/>
    <n v="0"/>
    <n v="0"/>
    <n v="0"/>
    <n v="0"/>
    <n v="0"/>
    <n v="0"/>
  </r>
  <r>
    <x v="40"/>
    <x v="0"/>
    <x v="19"/>
    <x v="2"/>
    <x v="0"/>
    <x v="0"/>
    <x v="0"/>
    <x v="214"/>
    <x v="236"/>
    <x v="0"/>
    <x v="0"/>
    <x v="0"/>
    <x v="0"/>
    <x v="0"/>
    <x v="0"/>
    <x v="0"/>
    <x v="0"/>
    <x v="0"/>
    <x v="0"/>
    <x v="0"/>
    <x v="0"/>
    <x v="0"/>
    <x v="0"/>
    <x v="0"/>
    <x v="0"/>
    <x v="0"/>
    <m/>
    <m/>
    <m/>
    <m/>
    <m/>
    <m/>
  </r>
  <r>
    <x v="40"/>
    <x v="0"/>
    <x v="19"/>
    <x v="2"/>
    <x v="0"/>
    <x v="1"/>
    <x v="0"/>
    <x v="215"/>
    <x v="237"/>
    <x v="104"/>
    <x v="110"/>
    <x v="110"/>
    <x v="118"/>
    <x v="112"/>
    <x v="110"/>
    <x v="114"/>
    <x v="110"/>
    <x v="114"/>
    <x v="107"/>
    <x v="110"/>
    <x v="108"/>
    <x v="112"/>
    <x v="108"/>
    <x v="100"/>
    <x v="96"/>
    <x v="95"/>
    <n v="11061"/>
    <n v="10729"/>
    <n v="10607"/>
    <n v="8467"/>
    <n v="7620"/>
    <n v="7624"/>
  </r>
  <r>
    <x v="40"/>
    <x v="0"/>
    <x v="19"/>
    <x v="2"/>
    <x v="0"/>
    <x v="2"/>
    <x v="0"/>
    <x v="216"/>
    <x v="238"/>
    <x v="0"/>
    <x v="0"/>
    <x v="0"/>
    <x v="0"/>
    <x v="0"/>
    <x v="0"/>
    <x v="0"/>
    <x v="0"/>
    <x v="0"/>
    <x v="0"/>
    <x v="0"/>
    <x v="0"/>
    <x v="0"/>
    <x v="0"/>
    <x v="0"/>
    <x v="0"/>
    <x v="0"/>
    <m/>
    <m/>
    <m/>
    <m/>
    <m/>
    <m/>
  </r>
  <r>
    <x v="40"/>
    <x v="0"/>
    <x v="19"/>
    <x v="2"/>
    <x v="0"/>
    <x v="3"/>
    <x v="0"/>
    <x v="2"/>
    <x v="2"/>
    <x v="0"/>
    <x v="0"/>
    <x v="0"/>
    <x v="0"/>
    <x v="0"/>
    <x v="0"/>
    <x v="0"/>
    <x v="0"/>
    <x v="0"/>
    <x v="0"/>
    <x v="0"/>
    <x v="0"/>
    <x v="0"/>
    <x v="0"/>
    <x v="0"/>
    <x v="0"/>
    <x v="0"/>
    <m/>
    <m/>
    <m/>
    <m/>
    <m/>
    <m/>
  </r>
  <r>
    <x v="40"/>
    <x v="0"/>
    <x v="19"/>
    <x v="2"/>
    <x v="0"/>
    <x v="4"/>
    <x v="0"/>
    <x v="217"/>
    <x v="239"/>
    <x v="0"/>
    <x v="0"/>
    <x v="0"/>
    <x v="0"/>
    <x v="0"/>
    <x v="0"/>
    <x v="0"/>
    <x v="0"/>
    <x v="0"/>
    <x v="0"/>
    <x v="0"/>
    <x v="0"/>
    <x v="0"/>
    <x v="0"/>
    <x v="0"/>
    <x v="0"/>
    <x v="0"/>
    <m/>
    <m/>
    <m/>
    <m/>
    <m/>
    <m/>
  </r>
  <r>
    <x v="40"/>
    <x v="0"/>
    <x v="19"/>
    <x v="2"/>
    <x v="0"/>
    <x v="5"/>
    <x v="0"/>
    <x v="218"/>
    <x v="146"/>
    <x v="0"/>
    <x v="0"/>
    <x v="0"/>
    <x v="0"/>
    <x v="0"/>
    <x v="0"/>
    <x v="0"/>
    <x v="0"/>
    <x v="0"/>
    <x v="0"/>
    <x v="0"/>
    <x v="0"/>
    <x v="0"/>
    <x v="0"/>
    <x v="0"/>
    <x v="0"/>
    <x v="0"/>
    <m/>
    <m/>
    <m/>
    <m/>
    <m/>
    <m/>
  </r>
  <r>
    <x v="40"/>
    <x v="0"/>
    <x v="19"/>
    <x v="2"/>
    <x v="0"/>
    <x v="6"/>
    <x v="0"/>
    <x v="219"/>
    <x v="2"/>
    <x v="2"/>
    <x v="2"/>
    <x v="39"/>
    <x v="84"/>
    <x v="2"/>
    <x v="2"/>
    <x v="44"/>
    <x v="2"/>
    <x v="2"/>
    <x v="39"/>
    <x v="2"/>
    <x v="2"/>
    <x v="2"/>
    <x v="109"/>
    <x v="2"/>
    <x v="2"/>
    <x v="2"/>
    <n v="0"/>
    <n v="0"/>
    <n v="0"/>
    <n v="0"/>
    <n v="0"/>
    <n v="0"/>
  </r>
  <r>
    <x v="40"/>
    <x v="0"/>
    <x v="19"/>
    <x v="2"/>
    <x v="0"/>
    <x v="7"/>
    <x v="0"/>
    <x v="219"/>
    <x v="3"/>
    <x v="0"/>
    <x v="0"/>
    <x v="39"/>
    <x v="84"/>
    <x v="0"/>
    <x v="0"/>
    <x v="44"/>
    <x v="0"/>
    <x v="0"/>
    <x v="39"/>
    <x v="0"/>
    <x v="0"/>
    <x v="0"/>
    <x v="109"/>
    <x v="0"/>
    <x v="0"/>
    <x v="0"/>
    <m/>
    <m/>
    <m/>
    <m/>
    <m/>
    <m/>
  </r>
  <r>
    <x v="40"/>
    <x v="0"/>
    <x v="19"/>
    <x v="2"/>
    <x v="0"/>
    <x v="8"/>
    <x v="0"/>
    <x v="2"/>
    <x v="3"/>
    <x v="0"/>
    <x v="0"/>
    <x v="0"/>
    <x v="0"/>
    <x v="0"/>
    <x v="0"/>
    <x v="0"/>
    <x v="0"/>
    <x v="0"/>
    <x v="0"/>
    <x v="0"/>
    <x v="0"/>
    <x v="0"/>
    <x v="0"/>
    <x v="0"/>
    <x v="0"/>
    <x v="0"/>
    <m/>
    <m/>
    <m/>
    <m/>
    <m/>
    <m/>
  </r>
  <r>
    <x v="40"/>
    <x v="0"/>
    <x v="19"/>
    <x v="2"/>
    <x v="0"/>
    <x v="9"/>
    <x v="0"/>
    <x v="2"/>
    <x v="3"/>
    <x v="0"/>
    <x v="0"/>
    <x v="0"/>
    <x v="0"/>
    <x v="0"/>
    <x v="0"/>
    <x v="0"/>
    <x v="0"/>
    <x v="0"/>
    <x v="0"/>
    <x v="0"/>
    <x v="0"/>
    <x v="0"/>
    <x v="0"/>
    <x v="0"/>
    <x v="0"/>
    <x v="0"/>
    <m/>
    <m/>
    <m/>
    <m/>
    <m/>
    <m/>
  </r>
  <r>
    <x v="40"/>
    <x v="0"/>
    <x v="19"/>
    <x v="2"/>
    <x v="0"/>
    <x v="10"/>
    <x v="0"/>
    <x v="219"/>
    <x v="3"/>
    <x v="0"/>
    <x v="0"/>
    <x v="39"/>
    <x v="84"/>
    <x v="0"/>
    <x v="0"/>
    <x v="44"/>
    <x v="0"/>
    <x v="0"/>
    <x v="39"/>
    <x v="0"/>
    <x v="0"/>
    <x v="0"/>
    <x v="109"/>
    <x v="0"/>
    <x v="0"/>
    <x v="0"/>
    <m/>
    <m/>
    <m/>
    <m/>
    <m/>
    <m/>
  </r>
  <r>
    <x v="40"/>
    <x v="0"/>
    <x v="19"/>
    <x v="2"/>
    <x v="0"/>
    <x v="11"/>
    <x v="0"/>
    <x v="3"/>
    <x v="240"/>
    <x v="105"/>
    <x v="111"/>
    <x v="111"/>
    <x v="119"/>
    <x v="113"/>
    <x v="111"/>
    <x v="115"/>
    <x v="111"/>
    <x v="115"/>
    <x v="108"/>
    <x v="111"/>
    <x v="109"/>
    <x v="113"/>
    <x v="110"/>
    <x v="101"/>
    <x v="97"/>
    <x v="96"/>
    <n v="185046"/>
    <n v="174317"/>
    <n v="163710"/>
    <n v="155243"/>
    <n v="147623"/>
    <n v="139999"/>
  </r>
  <r>
    <x v="40"/>
    <x v="0"/>
    <x v="19"/>
    <x v="2"/>
    <x v="0"/>
    <x v="12"/>
    <x v="0"/>
    <x v="3"/>
    <x v="2"/>
    <x v="2"/>
    <x v="2"/>
    <x v="2"/>
    <x v="2"/>
    <x v="2"/>
    <x v="2"/>
    <x v="2"/>
    <x v="2"/>
    <x v="2"/>
    <x v="2"/>
    <x v="2"/>
    <x v="2"/>
    <x v="2"/>
    <x v="2"/>
    <x v="2"/>
    <x v="2"/>
    <x v="2"/>
    <n v="0"/>
    <n v="0"/>
    <n v="0"/>
    <n v="0"/>
    <n v="0"/>
    <n v="0"/>
  </r>
  <r>
    <x v="41"/>
    <x v="0"/>
    <x v="19"/>
    <x v="5"/>
    <x v="1"/>
    <x v="0"/>
    <x v="0"/>
    <x v="220"/>
    <x v="241"/>
    <x v="0"/>
    <x v="0"/>
    <x v="0"/>
    <x v="0"/>
    <x v="0"/>
    <x v="0"/>
    <x v="0"/>
    <x v="0"/>
    <x v="0"/>
    <x v="0"/>
    <x v="0"/>
    <x v="0"/>
    <x v="0"/>
    <x v="0"/>
    <x v="0"/>
    <x v="0"/>
    <x v="0"/>
    <m/>
    <m/>
    <m/>
    <m/>
    <m/>
    <m/>
  </r>
  <r>
    <x v="41"/>
    <x v="0"/>
    <x v="19"/>
    <x v="5"/>
    <x v="1"/>
    <x v="1"/>
    <x v="0"/>
    <x v="221"/>
    <x v="242"/>
    <x v="106"/>
    <x v="112"/>
    <x v="112"/>
    <x v="120"/>
    <x v="114"/>
    <x v="112"/>
    <x v="116"/>
    <x v="112"/>
    <x v="116"/>
    <x v="109"/>
    <x v="112"/>
    <x v="110"/>
    <x v="114"/>
    <x v="111"/>
    <x v="102"/>
    <x v="98"/>
    <x v="97"/>
    <n v="972"/>
    <n v="972"/>
    <n v="971"/>
    <n v="277"/>
    <n v="0"/>
    <n v="0"/>
  </r>
  <r>
    <x v="41"/>
    <x v="0"/>
    <x v="19"/>
    <x v="5"/>
    <x v="1"/>
    <x v="2"/>
    <x v="0"/>
    <x v="2"/>
    <x v="2"/>
    <x v="0"/>
    <x v="0"/>
    <x v="0"/>
    <x v="0"/>
    <x v="0"/>
    <x v="0"/>
    <x v="0"/>
    <x v="0"/>
    <x v="0"/>
    <x v="0"/>
    <x v="0"/>
    <x v="0"/>
    <x v="0"/>
    <x v="0"/>
    <x v="0"/>
    <x v="0"/>
    <x v="0"/>
    <m/>
    <m/>
    <m/>
    <m/>
    <m/>
    <m/>
  </r>
  <r>
    <x v="41"/>
    <x v="0"/>
    <x v="19"/>
    <x v="5"/>
    <x v="1"/>
    <x v="3"/>
    <x v="0"/>
    <x v="2"/>
    <x v="2"/>
    <x v="0"/>
    <x v="0"/>
    <x v="0"/>
    <x v="0"/>
    <x v="0"/>
    <x v="0"/>
    <x v="0"/>
    <x v="0"/>
    <x v="0"/>
    <x v="0"/>
    <x v="0"/>
    <x v="0"/>
    <x v="0"/>
    <x v="0"/>
    <x v="0"/>
    <x v="0"/>
    <x v="0"/>
    <m/>
    <m/>
    <m/>
    <m/>
    <m/>
    <m/>
  </r>
  <r>
    <x v="41"/>
    <x v="0"/>
    <x v="19"/>
    <x v="5"/>
    <x v="1"/>
    <x v="4"/>
    <x v="0"/>
    <x v="2"/>
    <x v="2"/>
    <x v="0"/>
    <x v="0"/>
    <x v="0"/>
    <x v="0"/>
    <x v="0"/>
    <x v="0"/>
    <x v="0"/>
    <x v="0"/>
    <x v="0"/>
    <x v="0"/>
    <x v="0"/>
    <x v="0"/>
    <x v="0"/>
    <x v="0"/>
    <x v="0"/>
    <x v="0"/>
    <x v="0"/>
    <m/>
    <m/>
    <m/>
    <m/>
    <m/>
    <m/>
  </r>
  <r>
    <x v="41"/>
    <x v="0"/>
    <x v="19"/>
    <x v="5"/>
    <x v="1"/>
    <x v="5"/>
    <x v="0"/>
    <x v="3"/>
    <x v="3"/>
    <x v="0"/>
    <x v="0"/>
    <x v="0"/>
    <x v="0"/>
    <x v="0"/>
    <x v="0"/>
    <x v="0"/>
    <x v="0"/>
    <x v="0"/>
    <x v="0"/>
    <x v="0"/>
    <x v="0"/>
    <x v="0"/>
    <x v="0"/>
    <x v="0"/>
    <x v="0"/>
    <x v="0"/>
    <m/>
    <m/>
    <m/>
    <m/>
    <m/>
    <m/>
  </r>
  <r>
    <x v="41"/>
    <x v="0"/>
    <x v="19"/>
    <x v="5"/>
    <x v="1"/>
    <x v="6"/>
    <x v="0"/>
    <x v="2"/>
    <x v="2"/>
    <x v="2"/>
    <x v="2"/>
    <x v="2"/>
    <x v="2"/>
    <x v="2"/>
    <x v="2"/>
    <x v="2"/>
    <x v="2"/>
    <x v="2"/>
    <x v="2"/>
    <x v="2"/>
    <x v="2"/>
    <x v="2"/>
    <x v="2"/>
    <x v="2"/>
    <x v="2"/>
    <x v="2"/>
    <n v="0"/>
    <n v="0"/>
    <n v="0"/>
    <n v="0"/>
    <n v="0"/>
    <n v="0"/>
  </r>
  <r>
    <x v="41"/>
    <x v="0"/>
    <x v="19"/>
    <x v="5"/>
    <x v="1"/>
    <x v="7"/>
    <x v="0"/>
    <x v="3"/>
    <x v="3"/>
    <x v="0"/>
    <x v="0"/>
    <x v="0"/>
    <x v="0"/>
    <x v="0"/>
    <x v="0"/>
    <x v="0"/>
    <x v="0"/>
    <x v="0"/>
    <x v="0"/>
    <x v="0"/>
    <x v="0"/>
    <x v="0"/>
    <x v="0"/>
    <x v="0"/>
    <x v="0"/>
    <x v="0"/>
    <m/>
    <m/>
    <m/>
    <m/>
    <m/>
    <m/>
  </r>
  <r>
    <x v="41"/>
    <x v="0"/>
    <x v="19"/>
    <x v="5"/>
    <x v="1"/>
    <x v="8"/>
    <x v="0"/>
    <x v="2"/>
    <x v="3"/>
    <x v="0"/>
    <x v="0"/>
    <x v="0"/>
    <x v="0"/>
    <x v="0"/>
    <x v="0"/>
    <x v="0"/>
    <x v="0"/>
    <x v="0"/>
    <x v="0"/>
    <x v="0"/>
    <x v="0"/>
    <x v="0"/>
    <x v="0"/>
    <x v="0"/>
    <x v="0"/>
    <x v="0"/>
    <m/>
    <m/>
    <m/>
    <m/>
    <m/>
    <m/>
  </r>
  <r>
    <x v="41"/>
    <x v="0"/>
    <x v="19"/>
    <x v="5"/>
    <x v="1"/>
    <x v="9"/>
    <x v="0"/>
    <x v="2"/>
    <x v="3"/>
    <x v="0"/>
    <x v="0"/>
    <x v="0"/>
    <x v="0"/>
    <x v="0"/>
    <x v="0"/>
    <x v="0"/>
    <x v="0"/>
    <x v="0"/>
    <x v="0"/>
    <x v="0"/>
    <x v="0"/>
    <x v="0"/>
    <x v="0"/>
    <x v="0"/>
    <x v="0"/>
    <x v="0"/>
    <m/>
    <m/>
    <m/>
    <m/>
    <m/>
    <m/>
  </r>
  <r>
    <x v="41"/>
    <x v="0"/>
    <x v="19"/>
    <x v="5"/>
    <x v="1"/>
    <x v="10"/>
    <x v="0"/>
    <x v="3"/>
    <x v="3"/>
    <x v="0"/>
    <x v="0"/>
    <x v="0"/>
    <x v="0"/>
    <x v="0"/>
    <x v="0"/>
    <x v="0"/>
    <x v="0"/>
    <x v="0"/>
    <x v="0"/>
    <x v="0"/>
    <x v="0"/>
    <x v="0"/>
    <x v="0"/>
    <x v="0"/>
    <x v="0"/>
    <x v="0"/>
    <m/>
    <m/>
    <m/>
    <m/>
    <m/>
    <m/>
  </r>
  <r>
    <x v="41"/>
    <x v="0"/>
    <x v="19"/>
    <x v="5"/>
    <x v="1"/>
    <x v="11"/>
    <x v="0"/>
    <x v="3"/>
    <x v="243"/>
    <x v="107"/>
    <x v="113"/>
    <x v="113"/>
    <x v="121"/>
    <x v="115"/>
    <x v="113"/>
    <x v="117"/>
    <x v="113"/>
    <x v="117"/>
    <x v="110"/>
    <x v="113"/>
    <x v="111"/>
    <x v="115"/>
    <x v="112"/>
    <x v="103"/>
    <x v="99"/>
    <x v="98"/>
    <n v="-51360"/>
    <n v="-52332"/>
    <n v="-53303"/>
    <n v="-53580"/>
    <n v="-53580"/>
    <n v="-53580"/>
  </r>
  <r>
    <x v="41"/>
    <x v="0"/>
    <x v="19"/>
    <x v="5"/>
    <x v="1"/>
    <x v="12"/>
    <x v="0"/>
    <x v="3"/>
    <x v="2"/>
    <x v="2"/>
    <x v="2"/>
    <x v="2"/>
    <x v="2"/>
    <x v="2"/>
    <x v="2"/>
    <x v="2"/>
    <x v="2"/>
    <x v="2"/>
    <x v="2"/>
    <x v="2"/>
    <x v="2"/>
    <x v="2"/>
    <x v="2"/>
    <x v="2"/>
    <x v="2"/>
    <x v="2"/>
    <n v="0"/>
    <n v="0"/>
    <n v="0"/>
    <n v="0"/>
    <n v="0"/>
    <n v="0"/>
  </r>
  <r>
    <x v="41"/>
    <x v="0"/>
    <x v="19"/>
    <x v="5"/>
    <x v="0"/>
    <x v="0"/>
    <x v="0"/>
    <x v="222"/>
    <x v="244"/>
    <x v="0"/>
    <x v="0"/>
    <x v="0"/>
    <x v="0"/>
    <x v="0"/>
    <x v="0"/>
    <x v="0"/>
    <x v="0"/>
    <x v="0"/>
    <x v="0"/>
    <x v="0"/>
    <x v="0"/>
    <x v="0"/>
    <x v="0"/>
    <x v="0"/>
    <x v="0"/>
    <x v="0"/>
    <m/>
    <m/>
    <m/>
    <m/>
    <m/>
    <m/>
  </r>
  <r>
    <x v="41"/>
    <x v="0"/>
    <x v="19"/>
    <x v="5"/>
    <x v="0"/>
    <x v="1"/>
    <x v="0"/>
    <x v="223"/>
    <x v="245"/>
    <x v="108"/>
    <x v="114"/>
    <x v="114"/>
    <x v="122"/>
    <x v="116"/>
    <x v="114"/>
    <x v="118"/>
    <x v="114"/>
    <x v="118"/>
    <x v="111"/>
    <x v="114"/>
    <x v="112"/>
    <x v="116"/>
    <x v="113"/>
    <x v="104"/>
    <x v="100"/>
    <x v="99"/>
    <n v="1838"/>
    <n v="1031"/>
    <n v="946"/>
    <n v="490"/>
    <n v="179"/>
    <n v="129"/>
  </r>
  <r>
    <x v="41"/>
    <x v="0"/>
    <x v="19"/>
    <x v="5"/>
    <x v="0"/>
    <x v="2"/>
    <x v="0"/>
    <x v="2"/>
    <x v="2"/>
    <x v="0"/>
    <x v="0"/>
    <x v="0"/>
    <x v="0"/>
    <x v="0"/>
    <x v="0"/>
    <x v="0"/>
    <x v="0"/>
    <x v="0"/>
    <x v="0"/>
    <x v="0"/>
    <x v="0"/>
    <x v="0"/>
    <x v="0"/>
    <x v="0"/>
    <x v="0"/>
    <x v="0"/>
    <m/>
    <m/>
    <m/>
    <m/>
    <m/>
    <m/>
  </r>
  <r>
    <x v="41"/>
    <x v="0"/>
    <x v="19"/>
    <x v="5"/>
    <x v="0"/>
    <x v="3"/>
    <x v="0"/>
    <x v="2"/>
    <x v="2"/>
    <x v="0"/>
    <x v="0"/>
    <x v="0"/>
    <x v="0"/>
    <x v="0"/>
    <x v="0"/>
    <x v="0"/>
    <x v="0"/>
    <x v="0"/>
    <x v="0"/>
    <x v="0"/>
    <x v="0"/>
    <x v="0"/>
    <x v="0"/>
    <x v="0"/>
    <x v="0"/>
    <x v="0"/>
    <m/>
    <m/>
    <m/>
    <m/>
    <m/>
    <m/>
  </r>
  <r>
    <x v="41"/>
    <x v="0"/>
    <x v="19"/>
    <x v="5"/>
    <x v="0"/>
    <x v="4"/>
    <x v="0"/>
    <x v="191"/>
    <x v="211"/>
    <x v="0"/>
    <x v="0"/>
    <x v="0"/>
    <x v="0"/>
    <x v="0"/>
    <x v="0"/>
    <x v="0"/>
    <x v="0"/>
    <x v="0"/>
    <x v="0"/>
    <x v="0"/>
    <x v="0"/>
    <x v="0"/>
    <x v="0"/>
    <x v="0"/>
    <x v="0"/>
    <x v="0"/>
    <m/>
    <m/>
    <m/>
    <m/>
    <m/>
    <m/>
  </r>
  <r>
    <x v="41"/>
    <x v="0"/>
    <x v="19"/>
    <x v="5"/>
    <x v="0"/>
    <x v="5"/>
    <x v="0"/>
    <x v="3"/>
    <x v="3"/>
    <x v="0"/>
    <x v="0"/>
    <x v="0"/>
    <x v="0"/>
    <x v="0"/>
    <x v="0"/>
    <x v="0"/>
    <x v="0"/>
    <x v="0"/>
    <x v="0"/>
    <x v="0"/>
    <x v="0"/>
    <x v="0"/>
    <x v="0"/>
    <x v="0"/>
    <x v="0"/>
    <x v="0"/>
    <m/>
    <m/>
    <m/>
    <m/>
    <m/>
    <m/>
  </r>
  <r>
    <x v="41"/>
    <x v="0"/>
    <x v="19"/>
    <x v="5"/>
    <x v="0"/>
    <x v="6"/>
    <x v="0"/>
    <x v="2"/>
    <x v="2"/>
    <x v="2"/>
    <x v="2"/>
    <x v="2"/>
    <x v="2"/>
    <x v="2"/>
    <x v="2"/>
    <x v="2"/>
    <x v="2"/>
    <x v="2"/>
    <x v="2"/>
    <x v="2"/>
    <x v="2"/>
    <x v="2"/>
    <x v="2"/>
    <x v="2"/>
    <x v="2"/>
    <x v="2"/>
    <n v="0"/>
    <n v="0"/>
    <n v="0"/>
    <n v="0"/>
    <n v="0"/>
    <n v="0"/>
  </r>
  <r>
    <x v="41"/>
    <x v="0"/>
    <x v="19"/>
    <x v="5"/>
    <x v="0"/>
    <x v="7"/>
    <x v="0"/>
    <x v="3"/>
    <x v="3"/>
    <x v="0"/>
    <x v="0"/>
    <x v="0"/>
    <x v="0"/>
    <x v="0"/>
    <x v="0"/>
    <x v="0"/>
    <x v="0"/>
    <x v="0"/>
    <x v="0"/>
    <x v="0"/>
    <x v="0"/>
    <x v="0"/>
    <x v="0"/>
    <x v="0"/>
    <x v="0"/>
    <x v="0"/>
    <m/>
    <m/>
    <m/>
    <m/>
    <m/>
    <m/>
  </r>
  <r>
    <x v="41"/>
    <x v="0"/>
    <x v="19"/>
    <x v="5"/>
    <x v="0"/>
    <x v="8"/>
    <x v="0"/>
    <x v="2"/>
    <x v="3"/>
    <x v="0"/>
    <x v="0"/>
    <x v="0"/>
    <x v="0"/>
    <x v="0"/>
    <x v="0"/>
    <x v="0"/>
    <x v="0"/>
    <x v="0"/>
    <x v="0"/>
    <x v="0"/>
    <x v="0"/>
    <x v="0"/>
    <x v="0"/>
    <x v="0"/>
    <x v="0"/>
    <x v="0"/>
    <m/>
    <m/>
    <m/>
    <m/>
    <m/>
    <m/>
  </r>
  <r>
    <x v="41"/>
    <x v="0"/>
    <x v="19"/>
    <x v="5"/>
    <x v="0"/>
    <x v="9"/>
    <x v="0"/>
    <x v="2"/>
    <x v="3"/>
    <x v="0"/>
    <x v="0"/>
    <x v="0"/>
    <x v="0"/>
    <x v="0"/>
    <x v="0"/>
    <x v="0"/>
    <x v="0"/>
    <x v="0"/>
    <x v="0"/>
    <x v="0"/>
    <x v="0"/>
    <x v="0"/>
    <x v="0"/>
    <x v="0"/>
    <x v="0"/>
    <x v="0"/>
    <m/>
    <m/>
    <m/>
    <m/>
    <m/>
    <m/>
  </r>
  <r>
    <x v="41"/>
    <x v="0"/>
    <x v="19"/>
    <x v="5"/>
    <x v="0"/>
    <x v="10"/>
    <x v="0"/>
    <x v="3"/>
    <x v="3"/>
    <x v="0"/>
    <x v="0"/>
    <x v="0"/>
    <x v="0"/>
    <x v="0"/>
    <x v="0"/>
    <x v="0"/>
    <x v="0"/>
    <x v="0"/>
    <x v="0"/>
    <x v="0"/>
    <x v="0"/>
    <x v="0"/>
    <x v="0"/>
    <x v="0"/>
    <x v="0"/>
    <x v="0"/>
    <m/>
    <m/>
    <m/>
    <m/>
    <m/>
    <m/>
  </r>
  <r>
    <x v="41"/>
    <x v="0"/>
    <x v="19"/>
    <x v="5"/>
    <x v="0"/>
    <x v="11"/>
    <x v="0"/>
    <x v="3"/>
    <x v="246"/>
    <x v="109"/>
    <x v="115"/>
    <x v="115"/>
    <x v="123"/>
    <x v="117"/>
    <x v="115"/>
    <x v="119"/>
    <x v="115"/>
    <x v="119"/>
    <x v="112"/>
    <x v="115"/>
    <x v="113"/>
    <x v="117"/>
    <x v="114"/>
    <x v="105"/>
    <x v="101"/>
    <x v="100"/>
    <n v="-83298"/>
    <n v="-84329"/>
    <n v="-85275"/>
    <n v="-85765"/>
    <n v="-85944"/>
    <n v="-86073"/>
  </r>
  <r>
    <x v="41"/>
    <x v="0"/>
    <x v="19"/>
    <x v="5"/>
    <x v="0"/>
    <x v="12"/>
    <x v="0"/>
    <x v="3"/>
    <x v="2"/>
    <x v="2"/>
    <x v="2"/>
    <x v="2"/>
    <x v="2"/>
    <x v="2"/>
    <x v="2"/>
    <x v="2"/>
    <x v="2"/>
    <x v="2"/>
    <x v="2"/>
    <x v="2"/>
    <x v="2"/>
    <x v="2"/>
    <x v="2"/>
    <x v="2"/>
    <x v="2"/>
    <x v="2"/>
    <n v="0"/>
    <n v="0"/>
    <n v="0"/>
    <n v="0"/>
    <n v="0"/>
    <n v="0"/>
  </r>
  <r>
    <x v="42"/>
    <x v="0"/>
    <x v="20"/>
    <x v="4"/>
    <x v="0"/>
    <x v="0"/>
    <x v="0"/>
    <x v="11"/>
    <x v="247"/>
    <x v="0"/>
    <x v="0"/>
    <x v="0"/>
    <x v="0"/>
    <x v="0"/>
    <x v="0"/>
    <x v="0"/>
    <x v="0"/>
    <x v="0"/>
    <x v="0"/>
    <x v="0"/>
    <x v="0"/>
    <x v="0"/>
    <x v="0"/>
    <x v="0"/>
    <x v="0"/>
    <x v="0"/>
    <m/>
    <m/>
    <m/>
    <m/>
    <m/>
    <m/>
  </r>
  <r>
    <x v="42"/>
    <x v="0"/>
    <x v="20"/>
    <x v="4"/>
    <x v="0"/>
    <x v="1"/>
    <x v="0"/>
    <x v="224"/>
    <x v="19"/>
    <x v="110"/>
    <x v="5"/>
    <x v="5"/>
    <x v="8"/>
    <x v="7"/>
    <x v="116"/>
    <x v="5"/>
    <x v="116"/>
    <x v="120"/>
    <x v="5"/>
    <x v="116"/>
    <x v="114"/>
    <x v="118"/>
    <x v="2"/>
    <x v="2"/>
    <x v="2"/>
    <x v="2"/>
    <n v="0"/>
    <n v="0"/>
    <n v="0"/>
    <n v="0"/>
    <n v="0"/>
    <n v="0"/>
  </r>
  <r>
    <x v="42"/>
    <x v="0"/>
    <x v="20"/>
    <x v="4"/>
    <x v="0"/>
    <x v="2"/>
    <x v="0"/>
    <x v="2"/>
    <x v="2"/>
    <x v="0"/>
    <x v="0"/>
    <x v="0"/>
    <x v="0"/>
    <x v="0"/>
    <x v="0"/>
    <x v="0"/>
    <x v="0"/>
    <x v="0"/>
    <x v="0"/>
    <x v="0"/>
    <x v="0"/>
    <x v="0"/>
    <x v="0"/>
    <x v="0"/>
    <x v="0"/>
    <x v="0"/>
    <m/>
    <m/>
    <m/>
    <m/>
    <m/>
    <m/>
  </r>
  <r>
    <x v="42"/>
    <x v="0"/>
    <x v="20"/>
    <x v="4"/>
    <x v="0"/>
    <x v="3"/>
    <x v="0"/>
    <x v="2"/>
    <x v="2"/>
    <x v="0"/>
    <x v="0"/>
    <x v="0"/>
    <x v="0"/>
    <x v="0"/>
    <x v="0"/>
    <x v="0"/>
    <x v="0"/>
    <x v="0"/>
    <x v="0"/>
    <x v="0"/>
    <x v="0"/>
    <x v="0"/>
    <x v="0"/>
    <x v="0"/>
    <x v="0"/>
    <x v="0"/>
    <m/>
    <m/>
    <m/>
    <m/>
    <m/>
    <m/>
  </r>
  <r>
    <x v="42"/>
    <x v="0"/>
    <x v="20"/>
    <x v="4"/>
    <x v="0"/>
    <x v="4"/>
    <x v="0"/>
    <x v="225"/>
    <x v="248"/>
    <x v="0"/>
    <x v="0"/>
    <x v="0"/>
    <x v="0"/>
    <x v="0"/>
    <x v="0"/>
    <x v="0"/>
    <x v="0"/>
    <x v="0"/>
    <x v="0"/>
    <x v="0"/>
    <x v="0"/>
    <x v="0"/>
    <x v="0"/>
    <x v="0"/>
    <x v="0"/>
    <x v="0"/>
    <m/>
    <m/>
    <m/>
    <m/>
    <m/>
    <m/>
  </r>
  <r>
    <x v="42"/>
    <x v="0"/>
    <x v="20"/>
    <x v="4"/>
    <x v="0"/>
    <x v="5"/>
    <x v="0"/>
    <x v="3"/>
    <x v="3"/>
    <x v="0"/>
    <x v="0"/>
    <x v="0"/>
    <x v="0"/>
    <x v="0"/>
    <x v="0"/>
    <x v="0"/>
    <x v="0"/>
    <x v="0"/>
    <x v="0"/>
    <x v="0"/>
    <x v="0"/>
    <x v="0"/>
    <x v="0"/>
    <x v="0"/>
    <x v="0"/>
    <x v="0"/>
    <m/>
    <m/>
    <m/>
    <m/>
    <m/>
    <m/>
  </r>
  <r>
    <x v="42"/>
    <x v="0"/>
    <x v="20"/>
    <x v="4"/>
    <x v="0"/>
    <x v="6"/>
    <x v="0"/>
    <x v="2"/>
    <x v="2"/>
    <x v="2"/>
    <x v="2"/>
    <x v="2"/>
    <x v="2"/>
    <x v="2"/>
    <x v="2"/>
    <x v="2"/>
    <x v="2"/>
    <x v="2"/>
    <x v="2"/>
    <x v="2"/>
    <x v="2"/>
    <x v="2"/>
    <x v="2"/>
    <x v="2"/>
    <x v="2"/>
    <x v="2"/>
    <n v="0"/>
    <n v="0"/>
    <n v="0"/>
    <n v="0"/>
    <n v="0"/>
    <n v="0"/>
  </r>
  <r>
    <x v="42"/>
    <x v="0"/>
    <x v="20"/>
    <x v="4"/>
    <x v="0"/>
    <x v="7"/>
    <x v="0"/>
    <x v="3"/>
    <x v="3"/>
    <x v="0"/>
    <x v="0"/>
    <x v="0"/>
    <x v="0"/>
    <x v="0"/>
    <x v="0"/>
    <x v="0"/>
    <x v="0"/>
    <x v="0"/>
    <x v="0"/>
    <x v="0"/>
    <x v="0"/>
    <x v="0"/>
    <x v="0"/>
    <x v="0"/>
    <x v="0"/>
    <x v="0"/>
    <m/>
    <m/>
    <m/>
    <m/>
    <m/>
    <m/>
  </r>
  <r>
    <x v="42"/>
    <x v="0"/>
    <x v="20"/>
    <x v="4"/>
    <x v="0"/>
    <x v="8"/>
    <x v="0"/>
    <x v="2"/>
    <x v="3"/>
    <x v="0"/>
    <x v="0"/>
    <x v="0"/>
    <x v="0"/>
    <x v="0"/>
    <x v="0"/>
    <x v="0"/>
    <x v="0"/>
    <x v="0"/>
    <x v="0"/>
    <x v="0"/>
    <x v="0"/>
    <x v="0"/>
    <x v="0"/>
    <x v="0"/>
    <x v="0"/>
    <x v="0"/>
    <m/>
    <m/>
    <m/>
    <m/>
    <m/>
    <m/>
  </r>
  <r>
    <x v="42"/>
    <x v="0"/>
    <x v="20"/>
    <x v="4"/>
    <x v="0"/>
    <x v="9"/>
    <x v="0"/>
    <x v="2"/>
    <x v="3"/>
    <x v="0"/>
    <x v="0"/>
    <x v="0"/>
    <x v="0"/>
    <x v="0"/>
    <x v="0"/>
    <x v="0"/>
    <x v="0"/>
    <x v="0"/>
    <x v="0"/>
    <x v="0"/>
    <x v="0"/>
    <x v="0"/>
    <x v="0"/>
    <x v="0"/>
    <x v="0"/>
    <x v="0"/>
    <m/>
    <m/>
    <m/>
    <m/>
    <m/>
    <m/>
  </r>
  <r>
    <x v="42"/>
    <x v="0"/>
    <x v="20"/>
    <x v="4"/>
    <x v="0"/>
    <x v="10"/>
    <x v="0"/>
    <x v="3"/>
    <x v="3"/>
    <x v="0"/>
    <x v="0"/>
    <x v="0"/>
    <x v="0"/>
    <x v="0"/>
    <x v="0"/>
    <x v="0"/>
    <x v="0"/>
    <x v="0"/>
    <x v="0"/>
    <x v="0"/>
    <x v="0"/>
    <x v="0"/>
    <x v="0"/>
    <x v="0"/>
    <x v="0"/>
    <x v="0"/>
    <m/>
    <m/>
    <m/>
    <m/>
    <m/>
    <m/>
  </r>
  <r>
    <x v="42"/>
    <x v="0"/>
    <x v="20"/>
    <x v="4"/>
    <x v="0"/>
    <x v="11"/>
    <x v="0"/>
    <x v="3"/>
    <x v="249"/>
    <x v="111"/>
    <x v="116"/>
    <x v="116"/>
    <x v="124"/>
    <x v="118"/>
    <x v="117"/>
    <x v="120"/>
    <x v="117"/>
    <x v="121"/>
    <x v="113"/>
    <x v="117"/>
    <x v="115"/>
    <x v="119"/>
    <x v="115"/>
    <x v="106"/>
    <x v="102"/>
    <x v="101"/>
    <n v="304"/>
    <n v="304"/>
    <n v="304"/>
    <n v="304"/>
    <n v="304"/>
    <n v="304"/>
  </r>
  <r>
    <x v="42"/>
    <x v="0"/>
    <x v="20"/>
    <x v="4"/>
    <x v="0"/>
    <x v="12"/>
    <x v="0"/>
    <x v="3"/>
    <x v="2"/>
    <x v="2"/>
    <x v="2"/>
    <x v="2"/>
    <x v="2"/>
    <x v="2"/>
    <x v="2"/>
    <x v="2"/>
    <x v="2"/>
    <x v="2"/>
    <x v="2"/>
    <x v="2"/>
    <x v="2"/>
    <x v="2"/>
    <x v="2"/>
    <x v="2"/>
    <x v="2"/>
    <x v="2"/>
    <n v="0"/>
    <n v="0"/>
    <n v="0"/>
    <n v="0"/>
    <n v="0"/>
    <n v="0"/>
  </r>
  <r>
    <x v="43"/>
    <x v="0"/>
    <x v="20"/>
    <x v="4"/>
    <x v="1"/>
    <x v="0"/>
    <x v="0"/>
    <x v="226"/>
    <x v="250"/>
    <x v="0"/>
    <x v="0"/>
    <x v="0"/>
    <x v="0"/>
    <x v="0"/>
    <x v="0"/>
    <x v="0"/>
    <x v="0"/>
    <x v="0"/>
    <x v="0"/>
    <x v="0"/>
    <x v="0"/>
    <x v="0"/>
    <x v="0"/>
    <x v="0"/>
    <x v="0"/>
    <x v="0"/>
    <m/>
    <m/>
    <m/>
    <m/>
    <m/>
    <m/>
  </r>
  <r>
    <x v="43"/>
    <x v="0"/>
    <x v="20"/>
    <x v="4"/>
    <x v="1"/>
    <x v="1"/>
    <x v="0"/>
    <x v="227"/>
    <x v="251"/>
    <x v="112"/>
    <x v="117"/>
    <x v="117"/>
    <x v="125"/>
    <x v="119"/>
    <x v="118"/>
    <x v="121"/>
    <x v="118"/>
    <x v="122"/>
    <x v="114"/>
    <x v="118"/>
    <x v="116"/>
    <x v="120"/>
    <x v="116"/>
    <x v="107"/>
    <x v="103"/>
    <x v="102"/>
    <n v="3396"/>
    <n v="3388"/>
    <n v="3425"/>
    <n v="2755"/>
    <n v="2519"/>
    <n v="2505"/>
  </r>
  <r>
    <x v="43"/>
    <x v="0"/>
    <x v="20"/>
    <x v="4"/>
    <x v="1"/>
    <x v="2"/>
    <x v="0"/>
    <x v="2"/>
    <x v="2"/>
    <x v="0"/>
    <x v="0"/>
    <x v="0"/>
    <x v="0"/>
    <x v="0"/>
    <x v="0"/>
    <x v="0"/>
    <x v="0"/>
    <x v="0"/>
    <x v="0"/>
    <x v="0"/>
    <x v="0"/>
    <x v="0"/>
    <x v="0"/>
    <x v="0"/>
    <x v="0"/>
    <x v="0"/>
    <m/>
    <m/>
    <m/>
    <m/>
    <m/>
    <m/>
  </r>
  <r>
    <x v="43"/>
    <x v="0"/>
    <x v="20"/>
    <x v="4"/>
    <x v="1"/>
    <x v="3"/>
    <x v="0"/>
    <x v="2"/>
    <x v="2"/>
    <x v="0"/>
    <x v="0"/>
    <x v="0"/>
    <x v="0"/>
    <x v="0"/>
    <x v="0"/>
    <x v="0"/>
    <x v="0"/>
    <x v="0"/>
    <x v="0"/>
    <x v="0"/>
    <x v="0"/>
    <x v="0"/>
    <x v="0"/>
    <x v="0"/>
    <x v="0"/>
    <x v="0"/>
    <m/>
    <m/>
    <m/>
    <m/>
    <m/>
    <m/>
  </r>
  <r>
    <x v="43"/>
    <x v="0"/>
    <x v="20"/>
    <x v="4"/>
    <x v="1"/>
    <x v="4"/>
    <x v="0"/>
    <x v="228"/>
    <x v="252"/>
    <x v="0"/>
    <x v="0"/>
    <x v="0"/>
    <x v="0"/>
    <x v="0"/>
    <x v="0"/>
    <x v="0"/>
    <x v="0"/>
    <x v="0"/>
    <x v="0"/>
    <x v="0"/>
    <x v="0"/>
    <x v="0"/>
    <x v="0"/>
    <x v="0"/>
    <x v="0"/>
    <x v="0"/>
    <m/>
    <m/>
    <m/>
    <m/>
    <m/>
    <m/>
  </r>
  <r>
    <x v="43"/>
    <x v="0"/>
    <x v="20"/>
    <x v="4"/>
    <x v="1"/>
    <x v="5"/>
    <x v="0"/>
    <x v="3"/>
    <x v="3"/>
    <x v="0"/>
    <x v="0"/>
    <x v="0"/>
    <x v="0"/>
    <x v="0"/>
    <x v="0"/>
    <x v="0"/>
    <x v="0"/>
    <x v="0"/>
    <x v="0"/>
    <x v="0"/>
    <x v="0"/>
    <x v="0"/>
    <x v="0"/>
    <x v="0"/>
    <x v="0"/>
    <x v="0"/>
    <m/>
    <m/>
    <m/>
    <m/>
    <m/>
    <m/>
  </r>
  <r>
    <x v="43"/>
    <x v="0"/>
    <x v="20"/>
    <x v="4"/>
    <x v="1"/>
    <x v="6"/>
    <x v="0"/>
    <x v="2"/>
    <x v="2"/>
    <x v="2"/>
    <x v="2"/>
    <x v="2"/>
    <x v="2"/>
    <x v="2"/>
    <x v="2"/>
    <x v="2"/>
    <x v="2"/>
    <x v="2"/>
    <x v="2"/>
    <x v="2"/>
    <x v="2"/>
    <x v="2"/>
    <x v="2"/>
    <x v="2"/>
    <x v="2"/>
    <x v="2"/>
    <n v="0"/>
    <n v="0"/>
    <n v="0"/>
    <n v="0"/>
    <n v="0"/>
    <n v="0"/>
  </r>
  <r>
    <x v="43"/>
    <x v="0"/>
    <x v="20"/>
    <x v="4"/>
    <x v="1"/>
    <x v="7"/>
    <x v="0"/>
    <x v="3"/>
    <x v="3"/>
    <x v="0"/>
    <x v="0"/>
    <x v="0"/>
    <x v="0"/>
    <x v="0"/>
    <x v="0"/>
    <x v="0"/>
    <x v="0"/>
    <x v="0"/>
    <x v="0"/>
    <x v="0"/>
    <x v="0"/>
    <x v="0"/>
    <x v="0"/>
    <x v="0"/>
    <x v="0"/>
    <x v="0"/>
    <m/>
    <m/>
    <m/>
    <m/>
    <m/>
    <m/>
  </r>
  <r>
    <x v="43"/>
    <x v="0"/>
    <x v="20"/>
    <x v="4"/>
    <x v="1"/>
    <x v="8"/>
    <x v="0"/>
    <x v="2"/>
    <x v="3"/>
    <x v="0"/>
    <x v="0"/>
    <x v="0"/>
    <x v="0"/>
    <x v="0"/>
    <x v="0"/>
    <x v="0"/>
    <x v="0"/>
    <x v="0"/>
    <x v="0"/>
    <x v="0"/>
    <x v="0"/>
    <x v="0"/>
    <x v="0"/>
    <x v="0"/>
    <x v="0"/>
    <x v="0"/>
    <m/>
    <m/>
    <m/>
    <m/>
    <m/>
    <m/>
  </r>
  <r>
    <x v="43"/>
    <x v="0"/>
    <x v="20"/>
    <x v="4"/>
    <x v="1"/>
    <x v="9"/>
    <x v="0"/>
    <x v="2"/>
    <x v="3"/>
    <x v="0"/>
    <x v="0"/>
    <x v="0"/>
    <x v="0"/>
    <x v="0"/>
    <x v="0"/>
    <x v="0"/>
    <x v="0"/>
    <x v="0"/>
    <x v="0"/>
    <x v="0"/>
    <x v="0"/>
    <x v="0"/>
    <x v="0"/>
    <x v="0"/>
    <x v="0"/>
    <x v="0"/>
    <m/>
    <m/>
    <m/>
    <m/>
    <m/>
    <m/>
  </r>
  <r>
    <x v="43"/>
    <x v="0"/>
    <x v="20"/>
    <x v="4"/>
    <x v="1"/>
    <x v="10"/>
    <x v="0"/>
    <x v="3"/>
    <x v="3"/>
    <x v="0"/>
    <x v="0"/>
    <x v="0"/>
    <x v="0"/>
    <x v="0"/>
    <x v="0"/>
    <x v="0"/>
    <x v="0"/>
    <x v="0"/>
    <x v="0"/>
    <x v="0"/>
    <x v="0"/>
    <x v="0"/>
    <x v="0"/>
    <x v="0"/>
    <x v="0"/>
    <x v="0"/>
    <m/>
    <m/>
    <m/>
    <m/>
    <m/>
    <m/>
  </r>
  <r>
    <x v="43"/>
    <x v="0"/>
    <x v="20"/>
    <x v="4"/>
    <x v="1"/>
    <x v="11"/>
    <x v="0"/>
    <x v="3"/>
    <x v="253"/>
    <x v="113"/>
    <x v="118"/>
    <x v="118"/>
    <x v="126"/>
    <x v="120"/>
    <x v="119"/>
    <x v="122"/>
    <x v="119"/>
    <x v="123"/>
    <x v="115"/>
    <x v="119"/>
    <x v="117"/>
    <x v="121"/>
    <x v="117"/>
    <x v="108"/>
    <x v="104"/>
    <x v="103"/>
    <n v="-99468"/>
    <n v="-102856"/>
    <n v="-106281"/>
    <n v="-109036"/>
    <n v="-111555"/>
    <n v="-114060"/>
  </r>
  <r>
    <x v="43"/>
    <x v="0"/>
    <x v="20"/>
    <x v="4"/>
    <x v="1"/>
    <x v="12"/>
    <x v="0"/>
    <x v="3"/>
    <x v="2"/>
    <x v="2"/>
    <x v="2"/>
    <x v="2"/>
    <x v="2"/>
    <x v="2"/>
    <x v="2"/>
    <x v="2"/>
    <x v="2"/>
    <x v="2"/>
    <x v="2"/>
    <x v="2"/>
    <x v="2"/>
    <x v="2"/>
    <x v="2"/>
    <x v="2"/>
    <x v="2"/>
    <x v="2"/>
    <n v="0"/>
    <n v="0"/>
    <n v="0"/>
    <n v="0"/>
    <n v="0"/>
    <n v="0"/>
  </r>
  <r>
    <x v="43"/>
    <x v="0"/>
    <x v="20"/>
    <x v="4"/>
    <x v="0"/>
    <x v="0"/>
    <x v="0"/>
    <x v="229"/>
    <x v="254"/>
    <x v="0"/>
    <x v="0"/>
    <x v="0"/>
    <x v="0"/>
    <x v="0"/>
    <x v="0"/>
    <x v="0"/>
    <x v="0"/>
    <x v="0"/>
    <x v="0"/>
    <x v="0"/>
    <x v="0"/>
    <x v="0"/>
    <x v="0"/>
    <x v="0"/>
    <x v="0"/>
    <x v="0"/>
    <m/>
    <m/>
    <m/>
    <m/>
    <m/>
    <m/>
  </r>
  <r>
    <x v="43"/>
    <x v="0"/>
    <x v="20"/>
    <x v="4"/>
    <x v="0"/>
    <x v="1"/>
    <x v="0"/>
    <x v="230"/>
    <x v="255"/>
    <x v="114"/>
    <x v="119"/>
    <x v="119"/>
    <x v="127"/>
    <x v="121"/>
    <x v="120"/>
    <x v="123"/>
    <x v="120"/>
    <x v="124"/>
    <x v="116"/>
    <x v="120"/>
    <x v="118"/>
    <x v="122"/>
    <x v="118"/>
    <x v="109"/>
    <x v="105"/>
    <x v="104"/>
    <n v="4331"/>
    <n v="4330"/>
    <n v="4046"/>
    <n v="2211"/>
    <n v="1012"/>
    <n v="1012"/>
  </r>
  <r>
    <x v="43"/>
    <x v="0"/>
    <x v="20"/>
    <x v="4"/>
    <x v="0"/>
    <x v="2"/>
    <x v="0"/>
    <x v="2"/>
    <x v="2"/>
    <x v="0"/>
    <x v="0"/>
    <x v="0"/>
    <x v="0"/>
    <x v="0"/>
    <x v="0"/>
    <x v="0"/>
    <x v="0"/>
    <x v="0"/>
    <x v="0"/>
    <x v="0"/>
    <x v="0"/>
    <x v="0"/>
    <x v="0"/>
    <x v="0"/>
    <x v="0"/>
    <x v="0"/>
    <m/>
    <m/>
    <m/>
    <m/>
    <m/>
    <m/>
  </r>
  <r>
    <x v="43"/>
    <x v="0"/>
    <x v="20"/>
    <x v="4"/>
    <x v="0"/>
    <x v="3"/>
    <x v="0"/>
    <x v="2"/>
    <x v="2"/>
    <x v="0"/>
    <x v="0"/>
    <x v="0"/>
    <x v="0"/>
    <x v="0"/>
    <x v="0"/>
    <x v="0"/>
    <x v="0"/>
    <x v="0"/>
    <x v="0"/>
    <x v="0"/>
    <x v="0"/>
    <x v="0"/>
    <x v="0"/>
    <x v="0"/>
    <x v="0"/>
    <x v="0"/>
    <m/>
    <m/>
    <m/>
    <m/>
    <m/>
    <m/>
  </r>
  <r>
    <x v="43"/>
    <x v="0"/>
    <x v="20"/>
    <x v="4"/>
    <x v="0"/>
    <x v="4"/>
    <x v="0"/>
    <x v="225"/>
    <x v="248"/>
    <x v="0"/>
    <x v="0"/>
    <x v="0"/>
    <x v="0"/>
    <x v="0"/>
    <x v="0"/>
    <x v="0"/>
    <x v="0"/>
    <x v="0"/>
    <x v="0"/>
    <x v="0"/>
    <x v="0"/>
    <x v="0"/>
    <x v="0"/>
    <x v="0"/>
    <x v="0"/>
    <x v="0"/>
    <m/>
    <m/>
    <m/>
    <m/>
    <m/>
    <m/>
  </r>
  <r>
    <x v="43"/>
    <x v="0"/>
    <x v="20"/>
    <x v="4"/>
    <x v="0"/>
    <x v="5"/>
    <x v="0"/>
    <x v="3"/>
    <x v="3"/>
    <x v="0"/>
    <x v="0"/>
    <x v="0"/>
    <x v="0"/>
    <x v="0"/>
    <x v="0"/>
    <x v="0"/>
    <x v="0"/>
    <x v="0"/>
    <x v="0"/>
    <x v="0"/>
    <x v="0"/>
    <x v="0"/>
    <x v="0"/>
    <x v="0"/>
    <x v="0"/>
    <x v="0"/>
    <m/>
    <m/>
    <m/>
    <m/>
    <m/>
    <m/>
  </r>
  <r>
    <x v="43"/>
    <x v="0"/>
    <x v="20"/>
    <x v="4"/>
    <x v="0"/>
    <x v="6"/>
    <x v="0"/>
    <x v="2"/>
    <x v="2"/>
    <x v="2"/>
    <x v="2"/>
    <x v="2"/>
    <x v="2"/>
    <x v="2"/>
    <x v="2"/>
    <x v="2"/>
    <x v="2"/>
    <x v="2"/>
    <x v="2"/>
    <x v="2"/>
    <x v="2"/>
    <x v="2"/>
    <x v="2"/>
    <x v="2"/>
    <x v="2"/>
    <x v="2"/>
    <n v="0"/>
    <n v="0"/>
    <n v="0"/>
    <n v="0"/>
    <n v="0"/>
    <n v="0"/>
  </r>
  <r>
    <x v="43"/>
    <x v="0"/>
    <x v="20"/>
    <x v="4"/>
    <x v="0"/>
    <x v="7"/>
    <x v="0"/>
    <x v="3"/>
    <x v="3"/>
    <x v="0"/>
    <x v="0"/>
    <x v="0"/>
    <x v="0"/>
    <x v="0"/>
    <x v="0"/>
    <x v="0"/>
    <x v="0"/>
    <x v="0"/>
    <x v="0"/>
    <x v="0"/>
    <x v="0"/>
    <x v="0"/>
    <x v="0"/>
    <x v="0"/>
    <x v="0"/>
    <x v="0"/>
    <m/>
    <m/>
    <m/>
    <m/>
    <m/>
    <m/>
  </r>
  <r>
    <x v="43"/>
    <x v="0"/>
    <x v="20"/>
    <x v="4"/>
    <x v="0"/>
    <x v="8"/>
    <x v="0"/>
    <x v="2"/>
    <x v="3"/>
    <x v="0"/>
    <x v="0"/>
    <x v="0"/>
    <x v="0"/>
    <x v="0"/>
    <x v="0"/>
    <x v="0"/>
    <x v="0"/>
    <x v="0"/>
    <x v="0"/>
    <x v="0"/>
    <x v="0"/>
    <x v="0"/>
    <x v="0"/>
    <x v="0"/>
    <x v="0"/>
    <x v="0"/>
    <m/>
    <m/>
    <m/>
    <m/>
    <m/>
    <m/>
  </r>
  <r>
    <x v="43"/>
    <x v="0"/>
    <x v="20"/>
    <x v="4"/>
    <x v="0"/>
    <x v="9"/>
    <x v="0"/>
    <x v="2"/>
    <x v="3"/>
    <x v="0"/>
    <x v="0"/>
    <x v="0"/>
    <x v="0"/>
    <x v="0"/>
    <x v="0"/>
    <x v="0"/>
    <x v="0"/>
    <x v="0"/>
    <x v="0"/>
    <x v="0"/>
    <x v="0"/>
    <x v="0"/>
    <x v="0"/>
    <x v="0"/>
    <x v="0"/>
    <x v="0"/>
    <m/>
    <m/>
    <m/>
    <m/>
    <m/>
    <m/>
  </r>
  <r>
    <x v="43"/>
    <x v="0"/>
    <x v="20"/>
    <x v="4"/>
    <x v="0"/>
    <x v="10"/>
    <x v="0"/>
    <x v="3"/>
    <x v="3"/>
    <x v="0"/>
    <x v="0"/>
    <x v="0"/>
    <x v="0"/>
    <x v="0"/>
    <x v="0"/>
    <x v="0"/>
    <x v="0"/>
    <x v="0"/>
    <x v="0"/>
    <x v="0"/>
    <x v="0"/>
    <x v="0"/>
    <x v="0"/>
    <x v="0"/>
    <x v="0"/>
    <x v="0"/>
    <m/>
    <m/>
    <m/>
    <m/>
    <m/>
    <m/>
  </r>
  <r>
    <x v="43"/>
    <x v="0"/>
    <x v="20"/>
    <x v="4"/>
    <x v="0"/>
    <x v="11"/>
    <x v="0"/>
    <x v="3"/>
    <x v="256"/>
    <x v="115"/>
    <x v="120"/>
    <x v="120"/>
    <x v="128"/>
    <x v="122"/>
    <x v="121"/>
    <x v="124"/>
    <x v="121"/>
    <x v="125"/>
    <x v="117"/>
    <x v="121"/>
    <x v="119"/>
    <x v="123"/>
    <x v="119"/>
    <x v="110"/>
    <x v="106"/>
    <x v="105"/>
    <n v="-261795"/>
    <n v="-266125"/>
    <n v="-270171"/>
    <n v="-272382"/>
    <n v="-273394"/>
    <n v="-274406"/>
  </r>
  <r>
    <x v="43"/>
    <x v="0"/>
    <x v="20"/>
    <x v="4"/>
    <x v="0"/>
    <x v="12"/>
    <x v="0"/>
    <x v="3"/>
    <x v="2"/>
    <x v="2"/>
    <x v="2"/>
    <x v="2"/>
    <x v="2"/>
    <x v="2"/>
    <x v="2"/>
    <x v="2"/>
    <x v="2"/>
    <x v="2"/>
    <x v="2"/>
    <x v="2"/>
    <x v="2"/>
    <x v="2"/>
    <x v="2"/>
    <x v="2"/>
    <x v="2"/>
    <x v="2"/>
    <n v="0"/>
    <n v="0"/>
    <n v="0"/>
    <n v="0"/>
    <n v="0"/>
    <n v="0"/>
  </r>
  <r>
    <x v="44"/>
    <x v="0"/>
    <x v="21"/>
    <x v="2"/>
    <x v="0"/>
    <x v="0"/>
    <x v="0"/>
    <x v="231"/>
    <x v="257"/>
    <x v="0"/>
    <x v="0"/>
    <x v="0"/>
    <x v="0"/>
    <x v="0"/>
    <x v="0"/>
    <x v="0"/>
    <x v="0"/>
    <x v="0"/>
    <x v="0"/>
    <x v="0"/>
    <x v="0"/>
    <x v="0"/>
    <x v="0"/>
    <x v="0"/>
    <x v="0"/>
    <x v="0"/>
    <m/>
    <m/>
    <m/>
    <m/>
    <m/>
    <m/>
  </r>
  <r>
    <x v="44"/>
    <x v="0"/>
    <x v="21"/>
    <x v="2"/>
    <x v="0"/>
    <x v="1"/>
    <x v="0"/>
    <x v="232"/>
    <x v="258"/>
    <x v="116"/>
    <x v="121"/>
    <x v="121"/>
    <x v="129"/>
    <x v="123"/>
    <x v="122"/>
    <x v="125"/>
    <x v="122"/>
    <x v="126"/>
    <x v="118"/>
    <x v="122"/>
    <x v="120"/>
    <x v="124"/>
    <x v="120"/>
    <x v="111"/>
    <x v="107"/>
    <x v="106"/>
    <n v="2346"/>
    <n v="2308"/>
    <n v="2269"/>
    <n v="774"/>
    <n v="182"/>
    <n v="182"/>
  </r>
  <r>
    <x v="44"/>
    <x v="0"/>
    <x v="21"/>
    <x v="2"/>
    <x v="0"/>
    <x v="2"/>
    <x v="0"/>
    <x v="233"/>
    <x v="259"/>
    <x v="0"/>
    <x v="0"/>
    <x v="0"/>
    <x v="0"/>
    <x v="0"/>
    <x v="0"/>
    <x v="0"/>
    <x v="0"/>
    <x v="0"/>
    <x v="0"/>
    <x v="0"/>
    <x v="0"/>
    <x v="0"/>
    <x v="0"/>
    <x v="0"/>
    <x v="0"/>
    <x v="0"/>
    <m/>
    <m/>
    <m/>
    <m/>
    <m/>
    <m/>
  </r>
  <r>
    <x v="44"/>
    <x v="0"/>
    <x v="21"/>
    <x v="2"/>
    <x v="0"/>
    <x v="3"/>
    <x v="0"/>
    <x v="2"/>
    <x v="2"/>
    <x v="0"/>
    <x v="0"/>
    <x v="0"/>
    <x v="0"/>
    <x v="0"/>
    <x v="0"/>
    <x v="0"/>
    <x v="0"/>
    <x v="0"/>
    <x v="0"/>
    <x v="0"/>
    <x v="0"/>
    <x v="0"/>
    <x v="0"/>
    <x v="0"/>
    <x v="0"/>
    <x v="0"/>
    <m/>
    <m/>
    <m/>
    <m/>
    <m/>
    <m/>
  </r>
  <r>
    <x v="44"/>
    <x v="0"/>
    <x v="21"/>
    <x v="2"/>
    <x v="0"/>
    <x v="4"/>
    <x v="0"/>
    <x v="2"/>
    <x v="2"/>
    <x v="0"/>
    <x v="0"/>
    <x v="0"/>
    <x v="0"/>
    <x v="0"/>
    <x v="0"/>
    <x v="0"/>
    <x v="0"/>
    <x v="0"/>
    <x v="0"/>
    <x v="0"/>
    <x v="0"/>
    <x v="0"/>
    <x v="0"/>
    <x v="0"/>
    <x v="0"/>
    <x v="0"/>
    <m/>
    <m/>
    <m/>
    <m/>
    <m/>
    <m/>
  </r>
  <r>
    <x v="44"/>
    <x v="0"/>
    <x v="21"/>
    <x v="2"/>
    <x v="0"/>
    <x v="5"/>
    <x v="0"/>
    <x v="3"/>
    <x v="3"/>
    <x v="0"/>
    <x v="0"/>
    <x v="0"/>
    <x v="0"/>
    <x v="0"/>
    <x v="0"/>
    <x v="0"/>
    <x v="0"/>
    <x v="0"/>
    <x v="0"/>
    <x v="0"/>
    <x v="0"/>
    <x v="0"/>
    <x v="0"/>
    <x v="0"/>
    <x v="0"/>
    <x v="0"/>
    <m/>
    <m/>
    <m/>
    <m/>
    <m/>
    <m/>
  </r>
  <r>
    <x v="44"/>
    <x v="0"/>
    <x v="21"/>
    <x v="2"/>
    <x v="0"/>
    <x v="6"/>
    <x v="0"/>
    <x v="234"/>
    <x v="81"/>
    <x v="2"/>
    <x v="122"/>
    <x v="122"/>
    <x v="45"/>
    <x v="2"/>
    <x v="2"/>
    <x v="126"/>
    <x v="123"/>
    <x v="127"/>
    <x v="2"/>
    <x v="40"/>
    <x v="2"/>
    <x v="40"/>
    <x v="2"/>
    <x v="2"/>
    <x v="2"/>
    <x v="2"/>
    <n v="0"/>
    <n v="0"/>
    <n v="0"/>
    <n v="0"/>
    <n v="0"/>
    <n v="0"/>
  </r>
  <r>
    <x v="44"/>
    <x v="0"/>
    <x v="21"/>
    <x v="2"/>
    <x v="0"/>
    <x v="7"/>
    <x v="0"/>
    <x v="234"/>
    <x v="81"/>
    <x v="0"/>
    <x v="122"/>
    <x v="122"/>
    <x v="45"/>
    <x v="0"/>
    <x v="0"/>
    <x v="126"/>
    <x v="123"/>
    <x v="127"/>
    <x v="0"/>
    <x v="40"/>
    <x v="0"/>
    <x v="40"/>
    <x v="0"/>
    <x v="0"/>
    <x v="0"/>
    <x v="0"/>
    <m/>
    <m/>
    <m/>
    <m/>
    <m/>
    <m/>
  </r>
  <r>
    <x v="44"/>
    <x v="0"/>
    <x v="21"/>
    <x v="2"/>
    <x v="0"/>
    <x v="8"/>
    <x v="0"/>
    <x v="2"/>
    <x v="3"/>
    <x v="0"/>
    <x v="0"/>
    <x v="0"/>
    <x v="0"/>
    <x v="0"/>
    <x v="0"/>
    <x v="0"/>
    <x v="0"/>
    <x v="0"/>
    <x v="0"/>
    <x v="0"/>
    <x v="0"/>
    <x v="0"/>
    <x v="0"/>
    <x v="0"/>
    <x v="0"/>
    <x v="0"/>
    <m/>
    <m/>
    <m/>
    <m/>
    <m/>
    <m/>
  </r>
  <r>
    <x v="44"/>
    <x v="0"/>
    <x v="21"/>
    <x v="2"/>
    <x v="0"/>
    <x v="9"/>
    <x v="0"/>
    <x v="2"/>
    <x v="3"/>
    <x v="0"/>
    <x v="0"/>
    <x v="0"/>
    <x v="0"/>
    <x v="0"/>
    <x v="0"/>
    <x v="0"/>
    <x v="0"/>
    <x v="0"/>
    <x v="0"/>
    <x v="0"/>
    <x v="0"/>
    <x v="0"/>
    <x v="0"/>
    <x v="0"/>
    <x v="0"/>
    <x v="0"/>
    <m/>
    <m/>
    <m/>
    <m/>
    <m/>
    <m/>
  </r>
  <r>
    <x v="44"/>
    <x v="0"/>
    <x v="21"/>
    <x v="2"/>
    <x v="0"/>
    <x v="10"/>
    <x v="0"/>
    <x v="234"/>
    <x v="81"/>
    <x v="0"/>
    <x v="122"/>
    <x v="122"/>
    <x v="45"/>
    <x v="0"/>
    <x v="0"/>
    <x v="126"/>
    <x v="123"/>
    <x v="127"/>
    <x v="0"/>
    <x v="40"/>
    <x v="0"/>
    <x v="40"/>
    <x v="0"/>
    <x v="0"/>
    <x v="0"/>
    <x v="0"/>
    <m/>
    <m/>
    <m/>
    <m/>
    <m/>
    <m/>
  </r>
  <r>
    <x v="44"/>
    <x v="0"/>
    <x v="21"/>
    <x v="2"/>
    <x v="0"/>
    <x v="11"/>
    <x v="0"/>
    <x v="3"/>
    <x v="260"/>
    <x v="117"/>
    <x v="123"/>
    <x v="123"/>
    <x v="130"/>
    <x v="124"/>
    <x v="123"/>
    <x v="127"/>
    <x v="124"/>
    <x v="128"/>
    <x v="119"/>
    <x v="123"/>
    <x v="121"/>
    <x v="125"/>
    <x v="121"/>
    <x v="112"/>
    <x v="108"/>
    <x v="107"/>
    <n v="142199"/>
    <n v="139891"/>
    <n v="137622"/>
    <n v="136848"/>
    <n v="136666"/>
    <n v="136484"/>
  </r>
  <r>
    <x v="44"/>
    <x v="0"/>
    <x v="21"/>
    <x v="2"/>
    <x v="0"/>
    <x v="12"/>
    <x v="0"/>
    <x v="3"/>
    <x v="2"/>
    <x v="2"/>
    <x v="2"/>
    <x v="2"/>
    <x v="2"/>
    <x v="2"/>
    <x v="2"/>
    <x v="2"/>
    <x v="2"/>
    <x v="2"/>
    <x v="2"/>
    <x v="2"/>
    <x v="2"/>
    <x v="2"/>
    <x v="2"/>
    <x v="2"/>
    <x v="2"/>
    <x v="2"/>
    <n v="0"/>
    <n v="0"/>
    <n v="0"/>
    <n v="0"/>
    <n v="0"/>
    <n v="0"/>
  </r>
  <r>
    <x v="45"/>
    <x v="0"/>
    <x v="22"/>
    <x v="0"/>
    <x v="0"/>
    <x v="0"/>
    <x v="0"/>
    <x v="165"/>
    <x v="261"/>
    <x v="0"/>
    <x v="0"/>
    <x v="0"/>
    <x v="0"/>
    <x v="0"/>
    <x v="0"/>
    <x v="0"/>
    <x v="0"/>
    <x v="0"/>
    <x v="0"/>
    <x v="0"/>
    <x v="0"/>
    <x v="0"/>
    <x v="0"/>
    <x v="0"/>
    <x v="0"/>
    <x v="0"/>
    <m/>
    <m/>
    <m/>
    <m/>
    <m/>
    <m/>
  </r>
  <r>
    <x v="45"/>
    <x v="0"/>
    <x v="22"/>
    <x v="0"/>
    <x v="0"/>
    <x v="1"/>
    <x v="0"/>
    <x v="235"/>
    <x v="262"/>
    <x v="118"/>
    <x v="124"/>
    <x v="124"/>
    <x v="131"/>
    <x v="125"/>
    <x v="124"/>
    <x v="128"/>
    <x v="125"/>
    <x v="129"/>
    <x v="120"/>
    <x v="124"/>
    <x v="122"/>
    <x v="126"/>
    <x v="122"/>
    <x v="113"/>
    <x v="109"/>
    <x v="108"/>
    <n v="1000"/>
    <n v="1001"/>
    <n v="998"/>
    <n v="985"/>
    <n v="985"/>
    <n v="983"/>
  </r>
  <r>
    <x v="45"/>
    <x v="0"/>
    <x v="22"/>
    <x v="0"/>
    <x v="0"/>
    <x v="2"/>
    <x v="0"/>
    <x v="236"/>
    <x v="263"/>
    <x v="0"/>
    <x v="0"/>
    <x v="0"/>
    <x v="0"/>
    <x v="0"/>
    <x v="0"/>
    <x v="0"/>
    <x v="0"/>
    <x v="0"/>
    <x v="0"/>
    <x v="0"/>
    <x v="0"/>
    <x v="0"/>
    <x v="0"/>
    <x v="0"/>
    <x v="0"/>
    <x v="0"/>
    <m/>
    <m/>
    <m/>
    <m/>
    <m/>
    <m/>
  </r>
  <r>
    <x v="45"/>
    <x v="0"/>
    <x v="22"/>
    <x v="0"/>
    <x v="0"/>
    <x v="3"/>
    <x v="0"/>
    <x v="2"/>
    <x v="2"/>
    <x v="0"/>
    <x v="0"/>
    <x v="0"/>
    <x v="0"/>
    <x v="0"/>
    <x v="0"/>
    <x v="0"/>
    <x v="0"/>
    <x v="0"/>
    <x v="0"/>
    <x v="0"/>
    <x v="0"/>
    <x v="0"/>
    <x v="0"/>
    <x v="0"/>
    <x v="0"/>
    <x v="0"/>
    <m/>
    <m/>
    <m/>
    <m/>
    <m/>
    <m/>
  </r>
  <r>
    <x v="45"/>
    <x v="0"/>
    <x v="22"/>
    <x v="0"/>
    <x v="0"/>
    <x v="4"/>
    <x v="0"/>
    <x v="237"/>
    <x v="264"/>
    <x v="0"/>
    <x v="0"/>
    <x v="0"/>
    <x v="0"/>
    <x v="0"/>
    <x v="0"/>
    <x v="0"/>
    <x v="0"/>
    <x v="0"/>
    <x v="0"/>
    <x v="0"/>
    <x v="0"/>
    <x v="0"/>
    <x v="0"/>
    <x v="0"/>
    <x v="0"/>
    <x v="0"/>
    <m/>
    <m/>
    <m/>
    <m/>
    <m/>
    <m/>
  </r>
  <r>
    <x v="45"/>
    <x v="0"/>
    <x v="22"/>
    <x v="0"/>
    <x v="0"/>
    <x v="5"/>
    <x v="0"/>
    <x v="3"/>
    <x v="3"/>
    <x v="0"/>
    <x v="0"/>
    <x v="0"/>
    <x v="0"/>
    <x v="0"/>
    <x v="0"/>
    <x v="0"/>
    <x v="0"/>
    <x v="0"/>
    <x v="0"/>
    <x v="0"/>
    <x v="0"/>
    <x v="0"/>
    <x v="0"/>
    <x v="0"/>
    <x v="0"/>
    <x v="0"/>
    <m/>
    <m/>
    <m/>
    <m/>
    <m/>
    <m/>
  </r>
  <r>
    <x v="45"/>
    <x v="0"/>
    <x v="22"/>
    <x v="0"/>
    <x v="0"/>
    <x v="6"/>
    <x v="0"/>
    <x v="238"/>
    <x v="2"/>
    <x v="2"/>
    <x v="125"/>
    <x v="122"/>
    <x v="45"/>
    <x v="126"/>
    <x v="41"/>
    <x v="129"/>
    <x v="42"/>
    <x v="130"/>
    <x v="80"/>
    <x v="125"/>
    <x v="123"/>
    <x v="127"/>
    <x v="123"/>
    <x v="2"/>
    <x v="2"/>
    <x v="2"/>
    <n v="0"/>
    <n v="0"/>
    <n v="0"/>
    <n v="0"/>
    <n v="0"/>
    <n v="0"/>
  </r>
  <r>
    <x v="45"/>
    <x v="0"/>
    <x v="22"/>
    <x v="0"/>
    <x v="0"/>
    <x v="7"/>
    <x v="0"/>
    <x v="238"/>
    <x v="3"/>
    <x v="0"/>
    <x v="125"/>
    <x v="122"/>
    <x v="45"/>
    <x v="126"/>
    <x v="41"/>
    <x v="129"/>
    <x v="42"/>
    <x v="130"/>
    <x v="80"/>
    <x v="125"/>
    <x v="123"/>
    <x v="127"/>
    <x v="123"/>
    <x v="0"/>
    <x v="0"/>
    <x v="0"/>
    <m/>
    <m/>
    <m/>
    <m/>
    <m/>
    <m/>
  </r>
  <r>
    <x v="45"/>
    <x v="0"/>
    <x v="22"/>
    <x v="0"/>
    <x v="0"/>
    <x v="8"/>
    <x v="0"/>
    <x v="2"/>
    <x v="3"/>
    <x v="0"/>
    <x v="0"/>
    <x v="0"/>
    <x v="0"/>
    <x v="0"/>
    <x v="0"/>
    <x v="0"/>
    <x v="0"/>
    <x v="0"/>
    <x v="0"/>
    <x v="0"/>
    <x v="0"/>
    <x v="0"/>
    <x v="0"/>
    <x v="0"/>
    <x v="0"/>
    <x v="0"/>
    <m/>
    <m/>
    <m/>
    <m/>
    <m/>
    <m/>
  </r>
  <r>
    <x v="45"/>
    <x v="0"/>
    <x v="22"/>
    <x v="0"/>
    <x v="0"/>
    <x v="9"/>
    <x v="0"/>
    <x v="2"/>
    <x v="3"/>
    <x v="0"/>
    <x v="0"/>
    <x v="0"/>
    <x v="0"/>
    <x v="0"/>
    <x v="0"/>
    <x v="0"/>
    <x v="0"/>
    <x v="0"/>
    <x v="0"/>
    <x v="0"/>
    <x v="0"/>
    <x v="0"/>
    <x v="0"/>
    <x v="0"/>
    <x v="0"/>
    <x v="0"/>
    <m/>
    <m/>
    <m/>
    <m/>
    <m/>
    <m/>
  </r>
  <r>
    <x v="45"/>
    <x v="0"/>
    <x v="22"/>
    <x v="0"/>
    <x v="0"/>
    <x v="10"/>
    <x v="0"/>
    <x v="238"/>
    <x v="3"/>
    <x v="0"/>
    <x v="125"/>
    <x v="122"/>
    <x v="45"/>
    <x v="126"/>
    <x v="41"/>
    <x v="129"/>
    <x v="42"/>
    <x v="130"/>
    <x v="80"/>
    <x v="125"/>
    <x v="123"/>
    <x v="127"/>
    <x v="123"/>
    <x v="0"/>
    <x v="0"/>
    <x v="0"/>
    <m/>
    <m/>
    <m/>
    <m/>
    <m/>
    <m/>
  </r>
  <r>
    <x v="45"/>
    <x v="0"/>
    <x v="22"/>
    <x v="0"/>
    <x v="0"/>
    <x v="11"/>
    <x v="0"/>
    <x v="3"/>
    <x v="265"/>
    <x v="119"/>
    <x v="126"/>
    <x v="125"/>
    <x v="132"/>
    <x v="127"/>
    <x v="125"/>
    <x v="130"/>
    <x v="126"/>
    <x v="131"/>
    <x v="121"/>
    <x v="126"/>
    <x v="124"/>
    <x v="128"/>
    <x v="124"/>
    <x v="114"/>
    <x v="110"/>
    <x v="109"/>
    <n v="111145"/>
    <n v="110144"/>
    <n v="109146"/>
    <n v="108161"/>
    <n v="107176"/>
    <n v="106193"/>
  </r>
  <r>
    <x v="45"/>
    <x v="0"/>
    <x v="22"/>
    <x v="0"/>
    <x v="0"/>
    <x v="12"/>
    <x v="0"/>
    <x v="3"/>
    <x v="2"/>
    <x v="2"/>
    <x v="2"/>
    <x v="2"/>
    <x v="2"/>
    <x v="2"/>
    <x v="2"/>
    <x v="2"/>
    <x v="2"/>
    <x v="2"/>
    <x v="2"/>
    <x v="2"/>
    <x v="2"/>
    <x v="2"/>
    <x v="2"/>
    <x v="2"/>
    <x v="2"/>
    <x v="2"/>
    <n v="0"/>
    <n v="0"/>
    <n v="0"/>
    <n v="0"/>
    <n v="0"/>
    <n v="0"/>
  </r>
  <r>
    <x v="46"/>
    <x v="0"/>
    <x v="1"/>
    <x v="4"/>
    <x v="0"/>
    <x v="0"/>
    <x v="0"/>
    <x v="239"/>
    <x v="266"/>
    <x v="0"/>
    <x v="0"/>
    <x v="0"/>
    <x v="0"/>
    <x v="0"/>
    <x v="0"/>
    <x v="0"/>
    <x v="0"/>
    <x v="0"/>
    <x v="0"/>
    <x v="0"/>
    <x v="0"/>
    <x v="0"/>
    <x v="0"/>
    <x v="0"/>
    <x v="0"/>
    <x v="0"/>
    <m/>
    <m/>
    <m/>
    <m/>
    <m/>
    <m/>
  </r>
  <r>
    <x v="46"/>
    <x v="0"/>
    <x v="1"/>
    <x v="4"/>
    <x v="0"/>
    <x v="1"/>
    <x v="0"/>
    <x v="240"/>
    <x v="267"/>
    <x v="120"/>
    <x v="127"/>
    <x v="126"/>
    <x v="133"/>
    <x v="128"/>
    <x v="126"/>
    <x v="131"/>
    <x v="127"/>
    <x v="132"/>
    <x v="122"/>
    <x v="127"/>
    <x v="125"/>
    <x v="129"/>
    <x v="125"/>
    <x v="115"/>
    <x v="111"/>
    <x v="110"/>
    <n v="1991.66"/>
    <n v="1992.32"/>
    <n v="1990.73"/>
    <n v="1751.43"/>
    <n v="1658.32"/>
    <n v="1657.98"/>
  </r>
  <r>
    <x v="46"/>
    <x v="0"/>
    <x v="1"/>
    <x v="4"/>
    <x v="0"/>
    <x v="2"/>
    <x v="0"/>
    <x v="241"/>
    <x v="268"/>
    <x v="0"/>
    <x v="0"/>
    <x v="0"/>
    <x v="0"/>
    <x v="0"/>
    <x v="0"/>
    <x v="0"/>
    <x v="0"/>
    <x v="0"/>
    <x v="0"/>
    <x v="0"/>
    <x v="0"/>
    <x v="0"/>
    <x v="0"/>
    <x v="0"/>
    <x v="0"/>
    <x v="0"/>
    <m/>
    <m/>
    <m/>
    <m/>
    <m/>
    <m/>
  </r>
  <r>
    <x v="46"/>
    <x v="0"/>
    <x v="1"/>
    <x v="4"/>
    <x v="0"/>
    <x v="3"/>
    <x v="0"/>
    <x v="2"/>
    <x v="2"/>
    <x v="0"/>
    <x v="0"/>
    <x v="0"/>
    <x v="0"/>
    <x v="0"/>
    <x v="0"/>
    <x v="0"/>
    <x v="0"/>
    <x v="0"/>
    <x v="0"/>
    <x v="0"/>
    <x v="0"/>
    <x v="0"/>
    <x v="0"/>
    <x v="0"/>
    <x v="0"/>
    <x v="0"/>
    <m/>
    <m/>
    <m/>
    <m/>
    <m/>
    <m/>
  </r>
  <r>
    <x v="46"/>
    <x v="0"/>
    <x v="1"/>
    <x v="4"/>
    <x v="0"/>
    <x v="4"/>
    <x v="0"/>
    <x v="242"/>
    <x v="269"/>
    <x v="0"/>
    <x v="0"/>
    <x v="0"/>
    <x v="0"/>
    <x v="0"/>
    <x v="0"/>
    <x v="0"/>
    <x v="0"/>
    <x v="0"/>
    <x v="0"/>
    <x v="0"/>
    <x v="0"/>
    <x v="0"/>
    <x v="0"/>
    <x v="0"/>
    <x v="0"/>
    <x v="0"/>
    <m/>
    <m/>
    <m/>
    <m/>
    <m/>
    <m/>
  </r>
  <r>
    <x v="46"/>
    <x v="0"/>
    <x v="1"/>
    <x v="4"/>
    <x v="0"/>
    <x v="5"/>
    <x v="0"/>
    <x v="3"/>
    <x v="3"/>
    <x v="0"/>
    <x v="0"/>
    <x v="0"/>
    <x v="0"/>
    <x v="0"/>
    <x v="0"/>
    <x v="0"/>
    <x v="0"/>
    <x v="0"/>
    <x v="0"/>
    <x v="0"/>
    <x v="0"/>
    <x v="0"/>
    <x v="0"/>
    <x v="0"/>
    <x v="0"/>
    <x v="0"/>
    <m/>
    <m/>
    <m/>
    <m/>
    <m/>
    <m/>
  </r>
  <r>
    <x v="46"/>
    <x v="0"/>
    <x v="1"/>
    <x v="4"/>
    <x v="0"/>
    <x v="6"/>
    <x v="0"/>
    <x v="243"/>
    <x v="2"/>
    <x v="2"/>
    <x v="128"/>
    <x v="53"/>
    <x v="2"/>
    <x v="51"/>
    <x v="2"/>
    <x v="132"/>
    <x v="51"/>
    <x v="51"/>
    <x v="2"/>
    <x v="128"/>
    <x v="126"/>
    <x v="54"/>
    <x v="2"/>
    <x v="116"/>
    <x v="2"/>
    <x v="2"/>
    <n v="0"/>
    <n v="0"/>
    <n v="0"/>
    <n v="0"/>
    <n v="0"/>
    <n v="0"/>
  </r>
  <r>
    <x v="46"/>
    <x v="0"/>
    <x v="1"/>
    <x v="4"/>
    <x v="0"/>
    <x v="7"/>
    <x v="0"/>
    <x v="243"/>
    <x v="3"/>
    <x v="0"/>
    <x v="128"/>
    <x v="53"/>
    <x v="0"/>
    <x v="51"/>
    <x v="0"/>
    <x v="132"/>
    <x v="51"/>
    <x v="51"/>
    <x v="0"/>
    <x v="128"/>
    <x v="126"/>
    <x v="54"/>
    <x v="0"/>
    <x v="116"/>
    <x v="0"/>
    <x v="0"/>
    <m/>
    <m/>
    <m/>
    <m/>
    <m/>
    <m/>
  </r>
  <r>
    <x v="46"/>
    <x v="0"/>
    <x v="1"/>
    <x v="4"/>
    <x v="0"/>
    <x v="8"/>
    <x v="0"/>
    <x v="2"/>
    <x v="3"/>
    <x v="0"/>
    <x v="0"/>
    <x v="0"/>
    <x v="0"/>
    <x v="0"/>
    <x v="0"/>
    <x v="0"/>
    <x v="0"/>
    <x v="0"/>
    <x v="0"/>
    <x v="0"/>
    <x v="0"/>
    <x v="0"/>
    <x v="0"/>
    <x v="0"/>
    <x v="0"/>
    <x v="0"/>
    <m/>
    <m/>
    <m/>
    <m/>
    <m/>
    <m/>
  </r>
  <r>
    <x v="46"/>
    <x v="0"/>
    <x v="1"/>
    <x v="4"/>
    <x v="0"/>
    <x v="9"/>
    <x v="0"/>
    <x v="2"/>
    <x v="3"/>
    <x v="0"/>
    <x v="0"/>
    <x v="0"/>
    <x v="0"/>
    <x v="0"/>
    <x v="0"/>
    <x v="0"/>
    <x v="0"/>
    <x v="0"/>
    <x v="0"/>
    <x v="0"/>
    <x v="0"/>
    <x v="0"/>
    <x v="0"/>
    <x v="0"/>
    <x v="0"/>
    <x v="0"/>
    <m/>
    <m/>
    <m/>
    <m/>
    <m/>
    <m/>
  </r>
  <r>
    <x v="46"/>
    <x v="0"/>
    <x v="1"/>
    <x v="4"/>
    <x v="0"/>
    <x v="10"/>
    <x v="0"/>
    <x v="243"/>
    <x v="3"/>
    <x v="0"/>
    <x v="128"/>
    <x v="53"/>
    <x v="0"/>
    <x v="51"/>
    <x v="0"/>
    <x v="132"/>
    <x v="51"/>
    <x v="51"/>
    <x v="0"/>
    <x v="128"/>
    <x v="126"/>
    <x v="54"/>
    <x v="0"/>
    <x v="116"/>
    <x v="0"/>
    <x v="0"/>
    <m/>
    <m/>
    <m/>
    <m/>
    <m/>
    <m/>
  </r>
  <r>
    <x v="46"/>
    <x v="0"/>
    <x v="1"/>
    <x v="4"/>
    <x v="0"/>
    <x v="11"/>
    <x v="0"/>
    <x v="3"/>
    <x v="270"/>
    <x v="121"/>
    <x v="129"/>
    <x v="127"/>
    <x v="134"/>
    <x v="129"/>
    <x v="127"/>
    <x v="133"/>
    <x v="128"/>
    <x v="133"/>
    <x v="123"/>
    <x v="129"/>
    <x v="127"/>
    <x v="130"/>
    <x v="126"/>
    <x v="117"/>
    <x v="112"/>
    <x v="111"/>
    <n v="249586.50999999995"/>
    <n v="247594.18999999994"/>
    <n v="245603.45999999993"/>
    <n v="243852.02999999994"/>
    <n v="242193.70999999993"/>
    <n v="240535.72999999992"/>
  </r>
  <r>
    <x v="46"/>
    <x v="0"/>
    <x v="1"/>
    <x v="4"/>
    <x v="0"/>
    <x v="12"/>
    <x v="0"/>
    <x v="3"/>
    <x v="2"/>
    <x v="2"/>
    <x v="2"/>
    <x v="2"/>
    <x v="2"/>
    <x v="2"/>
    <x v="2"/>
    <x v="2"/>
    <x v="2"/>
    <x v="2"/>
    <x v="2"/>
    <x v="2"/>
    <x v="2"/>
    <x v="2"/>
    <x v="2"/>
    <x v="2"/>
    <x v="2"/>
    <x v="2"/>
    <n v="0"/>
    <n v="0"/>
    <n v="0"/>
    <n v="0"/>
    <n v="0"/>
    <n v="0"/>
  </r>
  <r>
    <x v="47"/>
    <x v="0"/>
    <x v="1"/>
    <x v="2"/>
    <x v="0"/>
    <x v="0"/>
    <x v="0"/>
    <x v="244"/>
    <x v="271"/>
    <x v="0"/>
    <x v="0"/>
    <x v="0"/>
    <x v="0"/>
    <x v="0"/>
    <x v="0"/>
    <x v="0"/>
    <x v="0"/>
    <x v="0"/>
    <x v="0"/>
    <x v="0"/>
    <x v="0"/>
    <x v="0"/>
    <x v="0"/>
    <x v="0"/>
    <x v="0"/>
    <x v="0"/>
    <m/>
    <m/>
    <m/>
    <m/>
    <m/>
    <m/>
  </r>
  <r>
    <x v="47"/>
    <x v="0"/>
    <x v="1"/>
    <x v="2"/>
    <x v="0"/>
    <x v="1"/>
    <x v="0"/>
    <x v="245"/>
    <x v="272"/>
    <x v="122"/>
    <x v="130"/>
    <x v="128"/>
    <x v="135"/>
    <x v="130"/>
    <x v="128"/>
    <x v="134"/>
    <x v="129"/>
    <x v="134"/>
    <x v="124"/>
    <x v="130"/>
    <x v="128"/>
    <x v="131"/>
    <x v="127"/>
    <x v="118"/>
    <x v="113"/>
    <x v="112"/>
    <n v="6707.17"/>
    <n v="6709.84"/>
    <n v="6706.26"/>
    <n v="6459.91"/>
    <n v="6361.34"/>
    <n v="6366.01"/>
  </r>
  <r>
    <x v="47"/>
    <x v="0"/>
    <x v="1"/>
    <x v="2"/>
    <x v="0"/>
    <x v="2"/>
    <x v="0"/>
    <x v="246"/>
    <x v="273"/>
    <x v="0"/>
    <x v="0"/>
    <x v="0"/>
    <x v="0"/>
    <x v="0"/>
    <x v="0"/>
    <x v="0"/>
    <x v="0"/>
    <x v="0"/>
    <x v="0"/>
    <x v="0"/>
    <x v="0"/>
    <x v="0"/>
    <x v="0"/>
    <x v="0"/>
    <x v="0"/>
    <x v="0"/>
    <m/>
    <m/>
    <m/>
    <m/>
    <m/>
    <m/>
  </r>
  <r>
    <x v="47"/>
    <x v="0"/>
    <x v="1"/>
    <x v="2"/>
    <x v="0"/>
    <x v="3"/>
    <x v="0"/>
    <x v="2"/>
    <x v="2"/>
    <x v="0"/>
    <x v="0"/>
    <x v="0"/>
    <x v="0"/>
    <x v="0"/>
    <x v="0"/>
    <x v="0"/>
    <x v="0"/>
    <x v="0"/>
    <x v="0"/>
    <x v="0"/>
    <x v="0"/>
    <x v="0"/>
    <x v="0"/>
    <x v="0"/>
    <x v="0"/>
    <x v="0"/>
    <m/>
    <m/>
    <m/>
    <m/>
    <m/>
    <m/>
  </r>
  <r>
    <x v="47"/>
    <x v="0"/>
    <x v="1"/>
    <x v="2"/>
    <x v="0"/>
    <x v="4"/>
    <x v="0"/>
    <x v="247"/>
    <x v="274"/>
    <x v="0"/>
    <x v="0"/>
    <x v="0"/>
    <x v="0"/>
    <x v="0"/>
    <x v="0"/>
    <x v="0"/>
    <x v="0"/>
    <x v="0"/>
    <x v="0"/>
    <x v="0"/>
    <x v="0"/>
    <x v="0"/>
    <x v="0"/>
    <x v="0"/>
    <x v="0"/>
    <x v="0"/>
    <m/>
    <m/>
    <m/>
    <m/>
    <m/>
    <m/>
  </r>
  <r>
    <x v="47"/>
    <x v="0"/>
    <x v="1"/>
    <x v="2"/>
    <x v="0"/>
    <x v="5"/>
    <x v="0"/>
    <x v="248"/>
    <x v="275"/>
    <x v="0"/>
    <x v="0"/>
    <x v="0"/>
    <x v="0"/>
    <x v="0"/>
    <x v="0"/>
    <x v="0"/>
    <x v="0"/>
    <x v="0"/>
    <x v="0"/>
    <x v="0"/>
    <x v="0"/>
    <x v="0"/>
    <x v="0"/>
    <x v="0"/>
    <x v="0"/>
    <x v="0"/>
    <m/>
    <m/>
    <m/>
    <m/>
    <m/>
    <m/>
  </r>
  <r>
    <x v="47"/>
    <x v="0"/>
    <x v="1"/>
    <x v="2"/>
    <x v="0"/>
    <x v="6"/>
    <x v="0"/>
    <x v="249"/>
    <x v="173"/>
    <x v="123"/>
    <x v="2"/>
    <x v="129"/>
    <x v="31"/>
    <x v="2"/>
    <x v="129"/>
    <x v="135"/>
    <x v="130"/>
    <x v="135"/>
    <x v="125"/>
    <x v="131"/>
    <x v="129"/>
    <x v="132"/>
    <x v="2"/>
    <x v="2"/>
    <x v="2"/>
    <x v="2"/>
    <n v="0"/>
    <n v="0"/>
    <n v="0"/>
    <n v="0"/>
    <n v="0"/>
    <n v="0"/>
  </r>
  <r>
    <x v="47"/>
    <x v="0"/>
    <x v="1"/>
    <x v="2"/>
    <x v="0"/>
    <x v="7"/>
    <x v="0"/>
    <x v="249"/>
    <x v="173"/>
    <x v="123"/>
    <x v="0"/>
    <x v="129"/>
    <x v="31"/>
    <x v="0"/>
    <x v="129"/>
    <x v="135"/>
    <x v="130"/>
    <x v="135"/>
    <x v="125"/>
    <x v="131"/>
    <x v="129"/>
    <x v="132"/>
    <x v="0"/>
    <x v="0"/>
    <x v="0"/>
    <x v="0"/>
    <m/>
    <m/>
    <m/>
    <m/>
    <m/>
    <m/>
  </r>
  <r>
    <x v="47"/>
    <x v="0"/>
    <x v="1"/>
    <x v="2"/>
    <x v="0"/>
    <x v="8"/>
    <x v="0"/>
    <x v="2"/>
    <x v="3"/>
    <x v="0"/>
    <x v="0"/>
    <x v="0"/>
    <x v="0"/>
    <x v="0"/>
    <x v="0"/>
    <x v="0"/>
    <x v="0"/>
    <x v="0"/>
    <x v="0"/>
    <x v="0"/>
    <x v="0"/>
    <x v="0"/>
    <x v="0"/>
    <x v="0"/>
    <x v="0"/>
    <x v="0"/>
    <m/>
    <m/>
    <m/>
    <m/>
    <m/>
    <m/>
  </r>
  <r>
    <x v="47"/>
    <x v="0"/>
    <x v="1"/>
    <x v="2"/>
    <x v="0"/>
    <x v="9"/>
    <x v="0"/>
    <x v="2"/>
    <x v="3"/>
    <x v="0"/>
    <x v="0"/>
    <x v="0"/>
    <x v="0"/>
    <x v="0"/>
    <x v="0"/>
    <x v="0"/>
    <x v="0"/>
    <x v="0"/>
    <x v="0"/>
    <x v="0"/>
    <x v="0"/>
    <x v="0"/>
    <x v="0"/>
    <x v="0"/>
    <x v="0"/>
    <x v="0"/>
    <m/>
    <m/>
    <m/>
    <m/>
    <m/>
    <m/>
  </r>
  <r>
    <x v="47"/>
    <x v="0"/>
    <x v="1"/>
    <x v="2"/>
    <x v="0"/>
    <x v="10"/>
    <x v="0"/>
    <x v="249"/>
    <x v="173"/>
    <x v="123"/>
    <x v="0"/>
    <x v="129"/>
    <x v="31"/>
    <x v="0"/>
    <x v="129"/>
    <x v="135"/>
    <x v="130"/>
    <x v="135"/>
    <x v="125"/>
    <x v="131"/>
    <x v="129"/>
    <x v="132"/>
    <x v="0"/>
    <x v="0"/>
    <x v="0"/>
    <x v="0"/>
    <m/>
    <m/>
    <m/>
    <m/>
    <m/>
    <m/>
  </r>
  <r>
    <x v="47"/>
    <x v="0"/>
    <x v="1"/>
    <x v="2"/>
    <x v="0"/>
    <x v="11"/>
    <x v="0"/>
    <x v="3"/>
    <x v="276"/>
    <x v="124"/>
    <x v="131"/>
    <x v="130"/>
    <x v="136"/>
    <x v="131"/>
    <x v="130"/>
    <x v="136"/>
    <x v="131"/>
    <x v="136"/>
    <x v="126"/>
    <x v="132"/>
    <x v="130"/>
    <x v="133"/>
    <x v="128"/>
    <x v="119"/>
    <x v="114"/>
    <x v="113"/>
    <n v="33472.370000000032"/>
    <n v="26762.530000000032"/>
    <n v="20056.270000000033"/>
    <n v="13596.360000000033"/>
    <n v="7235.0200000000332"/>
    <n v="869.01000000003296"/>
  </r>
  <r>
    <x v="47"/>
    <x v="0"/>
    <x v="1"/>
    <x v="2"/>
    <x v="0"/>
    <x v="12"/>
    <x v="0"/>
    <x v="3"/>
    <x v="2"/>
    <x v="2"/>
    <x v="2"/>
    <x v="2"/>
    <x v="2"/>
    <x v="2"/>
    <x v="2"/>
    <x v="2"/>
    <x v="2"/>
    <x v="2"/>
    <x v="2"/>
    <x v="2"/>
    <x v="2"/>
    <x v="2"/>
    <x v="2"/>
    <x v="2"/>
    <x v="2"/>
    <x v="2"/>
    <n v="0"/>
    <n v="0"/>
    <n v="0"/>
    <n v="0"/>
    <n v="0"/>
    <n v="0"/>
  </r>
  <r>
    <x v="48"/>
    <x v="0"/>
    <x v="1"/>
    <x v="1"/>
    <x v="0"/>
    <x v="0"/>
    <x v="0"/>
    <x v="250"/>
    <x v="277"/>
    <x v="0"/>
    <x v="0"/>
    <x v="0"/>
    <x v="0"/>
    <x v="0"/>
    <x v="0"/>
    <x v="0"/>
    <x v="0"/>
    <x v="0"/>
    <x v="0"/>
    <x v="0"/>
    <x v="0"/>
    <x v="0"/>
    <x v="0"/>
    <x v="0"/>
    <x v="0"/>
    <x v="0"/>
    <m/>
    <m/>
    <m/>
    <m/>
    <m/>
    <m/>
  </r>
  <r>
    <x v="48"/>
    <x v="0"/>
    <x v="1"/>
    <x v="1"/>
    <x v="0"/>
    <x v="1"/>
    <x v="0"/>
    <x v="251"/>
    <x v="278"/>
    <x v="125"/>
    <x v="132"/>
    <x v="131"/>
    <x v="137"/>
    <x v="132"/>
    <x v="131"/>
    <x v="137"/>
    <x v="132"/>
    <x v="137"/>
    <x v="127"/>
    <x v="133"/>
    <x v="131"/>
    <x v="134"/>
    <x v="129"/>
    <x v="120"/>
    <x v="115"/>
    <x v="114"/>
    <n v="836.34"/>
    <n v="835.34"/>
    <n v="824.76"/>
    <n v="780.14"/>
    <n v="765.2"/>
    <n v="764.87"/>
  </r>
  <r>
    <x v="48"/>
    <x v="0"/>
    <x v="1"/>
    <x v="1"/>
    <x v="0"/>
    <x v="2"/>
    <x v="0"/>
    <x v="2"/>
    <x v="2"/>
    <x v="0"/>
    <x v="0"/>
    <x v="0"/>
    <x v="0"/>
    <x v="0"/>
    <x v="0"/>
    <x v="0"/>
    <x v="0"/>
    <x v="0"/>
    <x v="0"/>
    <x v="0"/>
    <x v="0"/>
    <x v="0"/>
    <x v="0"/>
    <x v="0"/>
    <x v="0"/>
    <x v="0"/>
    <m/>
    <m/>
    <m/>
    <m/>
    <m/>
    <m/>
  </r>
  <r>
    <x v="48"/>
    <x v="0"/>
    <x v="1"/>
    <x v="1"/>
    <x v="0"/>
    <x v="3"/>
    <x v="0"/>
    <x v="2"/>
    <x v="2"/>
    <x v="0"/>
    <x v="0"/>
    <x v="0"/>
    <x v="0"/>
    <x v="0"/>
    <x v="0"/>
    <x v="0"/>
    <x v="0"/>
    <x v="0"/>
    <x v="0"/>
    <x v="0"/>
    <x v="0"/>
    <x v="0"/>
    <x v="0"/>
    <x v="0"/>
    <x v="0"/>
    <x v="0"/>
    <m/>
    <m/>
    <m/>
    <m/>
    <m/>
    <m/>
  </r>
  <r>
    <x v="48"/>
    <x v="0"/>
    <x v="1"/>
    <x v="1"/>
    <x v="0"/>
    <x v="4"/>
    <x v="0"/>
    <x v="2"/>
    <x v="2"/>
    <x v="0"/>
    <x v="0"/>
    <x v="0"/>
    <x v="0"/>
    <x v="0"/>
    <x v="0"/>
    <x v="0"/>
    <x v="0"/>
    <x v="0"/>
    <x v="0"/>
    <x v="0"/>
    <x v="0"/>
    <x v="0"/>
    <x v="0"/>
    <x v="0"/>
    <x v="0"/>
    <x v="0"/>
    <m/>
    <m/>
    <m/>
    <m/>
    <m/>
    <m/>
  </r>
  <r>
    <x v="48"/>
    <x v="0"/>
    <x v="1"/>
    <x v="1"/>
    <x v="0"/>
    <x v="5"/>
    <x v="0"/>
    <x v="3"/>
    <x v="3"/>
    <x v="0"/>
    <x v="0"/>
    <x v="0"/>
    <x v="0"/>
    <x v="0"/>
    <x v="0"/>
    <x v="0"/>
    <x v="0"/>
    <x v="0"/>
    <x v="0"/>
    <x v="0"/>
    <x v="0"/>
    <x v="0"/>
    <x v="0"/>
    <x v="0"/>
    <x v="0"/>
    <x v="0"/>
    <m/>
    <m/>
    <m/>
    <m/>
    <m/>
    <m/>
  </r>
  <r>
    <x v="48"/>
    <x v="0"/>
    <x v="1"/>
    <x v="1"/>
    <x v="0"/>
    <x v="6"/>
    <x v="0"/>
    <x v="2"/>
    <x v="2"/>
    <x v="2"/>
    <x v="2"/>
    <x v="2"/>
    <x v="2"/>
    <x v="2"/>
    <x v="2"/>
    <x v="2"/>
    <x v="2"/>
    <x v="2"/>
    <x v="2"/>
    <x v="2"/>
    <x v="2"/>
    <x v="2"/>
    <x v="2"/>
    <x v="2"/>
    <x v="2"/>
    <x v="2"/>
    <n v="0"/>
    <n v="0"/>
    <n v="0"/>
    <n v="0"/>
    <n v="0"/>
    <n v="0"/>
  </r>
  <r>
    <x v="48"/>
    <x v="0"/>
    <x v="1"/>
    <x v="1"/>
    <x v="0"/>
    <x v="7"/>
    <x v="0"/>
    <x v="3"/>
    <x v="3"/>
    <x v="0"/>
    <x v="0"/>
    <x v="0"/>
    <x v="0"/>
    <x v="0"/>
    <x v="0"/>
    <x v="0"/>
    <x v="0"/>
    <x v="0"/>
    <x v="0"/>
    <x v="0"/>
    <x v="0"/>
    <x v="0"/>
    <x v="0"/>
    <x v="0"/>
    <x v="0"/>
    <x v="0"/>
    <m/>
    <m/>
    <m/>
    <m/>
    <m/>
    <m/>
  </r>
  <r>
    <x v="48"/>
    <x v="0"/>
    <x v="1"/>
    <x v="1"/>
    <x v="0"/>
    <x v="8"/>
    <x v="0"/>
    <x v="2"/>
    <x v="3"/>
    <x v="0"/>
    <x v="0"/>
    <x v="0"/>
    <x v="0"/>
    <x v="0"/>
    <x v="0"/>
    <x v="0"/>
    <x v="0"/>
    <x v="0"/>
    <x v="0"/>
    <x v="0"/>
    <x v="0"/>
    <x v="0"/>
    <x v="0"/>
    <x v="0"/>
    <x v="0"/>
    <x v="0"/>
    <m/>
    <m/>
    <m/>
    <m/>
    <m/>
    <m/>
  </r>
  <r>
    <x v="48"/>
    <x v="0"/>
    <x v="1"/>
    <x v="1"/>
    <x v="0"/>
    <x v="9"/>
    <x v="0"/>
    <x v="2"/>
    <x v="3"/>
    <x v="0"/>
    <x v="0"/>
    <x v="0"/>
    <x v="0"/>
    <x v="0"/>
    <x v="0"/>
    <x v="0"/>
    <x v="0"/>
    <x v="0"/>
    <x v="0"/>
    <x v="0"/>
    <x v="0"/>
    <x v="0"/>
    <x v="0"/>
    <x v="0"/>
    <x v="0"/>
    <x v="0"/>
    <m/>
    <m/>
    <m/>
    <m/>
    <m/>
    <m/>
  </r>
  <r>
    <x v="48"/>
    <x v="0"/>
    <x v="1"/>
    <x v="1"/>
    <x v="0"/>
    <x v="10"/>
    <x v="0"/>
    <x v="3"/>
    <x v="3"/>
    <x v="0"/>
    <x v="0"/>
    <x v="0"/>
    <x v="0"/>
    <x v="0"/>
    <x v="0"/>
    <x v="0"/>
    <x v="0"/>
    <x v="0"/>
    <x v="0"/>
    <x v="0"/>
    <x v="0"/>
    <x v="0"/>
    <x v="0"/>
    <x v="0"/>
    <x v="0"/>
    <x v="0"/>
    <m/>
    <m/>
    <m/>
    <m/>
    <m/>
    <m/>
  </r>
  <r>
    <x v="48"/>
    <x v="0"/>
    <x v="1"/>
    <x v="1"/>
    <x v="0"/>
    <x v="11"/>
    <x v="0"/>
    <x v="3"/>
    <x v="279"/>
    <x v="126"/>
    <x v="133"/>
    <x v="132"/>
    <x v="138"/>
    <x v="133"/>
    <x v="132"/>
    <x v="138"/>
    <x v="133"/>
    <x v="138"/>
    <x v="128"/>
    <x v="134"/>
    <x v="132"/>
    <x v="135"/>
    <x v="130"/>
    <x v="121"/>
    <x v="116"/>
    <x v="115"/>
    <n v="-30665.399999999994"/>
    <n v="-31500.739999999994"/>
    <n v="-32325.499999999993"/>
    <n v="-33105.639999999992"/>
    <n v="-33870.839999999989"/>
    <n v="-34635.709999999992"/>
  </r>
  <r>
    <x v="48"/>
    <x v="0"/>
    <x v="1"/>
    <x v="1"/>
    <x v="0"/>
    <x v="12"/>
    <x v="0"/>
    <x v="3"/>
    <x v="2"/>
    <x v="2"/>
    <x v="2"/>
    <x v="2"/>
    <x v="2"/>
    <x v="2"/>
    <x v="2"/>
    <x v="2"/>
    <x v="2"/>
    <x v="2"/>
    <x v="2"/>
    <x v="2"/>
    <x v="2"/>
    <x v="2"/>
    <x v="2"/>
    <x v="2"/>
    <x v="2"/>
    <x v="2"/>
    <n v="0"/>
    <n v="0"/>
    <n v="0"/>
    <n v="0"/>
    <n v="0"/>
    <n v="0"/>
  </r>
  <r>
    <x v="49"/>
    <x v="0"/>
    <x v="1"/>
    <x v="1"/>
    <x v="0"/>
    <x v="0"/>
    <x v="0"/>
    <x v="252"/>
    <x v="280"/>
    <x v="0"/>
    <x v="0"/>
    <x v="0"/>
    <x v="0"/>
    <x v="0"/>
    <x v="0"/>
    <x v="0"/>
    <x v="0"/>
    <x v="0"/>
    <x v="0"/>
    <x v="0"/>
    <x v="0"/>
    <x v="0"/>
    <x v="0"/>
    <x v="0"/>
    <x v="0"/>
    <x v="0"/>
    <m/>
    <m/>
    <m/>
    <m/>
    <m/>
    <m/>
  </r>
  <r>
    <x v="49"/>
    <x v="0"/>
    <x v="1"/>
    <x v="1"/>
    <x v="0"/>
    <x v="1"/>
    <x v="0"/>
    <x v="253"/>
    <x v="281"/>
    <x v="127"/>
    <x v="134"/>
    <x v="133"/>
    <x v="139"/>
    <x v="134"/>
    <x v="133"/>
    <x v="139"/>
    <x v="134"/>
    <x v="139"/>
    <x v="129"/>
    <x v="135"/>
    <x v="133"/>
    <x v="136"/>
    <x v="131"/>
    <x v="122"/>
    <x v="117"/>
    <x v="116"/>
    <n v="2303.83"/>
    <n v="2303.5"/>
    <n v="2303.25"/>
    <n v="2053.52"/>
    <n v="1955.14"/>
    <n v="1955.14"/>
  </r>
  <r>
    <x v="49"/>
    <x v="0"/>
    <x v="1"/>
    <x v="1"/>
    <x v="0"/>
    <x v="2"/>
    <x v="0"/>
    <x v="254"/>
    <x v="282"/>
    <x v="0"/>
    <x v="0"/>
    <x v="0"/>
    <x v="0"/>
    <x v="0"/>
    <x v="0"/>
    <x v="0"/>
    <x v="0"/>
    <x v="0"/>
    <x v="0"/>
    <x v="0"/>
    <x v="0"/>
    <x v="0"/>
    <x v="0"/>
    <x v="0"/>
    <x v="0"/>
    <x v="0"/>
    <m/>
    <m/>
    <m/>
    <m/>
    <m/>
    <m/>
  </r>
  <r>
    <x v="49"/>
    <x v="0"/>
    <x v="1"/>
    <x v="1"/>
    <x v="0"/>
    <x v="3"/>
    <x v="0"/>
    <x v="2"/>
    <x v="2"/>
    <x v="0"/>
    <x v="0"/>
    <x v="0"/>
    <x v="0"/>
    <x v="0"/>
    <x v="0"/>
    <x v="0"/>
    <x v="0"/>
    <x v="0"/>
    <x v="0"/>
    <x v="0"/>
    <x v="0"/>
    <x v="0"/>
    <x v="0"/>
    <x v="0"/>
    <x v="0"/>
    <x v="0"/>
    <m/>
    <m/>
    <m/>
    <m/>
    <m/>
    <m/>
  </r>
  <r>
    <x v="49"/>
    <x v="0"/>
    <x v="1"/>
    <x v="1"/>
    <x v="0"/>
    <x v="4"/>
    <x v="0"/>
    <x v="255"/>
    <x v="283"/>
    <x v="0"/>
    <x v="0"/>
    <x v="0"/>
    <x v="0"/>
    <x v="0"/>
    <x v="0"/>
    <x v="0"/>
    <x v="0"/>
    <x v="0"/>
    <x v="0"/>
    <x v="0"/>
    <x v="0"/>
    <x v="0"/>
    <x v="0"/>
    <x v="0"/>
    <x v="0"/>
    <x v="0"/>
    <m/>
    <m/>
    <m/>
    <m/>
    <m/>
    <m/>
  </r>
  <r>
    <x v="49"/>
    <x v="0"/>
    <x v="1"/>
    <x v="1"/>
    <x v="0"/>
    <x v="5"/>
    <x v="0"/>
    <x v="256"/>
    <x v="284"/>
    <x v="0"/>
    <x v="0"/>
    <x v="0"/>
    <x v="0"/>
    <x v="0"/>
    <x v="0"/>
    <x v="0"/>
    <x v="0"/>
    <x v="0"/>
    <x v="0"/>
    <x v="0"/>
    <x v="0"/>
    <x v="0"/>
    <x v="0"/>
    <x v="0"/>
    <x v="0"/>
    <x v="0"/>
    <m/>
    <m/>
    <m/>
    <m/>
    <m/>
    <m/>
  </r>
  <r>
    <x v="49"/>
    <x v="0"/>
    <x v="1"/>
    <x v="1"/>
    <x v="0"/>
    <x v="6"/>
    <x v="0"/>
    <x v="170"/>
    <x v="2"/>
    <x v="2"/>
    <x v="2"/>
    <x v="2"/>
    <x v="2"/>
    <x v="2"/>
    <x v="2"/>
    <x v="2"/>
    <x v="2"/>
    <x v="2"/>
    <x v="2"/>
    <x v="136"/>
    <x v="134"/>
    <x v="137"/>
    <x v="132"/>
    <x v="2"/>
    <x v="2"/>
    <x v="2"/>
    <n v="0"/>
    <n v="0"/>
    <n v="0"/>
    <n v="0"/>
    <n v="0"/>
    <n v="0"/>
  </r>
  <r>
    <x v="49"/>
    <x v="0"/>
    <x v="1"/>
    <x v="1"/>
    <x v="0"/>
    <x v="7"/>
    <x v="0"/>
    <x v="170"/>
    <x v="3"/>
    <x v="0"/>
    <x v="0"/>
    <x v="0"/>
    <x v="0"/>
    <x v="0"/>
    <x v="0"/>
    <x v="0"/>
    <x v="0"/>
    <x v="0"/>
    <x v="0"/>
    <x v="136"/>
    <x v="134"/>
    <x v="137"/>
    <x v="132"/>
    <x v="0"/>
    <x v="0"/>
    <x v="0"/>
    <m/>
    <m/>
    <m/>
    <m/>
    <m/>
    <m/>
  </r>
  <r>
    <x v="49"/>
    <x v="0"/>
    <x v="1"/>
    <x v="1"/>
    <x v="0"/>
    <x v="8"/>
    <x v="0"/>
    <x v="2"/>
    <x v="3"/>
    <x v="0"/>
    <x v="0"/>
    <x v="0"/>
    <x v="0"/>
    <x v="0"/>
    <x v="0"/>
    <x v="0"/>
    <x v="0"/>
    <x v="0"/>
    <x v="0"/>
    <x v="0"/>
    <x v="0"/>
    <x v="0"/>
    <x v="0"/>
    <x v="0"/>
    <x v="0"/>
    <x v="0"/>
    <m/>
    <m/>
    <m/>
    <m/>
    <m/>
    <m/>
  </r>
  <r>
    <x v="49"/>
    <x v="0"/>
    <x v="1"/>
    <x v="1"/>
    <x v="0"/>
    <x v="9"/>
    <x v="0"/>
    <x v="2"/>
    <x v="3"/>
    <x v="0"/>
    <x v="0"/>
    <x v="0"/>
    <x v="0"/>
    <x v="0"/>
    <x v="0"/>
    <x v="0"/>
    <x v="0"/>
    <x v="0"/>
    <x v="0"/>
    <x v="0"/>
    <x v="0"/>
    <x v="0"/>
    <x v="0"/>
    <x v="0"/>
    <x v="0"/>
    <x v="0"/>
    <m/>
    <m/>
    <m/>
    <m/>
    <m/>
    <m/>
  </r>
  <r>
    <x v="49"/>
    <x v="0"/>
    <x v="1"/>
    <x v="1"/>
    <x v="0"/>
    <x v="10"/>
    <x v="0"/>
    <x v="170"/>
    <x v="3"/>
    <x v="0"/>
    <x v="0"/>
    <x v="0"/>
    <x v="0"/>
    <x v="0"/>
    <x v="0"/>
    <x v="0"/>
    <x v="0"/>
    <x v="0"/>
    <x v="0"/>
    <x v="136"/>
    <x v="134"/>
    <x v="137"/>
    <x v="132"/>
    <x v="0"/>
    <x v="0"/>
    <x v="0"/>
    <m/>
    <m/>
    <m/>
    <m/>
    <m/>
    <m/>
  </r>
  <r>
    <x v="49"/>
    <x v="0"/>
    <x v="1"/>
    <x v="1"/>
    <x v="0"/>
    <x v="11"/>
    <x v="0"/>
    <x v="3"/>
    <x v="285"/>
    <x v="128"/>
    <x v="135"/>
    <x v="134"/>
    <x v="140"/>
    <x v="135"/>
    <x v="134"/>
    <x v="140"/>
    <x v="135"/>
    <x v="140"/>
    <x v="130"/>
    <x v="137"/>
    <x v="135"/>
    <x v="138"/>
    <x v="133"/>
    <x v="123"/>
    <x v="118"/>
    <x v="117"/>
    <n v="75239.520000000019"/>
    <n v="72936.020000000019"/>
    <n v="70632.770000000019"/>
    <n v="68579.250000000015"/>
    <n v="66624.110000000015"/>
    <n v="64668.970000000016"/>
  </r>
  <r>
    <x v="49"/>
    <x v="0"/>
    <x v="1"/>
    <x v="1"/>
    <x v="0"/>
    <x v="12"/>
    <x v="0"/>
    <x v="3"/>
    <x v="2"/>
    <x v="2"/>
    <x v="2"/>
    <x v="2"/>
    <x v="2"/>
    <x v="2"/>
    <x v="2"/>
    <x v="2"/>
    <x v="2"/>
    <x v="2"/>
    <x v="2"/>
    <x v="2"/>
    <x v="2"/>
    <x v="2"/>
    <x v="2"/>
    <x v="2"/>
    <x v="2"/>
    <x v="2"/>
    <n v="0"/>
    <n v="0"/>
    <n v="0"/>
    <n v="0"/>
    <n v="0"/>
    <n v="0"/>
  </r>
  <r>
    <x v="50"/>
    <x v="0"/>
    <x v="2"/>
    <x v="1"/>
    <x v="0"/>
    <x v="0"/>
    <x v="0"/>
    <x v="257"/>
    <x v="286"/>
    <x v="0"/>
    <x v="0"/>
    <x v="0"/>
    <x v="0"/>
    <x v="0"/>
    <x v="0"/>
    <x v="0"/>
    <x v="0"/>
    <x v="0"/>
    <x v="0"/>
    <x v="0"/>
    <x v="0"/>
    <x v="0"/>
    <x v="0"/>
    <x v="0"/>
    <x v="0"/>
    <x v="0"/>
    <m/>
    <m/>
    <m/>
    <m/>
    <m/>
    <m/>
  </r>
  <r>
    <x v="50"/>
    <x v="0"/>
    <x v="2"/>
    <x v="1"/>
    <x v="0"/>
    <x v="1"/>
    <x v="0"/>
    <x v="258"/>
    <x v="287"/>
    <x v="129"/>
    <x v="136"/>
    <x v="2"/>
    <x v="2"/>
    <x v="2"/>
    <x v="2"/>
    <x v="2"/>
    <x v="2"/>
    <x v="2"/>
    <x v="2"/>
    <x v="2"/>
    <x v="2"/>
    <x v="2"/>
    <x v="2"/>
    <x v="2"/>
    <x v="2"/>
    <x v="2"/>
    <n v="0"/>
    <n v="0"/>
    <n v="0"/>
    <n v="0"/>
    <n v="0"/>
    <n v="0"/>
  </r>
  <r>
    <x v="50"/>
    <x v="0"/>
    <x v="2"/>
    <x v="1"/>
    <x v="0"/>
    <x v="2"/>
    <x v="0"/>
    <x v="3"/>
    <x v="3"/>
    <x v="0"/>
    <x v="0"/>
    <x v="0"/>
    <x v="0"/>
    <x v="0"/>
    <x v="0"/>
    <x v="0"/>
    <x v="0"/>
    <x v="0"/>
    <x v="0"/>
    <x v="0"/>
    <x v="0"/>
    <x v="0"/>
    <x v="0"/>
    <x v="0"/>
    <x v="0"/>
    <x v="0"/>
    <m/>
    <m/>
    <m/>
    <m/>
    <m/>
    <m/>
  </r>
  <r>
    <x v="50"/>
    <x v="0"/>
    <x v="2"/>
    <x v="1"/>
    <x v="0"/>
    <x v="3"/>
    <x v="0"/>
    <x v="3"/>
    <x v="3"/>
    <x v="0"/>
    <x v="0"/>
    <x v="0"/>
    <x v="0"/>
    <x v="0"/>
    <x v="0"/>
    <x v="0"/>
    <x v="0"/>
    <x v="0"/>
    <x v="0"/>
    <x v="0"/>
    <x v="0"/>
    <x v="0"/>
    <x v="0"/>
    <x v="0"/>
    <x v="0"/>
    <x v="0"/>
    <m/>
    <m/>
    <m/>
    <m/>
    <m/>
    <m/>
  </r>
  <r>
    <x v="50"/>
    <x v="0"/>
    <x v="2"/>
    <x v="1"/>
    <x v="0"/>
    <x v="4"/>
    <x v="0"/>
    <x v="3"/>
    <x v="3"/>
    <x v="0"/>
    <x v="0"/>
    <x v="0"/>
    <x v="0"/>
    <x v="0"/>
    <x v="0"/>
    <x v="0"/>
    <x v="0"/>
    <x v="0"/>
    <x v="0"/>
    <x v="0"/>
    <x v="0"/>
    <x v="0"/>
    <x v="0"/>
    <x v="0"/>
    <x v="0"/>
    <x v="0"/>
    <m/>
    <m/>
    <m/>
    <m/>
    <m/>
    <m/>
  </r>
  <r>
    <x v="50"/>
    <x v="0"/>
    <x v="2"/>
    <x v="1"/>
    <x v="0"/>
    <x v="5"/>
    <x v="0"/>
    <x v="3"/>
    <x v="3"/>
    <x v="0"/>
    <x v="0"/>
    <x v="0"/>
    <x v="0"/>
    <x v="0"/>
    <x v="0"/>
    <x v="0"/>
    <x v="0"/>
    <x v="0"/>
    <x v="0"/>
    <x v="0"/>
    <x v="0"/>
    <x v="0"/>
    <x v="0"/>
    <x v="0"/>
    <x v="0"/>
    <x v="0"/>
    <m/>
    <m/>
    <m/>
    <m/>
    <m/>
    <m/>
  </r>
  <r>
    <x v="50"/>
    <x v="0"/>
    <x v="2"/>
    <x v="1"/>
    <x v="0"/>
    <x v="6"/>
    <x v="0"/>
    <x v="2"/>
    <x v="2"/>
    <x v="2"/>
    <x v="2"/>
    <x v="2"/>
    <x v="2"/>
    <x v="2"/>
    <x v="2"/>
    <x v="2"/>
    <x v="2"/>
    <x v="2"/>
    <x v="2"/>
    <x v="2"/>
    <x v="2"/>
    <x v="2"/>
    <x v="2"/>
    <x v="2"/>
    <x v="2"/>
    <x v="2"/>
    <n v="0"/>
    <n v="0"/>
    <n v="0"/>
    <n v="0"/>
    <n v="0"/>
    <n v="0"/>
  </r>
  <r>
    <x v="50"/>
    <x v="0"/>
    <x v="2"/>
    <x v="1"/>
    <x v="0"/>
    <x v="7"/>
    <x v="0"/>
    <x v="3"/>
    <x v="3"/>
    <x v="0"/>
    <x v="0"/>
    <x v="0"/>
    <x v="0"/>
    <x v="0"/>
    <x v="0"/>
    <x v="0"/>
    <x v="0"/>
    <x v="0"/>
    <x v="0"/>
    <x v="0"/>
    <x v="0"/>
    <x v="0"/>
    <x v="0"/>
    <x v="0"/>
    <x v="0"/>
    <x v="0"/>
    <m/>
    <m/>
    <m/>
    <m/>
    <m/>
    <m/>
  </r>
  <r>
    <x v="50"/>
    <x v="0"/>
    <x v="2"/>
    <x v="1"/>
    <x v="0"/>
    <x v="8"/>
    <x v="0"/>
    <x v="2"/>
    <x v="3"/>
    <x v="0"/>
    <x v="0"/>
    <x v="0"/>
    <x v="0"/>
    <x v="0"/>
    <x v="0"/>
    <x v="0"/>
    <x v="0"/>
    <x v="0"/>
    <x v="0"/>
    <x v="0"/>
    <x v="0"/>
    <x v="0"/>
    <x v="0"/>
    <x v="0"/>
    <x v="0"/>
    <x v="0"/>
    <m/>
    <m/>
    <m/>
    <m/>
    <m/>
    <m/>
  </r>
  <r>
    <x v="50"/>
    <x v="0"/>
    <x v="2"/>
    <x v="1"/>
    <x v="0"/>
    <x v="9"/>
    <x v="0"/>
    <x v="2"/>
    <x v="3"/>
    <x v="0"/>
    <x v="0"/>
    <x v="0"/>
    <x v="0"/>
    <x v="0"/>
    <x v="0"/>
    <x v="0"/>
    <x v="0"/>
    <x v="0"/>
    <x v="0"/>
    <x v="0"/>
    <x v="0"/>
    <x v="0"/>
    <x v="0"/>
    <x v="0"/>
    <x v="0"/>
    <x v="0"/>
    <m/>
    <m/>
    <m/>
    <m/>
    <m/>
    <m/>
  </r>
  <r>
    <x v="50"/>
    <x v="0"/>
    <x v="2"/>
    <x v="1"/>
    <x v="0"/>
    <x v="10"/>
    <x v="0"/>
    <x v="3"/>
    <x v="3"/>
    <x v="0"/>
    <x v="0"/>
    <x v="0"/>
    <x v="0"/>
    <x v="0"/>
    <x v="0"/>
    <x v="0"/>
    <x v="0"/>
    <x v="0"/>
    <x v="0"/>
    <x v="0"/>
    <x v="0"/>
    <x v="0"/>
    <x v="0"/>
    <x v="0"/>
    <x v="0"/>
    <x v="0"/>
    <m/>
    <m/>
    <m/>
    <m/>
    <m/>
    <m/>
  </r>
  <r>
    <x v="50"/>
    <x v="0"/>
    <x v="2"/>
    <x v="1"/>
    <x v="0"/>
    <x v="11"/>
    <x v="0"/>
    <x v="3"/>
    <x v="288"/>
    <x v="130"/>
    <x v="137"/>
    <x v="135"/>
    <x v="141"/>
    <x v="136"/>
    <x v="135"/>
    <x v="141"/>
    <x v="136"/>
    <x v="141"/>
    <x v="131"/>
    <x v="138"/>
    <x v="136"/>
    <x v="139"/>
    <x v="134"/>
    <x v="124"/>
    <x v="119"/>
    <x v="118"/>
    <n v="-1184"/>
    <n v="-1184"/>
    <n v="-1184"/>
    <n v="-1184"/>
    <n v="-1184"/>
    <n v="-1184"/>
  </r>
  <r>
    <x v="50"/>
    <x v="0"/>
    <x v="2"/>
    <x v="1"/>
    <x v="0"/>
    <x v="12"/>
    <x v="0"/>
    <x v="3"/>
    <x v="2"/>
    <x v="2"/>
    <x v="2"/>
    <x v="2"/>
    <x v="2"/>
    <x v="2"/>
    <x v="2"/>
    <x v="2"/>
    <x v="2"/>
    <x v="2"/>
    <x v="2"/>
    <x v="2"/>
    <x v="2"/>
    <x v="2"/>
    <x v="2"/>
    <x v="2"/>
    <x v="2"/>
    <x v="2"/>
    <n v="0"/>
    <n v="0"/>
    <n v="0"/>
    <n v="0"/>
    <n v="0"/>
    <n v="0"/>
  </r>
  <r>
    <x v="51"/>
    <x v="0"/>
    <x v="23"/>
    <x v="4"/>
    <x v="0"/>
    <x v="0"/>
    <x v="0"/>
    <x v="199"/>
    <x v="220"/>
    <x v="0"/>
    <x v="0"/>
    <x v="0"/>
    <x v="0"/>
    <x v="0"/>
    <x v="0"/>
    <x v="0"/>
    <x v="0"/>
    <x v="0"/>
    <x v="0"/>
    <x v="0"/>
    <x v="0"/>
    <x v="0"/>
    <x v="0"/>
    <x v="0"/>
    <x v="0"/>
    <x v="0"/>
    <m/>
    <m/>
    <m/>
    <m/>
    <m/>
    <m/>
  </r>
  <r>
    <x v="51"/>
    <x v="0"/>
    <x v="23"/>
    <x v="4"/>
    <x v="0"/>
    <x v="1"/>
    <x v="0"/>
    <x v="259"/>
    <x v="289"/>
    <x v="131"/>
    <x v="138"/>
    <x v="101"/>
    <x v="142"/>
    <x v="137"/>
    <x v="136"/>
    <x v="142"/>
    <x v="137"/>
    <x v="142"/>
    <x v="132"/>
    <x v="139"/>
    <x v="137"/>
    <x v="140"/>
    <x v="135"/>
    <x v="125"/>
    <x v="120"/>
    <x v="119"/>
    <n v="120"/>
    <n v="120"/>
    <n v="120"/>
    <n v="113"/>
    <n v="112"/>
    <n v="112"/>
  </r>
  <r>
    <x v="51"/>
    <x v="0"/>
    <x v="23"/>
    <x v="4"/>
    <x v="0"/>
    <x v="2"/>
    <x v="0"/>
    <x v="260"/>
    <x v="290"/>
    <x v="0"/>
    <x v="0"/>
    <x v="0"/>
    <x v="0"/>
    <x v="0"/>
    <x v="0"/>
    <x v="0"/>
    <x v="0"/>
    <x v="0"/>
    <x v="0"/>
    <x v="0"/>
    <x v="0"/>
    <x v="0"/>
    <x v="0"/>
    <x v="0"/>
    <x v="0"/>
    <x v="0"/>
    <m/>
    <m/>
    <m/>
    <m/>
    <m/>
    <m/>
  </r>
  <r>
    <x v="51"/>
    <x v="0"/>
    <x v="23"/>
    <x v="4"/>
    <x v="0"/>
    <x v="3"/>
    <x v="0"/>
    <x v="2"/>
    <x v="2"/>
    <x v="0"/>
    <x v="0"/>
    <x v="0"/>
    <x v="0"/>
    <x v="0"/>
    <x v="0"/>
    <x v="0"/>
    <x v="0"/>
    <x v="0"/>
    <x v="0"/>
    <x v="0"/>
    <x v="0"/>
    <x v="0"/>
    <x v="0"/>
    <x v="0"/>
    <x v="0"/>
    <x v="0"/>
    <m/>
    <m/>
    <m/>
    <m/>
    <m/>
    <m/>
  </r>
  <r>
    <x v="51"/>
    <x v="0"/>
    <x v="23"/>
    <x v="4"/>
    <x v="0"/>
    <x v="4"/>
    <x v="0"/>
    <x v="261"/>
    <x v="291"/>
    <x v="0"/>
    <x v="0"/>
    <x v="0"/>
    <x v="0"/>
    <x v="0"/>
    <x v="0"/>
    <x v="0"/>
    <x v="0"/>
    <x v="0"/>
    <x v="0"/>
    <x v="0"/>
    <x v="0"/>
    <x v="0"/>
    <x v="0"/>
    <x v="0"/>
    <x v="0"/>
    <x v="0"/>
    <m/>
    <m/>
    <m/>
    <m/>
    <m/>
    <m/>
  </r>
  <r>
    <x v="51"/>
    <x v="0"/>
    <x v="23"/>
    <x v="4"/>
    <x v="0"/>
    <x v="5"/>
    <x v="0"/>
    <x v="262"/>
    <x v="292"/>
    <x v="0"/>
    <x v="0"/>
    <x v="0"/>
    <x v="0"/>
    <x v="0"/>
    <x v="0"/>
    <x v="0"/>
    <x v="0"/>
    <x v="0"/>
    <x v="0"/>
    <x v="0"/>
    <x v="0"/>
    <x v="0"/>
    <x v="0"/>
    <x v="0"/>
    <x v="0"/>
    <x v="0"/>
    <m/>
    <m/>
    <m/>
    <m/>
    <m/>
    <m/>
  </r>
  <r>
    <x v="51"/>
    <x v="0"/>
    <x v="23"/>
    <x v="4"/>
    <x v="0"/>
    <x v="6"/>
    <x v="0"/>
    <x v="263"/>
    <x v="293"/>
    <x v="2"/>
    <x v="2"/>
    <x v="2"/>
    <x v="2"/>
    <x v="36"/>
    <x v="2"/>
    <x v="2"/>
    <x v="138"/>
    <x v="36"/>
    <x v="2"/>
    <x v="2"/>
    <x v="2"/>
    <x v="2"/>
    <x v="2"/>
    <x v="2"/>
    <x v="2"/>
    <x v="2"/>
    <n v="0"/>
    <n v="0"/>
    <n v="0"/>
    <n v="0"/>
    <n v="0"/>
    <n v="0"/>
  </r>
  <r>
    <x v="51"/>
    <x v="0"/>
    <x v="23"/>
    <x v="4"/>
    <x v="0"/>
    <x v="7"/>
    <x v="0"/>
    <x v="263"/>
    <x v="293"/>
    <x v="0"/>
    <x v="0"/>
    <x v="0"/>
    <x v="0"/>
    <x v="36"/>
    <x v="0"/>
    <x v="0"/>
    <x v="138"/>
    <x v="36"/>
    <x v="0"/>
    <x v="0"/>
    <x v="0"/>
    <x v="0"/>
    <x v="0"/>
    <x v="0"/>
    <x v="0"/>
    <x v="0"/>
    <m/>
    <m/>
    <m/>
    <m/>
    <m/>
    <m/>
  </r>
  <r>
    <x v="51"/>
    <x v="0"/>
    <x v="23"/>
    <x v="4"/>
    <x v="0"/>
    <x v="8"/>
    <x v="0"/>
    <x v="2"/>
    <x v="3"/>
    <x v="0"/>
    <x v="0"/>
    <x v="0"/>
    <x v="0"/>
    <x v="0"/>
    <x v="0"/>
    <x v="0"/>
    <x v="0"/>
    <x v="0"/>
    <x v="0"/>
    <x v="0"/>
    <x v="0"/>
    <x v="0"/>
    <x v="0"/>
    <x v="0"/>
    <x v="0"/>
    <x v="0"/>
    <m/>
    <m/>
    <m/>
    <m/>
    <m/>
    <m/>
  </r>
  <r>
    <x v="51"/>
    <x v="0"/>
    <x v="23"/>
    <x v="4"/>
    <x v="0"/>
    <x v="9"/>
    <x v="0"/>
    <x v="2"/>
    <x v="3"/>
    <x v="0"/>
    <x v="0"/>
    <x v="0"/>
    <x v="0"/>
    <x v="0"/>
    <x v="0"/>
    <x v="0"/>
    <x v="0"/>
    <x v="0"/>
    <x v="0"/>
    <x v="0"/>
    <x v="0"/>
    <x v="0"/>
    <x v="0"/>
    <x v="0"/>
    <x v="0"/>
    <x v="0"/>
    <m/>
    <m/>
    <m/>
    <m/>
    <m/>
    <m/>
  </r>
  <r>
    <x v="51"/>
    <x v="0"/>
    <x v="23"/>
    <x v="4"/>
    <x v="0"/>
    <x v="10"/>
    <x v="0"/>
    <x v="263"/>
    <x v="293"/>
    <x v="0"/>
    <x v="0"/>
    <x v="0"/>
    <x v="0"/>
    <x v="36"/>
    <x v="0"/>
    <x v="0"/>
    <x v="138"/>
    <x v="36"/>
    <x v="0"/>
    <x v="0"/>
    <x v="0"/>
    <x v="0"/>
    <x v="0"/>
    <x v="0"/>
    <x v="0"/>
    <x v="0"/>
    <m/>
    <m/>
    <m/>
    <m/>
    <m/>
    <m/>
  </r>
  <r>
    <x v="51"/>
    <x v="0"/>
    <x v="23"/>
    <x v="4"/>
    <x v="0"/>
    <x v="11"/>
    <x v="0"/>
    <x v="3"/>
    <x v="294"/>
    <x v="132"/>
    <x v="139"/>
    <x v="136"/>
    <x v="143"/>
    <x v="138"/>
    <x v="137"/>
    <x v="143"/>
    <x v="139"/>
    <x v="143"/>
    <x v="133"/>
    <x v="140"/>
    <x v="138"/>
    <x v="141"/>
    <x v="136"/>
    <x v="126"/>
    <x v="121"/>
    <x v="120"/>
    <n v="353617"/>
    <n v="353497"/>
    <n v="353377"/>
    <n v="353264"/>
    <n v="353152"/>
    <n v="353040"/>
  </r>
  <r>
    <x v="51"/>
    <x v="0"/>
    <x v="23"/>
    <x v="4"/>
    <x v="0"/>
    <x v="12"/>
    <x v="0"/>
    <x v="3"/>
    <x v="2"/>
    <x v="2"/>
    <x v="2"/>
    <x v="2"/>
    <x v="2"/>
    <x v="2"/>
    <x v="2"/>
    <x v="2"/>
    <x v="2"/>
    <x v="2"/>
    <x v="2"/>
    <x v="2"/>
    <x v="2"/>
    <x v="2"/>
    <x v="2"/>
    <x v="2"/>
    <x v="2"/>
    <x v="2"/>
    <n v="0"/>
    <n v="0"/>
    <n v="0"/>
    <n v="0"/>
    <n v="0"/>
    <n v="0"/>
  </r>
  <r>
    <x v="52"/>
    <x v="0"/>
    <x v="23"/>
    <x v="2"/>
    <x v="1"/>
    <x v="0"/>
    <x v="0"/>
    <x v="264"/>
    <x v="295"/>
    <x v="0"/>
    <x v="0"/>
    <x v="0"/>
    <x v="0"/>
    <x v="0"/>
    <x v="0"/>
    <x v="0"/>
    <x v="0"/>
    <x v="0"/>
    <x v="0"/>
    <x v="0"/>
    <x v="0"/>
    <x v="0"/>
    <x v="0"/>
    <x v="0"/>
    <x v="0"/>
    <x v="0"/>
    <m/>
    <m/>
    <m/>
    <m/>
    <m/>
    <m/>
  </r>
  <r>
    <x v="52"/>
    <x v="0"/>
    <x v="23"/>
    <x v="2"/>
    <x v="1"/>
    <x v="1"/>
    <x v="0"/>
    <x v="265"/>
    <x v="296"/>
    <x v="133"/>
    <x v="140"/>
    <x v="137"/>
    <x v="144"/>
    <x v="139"/>
    <x v="138"/>
    <x v="144"/>
    <x v="140"/>
    <x v="144"/>
    <x v="134"/>
    <x v="141"/>
    <x v="139"/>
    <x v="142"/>
    <x v="137"/>
    <x v="127"/>
    <x v="122"/>
    <x v="121"/>
    <n v="2260"/>
    <n v="1359"/>
    <n v="1359"/>
    <n v="388"/>
    <n v="0"/>
    <n v="0"/>
  </r>
  <r>
    <x v="52"/>
    <x v="0"/>
    <x v="23"/>
    <x v="2"/>
    <x v="1"/>
    <x v="2"/>
    <x v="0"/>
    <x v="266"/>
    <x v="297"/>
    <x v="0"/>
    <x v="0"/>
    <x v="0"/>
    <x v="0"/>
    <x v="0"/>
    <x v="0"/>
    <x v="0"/>
    <x v="0"/>
    <x v="0"/>
    <x v="0"/>
    <x v="0"/>
    <x v="0"/>
    <x v="0"/>
    <x v="0"/>
    <x v="0"/>
    <x v="0"/>
    <x v="0"/>
    <m/>
    <m/>
    <m/>
    <m/>
    <m/>
    <m/>
  </r>
  <r>
    <x v="52"/>
    <x v="0"/>
    <x v="23"/>
    <x v="2"/>
    <x v="1"/>
    <x v="3"/>
    <x v="0"/>
    <x v="2"/>
    <x v="2"/>
    <x v="0"/>
    <x v="0"/>
    <x v="0"/>
    <x v="0"/>
    <x v="0"/>
    <x v="0"/>
    <x v="0"/>
    <x v="0"/>
    <x v="0"/>
    <x v="0"/>
    <x v="0"/>
    <x v="0"/>
    <x v="0"/>
    <x v="0"/>
    <x v="0"/>
    <x v="0"/>
    <x v="0"/>
    <m/>
    <m/>
    <m/>
    <m/>
    <m/>
    <m/>
  </r>
  <r>
    <x v="52"/>
    <x v="0"/>
    <x v="23"/>
    <x v="2"/>
    <x v="1"/>
    <x v="4"/>
    <x v="0"/>
    <x v="267"/>
    <x v="298"/>
    <x v="0"/>
    <x v="0"/>
    <x v="0"/>
    <x v="0"/>
    <x v="0"/>
    <x v="0"/>
    <x v="0"/>
    <x v="0"/>
    <x v="0"/>
    <x v="0"/>
    <x v="0"/>
    <x v="0"/>
    <x v="0"/>
    <x v="0"/>
    <x v="0"/>
    <x v="0"/>
    <x v="0"/>
    <m/>
    <m/>
    <m/>
    <m/>
    <m/>
    <m/>
  </r>
  <r>
    <x v="52"/>
    <x v="0"/>
    <x v="23"/>
    <x v="2"/>
    <x v="1"/>
    <x v="5"/>
    <x v="0"/>
    <x v="3"/>
    <x v="3"/>
    <x v="0"/>
    <x v="0"/>
    <x v="0"/>
    <x v="0"/>
    <x v="0"/>
    <x v="0"/>
    <x v="0"/>
    <x v="0"/>
    <x v="0"/>
    <x v="0"/>
    <x v="0"/>
    <x v="0"/>
    <x v="0"/>
    <x v="0"/>
    <x v="0"/>
    <x v="0"/>
    <x v="0"/>
    <m/>
    <m/>
    <m/>
    <m/>
    <m/>
    <m/>
  </r>
  <r>
    <x v="52"/>
    <x v="0"/>
    <x v="23"/>
    <x v="2"/>
    <x v="1"/>
    <x v="6"/>
    <x v="0"/>
    <x v="268"/>
    <x v="2"/>
    <x v="2"/>
    <x v="2"/>
    <x v="122"/>
    <x v="2"/>
    <x v="140"/>
    <x v="2"/>
    <x v="2"/>
    <x v="2"/>
    <x v="2"/>
    <x v="2"/>
    <x v="2"/>
    <x v="106"/>
    <x v="2"/>
    <x v="2"/>
    <x v="2"/>
    <x v="2"/>
    <x v="2"/>
    <n v="0"/>
    <n v="0"/>
    <n v="0"/>
    <n v="0"/>
    <n v="0"/>
    <n v="0"/>
  </r>
  <r>
    <x v="52"/>
    <x v="0"/>
    <x v="23"/>
    <x v="2"/>
    <x v="1"/>
    <x v="7"/>
    <x v="0"/>
    <x v="268"/>
    <x v="3"/>
    <x v="0"/>
    <x v="0"/>
    <x v="122"/>
    <x v="0"/>
    <x v="140"/>
    <x v="0"/>
    <x v="0"/>
    <x v="0"/>
    <x v="0"/>
    <x v="0"/>
    <x v="0"/>
    <x v="106"/>
    <x v="0"/>
    <x v="0"/>
    <x v="0"/>
    <x v="0"/>
    <x v="0"/>
    <m/>
    <m/>
    <m/>
    <m/>
    <m/>
    <m/>
  </r>
  <r>
    <x v="52"/>
    <x v="0"/>
    <x v="23"/>
    <x v="2"/>
    <x v="1"/>
    <x v="8"/>
    <x v="0"/>
    <x v="2"/>
    <x v="3"/>
    <x v="0"/>
    <x v="0"/>
    <x v="0"/>
    <x v="0"/>
    <x v="0"/>
    <x v="0"/>
    <x v="0"/>
    <x v="0"/>
    <x v="0"/>
    <x v="0"/>
    <x v="0"/>
    <x v="0"/>
    <x v="0"/>
    <x v="0"/>
    <x v="0"/>
    <x v="0"/>
    <x v="0"/>
    <m/>
    <m/>
    <m/>
    <m/>
    <m/>
    <m/>
  </r>
  <r>
    <x v="52"/>
    <x v="0"/>
    <x v="23"/>
    <x v="2"/>
    <x v="1"/>
    <x v="9"/>
    <x v="0"/>
    <x v="2"/>
    <x v="3"/>
    <x v="0"/>
    <x v="0"/>
    <x v="0"/>
    <x v="0"/>
    <x v="0"/>
    <x v="0"/>
    <x v="0"/>
    <x v="0"/>
    <x v="0"/>
    <x v="0"/>
    <x v="0"/>
    <x v="0"/>
    <x v="0"/>
    <x v="0"/>
    <x v="0"/>
    <x v="0"/>
    <x v="0"/>
    <m/>
    <m/>
    <m/>
    <m/>
    <m/>
    <m/>
  </r>
  <r>
    <x v="52"/>
    <x v="0"/>
    <x v="23"/>
    <x v="2"/>
    <x v="1"/>
    <x v="10"/>
    <x v="0"/>
    <x v="268"/>
    <x v="3"/>
    <x v="0"/>
    <x v="0"/>
    <x v="122"/>
    <x v="0"/>
    <x v="140"/>
    <x v="0"/>
    <x v="0"/>
    <x v="0"/>
    <x v="0"/>
    <x v="0"/>
    <x v="0"/>
    <x v="106"/>
    <x v="0"/>
    <x v="0"/>
    <x v="0"/>
    <x v="0"/>
    <x v="0"/>
    <m/>
    <m/>
    <m/>
    <m/>
    <m/>
    <m/>
  </r>
  <r>
    <x v="52"/>
    <x v="0"/>
    <x v="23"/>
    <x v="2"/>
    <x v="1"/>
    <x v="11"/>
    <x v="0"/>
    <x v="3"/>
    <x v="299"/>
    <x v="134"/>
    <x v="141"/>
    <x v="138"/>
    <x v="145"/>
    <x v="141"/>
    <x v="139"/>
    <x v="145"/>
    <x v="141"/>
    <x v="145"/>
    <x v="135"/>
    <x v="142"/>
    <x v="140"/>
    <x v="143"/>
    <x v="138"/>
    <x v="128"/>
    <x v="123"/>
    <x v="122"/>
    <n v="-22016"/>
    <n v="-23375"/>
    <n v="-24734"/>
    <n v="-25122"/>
    <n v="-25122"/>
    <n v="-25122"/>
  </r>
  <r>
    <x v="52"/>
    <x v="0"/>
    <x v="23"/>
    <x v="2"/>
    <x v="1"/>
    <x v="12"/>
    <x v="0"/>
    <x v="3"/>
    <x v="2"/>
    <x v="2"/>
    <x v="2"/>
    <x v="2"/>
    <x v="2"/>
    <x v="2"/>
    <x v="2"/>
    <x v="2"/>
    <x v="2"/>
    <x v="2"/>
    <x v="2"/>
    <x v="2"/>
    <x v="2"/>
    <x v="2"/>
    <x v="2"/>
    <x v="2"/>
    <x v="2"/>
    <x v="2"/>
    <n v="0"/>
    <n v="0"/>
    <n v="0"/>
    <n v="0"/>
    <n v="0"/>
    <n v="0"/>
  </r>
  <r>
    <x v="52"/>
    <x v="0"/>
    <x v="23"/>
    <x v="2"/>
    <x v="0"/>
    <x v="0"/>
    <x v="0"/>
    <x v="269"/>
    <x v="300"/>
    <x v="0"/>
    <x v="0"/>
    <x v="0"/>
    <x v="0"/>
    <x v="0"/>
    <x v="0"/>
    <x v="0"/>
    <x v="0"/>
    <x v="0"/>
    <x v="0"/>
    <x v="0"/>
    <x v="0"/>
    <x v="0"/>
    <x v="0"/>
    <x v="0"/>
    <x v="0"/>
    <x v="0"/>
    <m/>
    <m/>
    <m/>
    <m/>
    <m/>
    <m/>
  </r>
  <r>
    <x v="52"/>
    <x v="0"/>
    <x v="23"/>
    <x v="2"/>
    <x v="0"/>
    <x v="1"/>
    <x v="0"/>
    <x v="270"/>
    <x v="301"/>
    <x v="135"/>
    <x v="142"/>
    <x v="139"/>
    <x v="146"/>
    <x v="142"/>
    <x v="140"/>
    <x v="146"/>
    <x v="142"/>
    <x v="146"/>
    <x v="136"/>
    <x v="143"/>
    <x v="141"/>
    <x v="144"/>
    <x v="139"/>
    <x v="129"/>
    <x v="124"/>
    <x v="123"/>
    <n v="59445.02"/>
    <n v="58856.68"/>
    <n v="58973.68"/>
    <n v="50848.32"/>
    <n v="47668.2"/>
    <n v="47675.519999999997"/>
  </r>
  <r>
    <x v="52"/>
    <x v="0"/>
    <x v="23"/>
    <x v="2"/>
    <x v="0"/>
    <x v="2"/>
    <x v="0"/>
    <x v="271"/>
    <x v="302"/>
    <x v="0"/>
    <x v="0"/>
    <x v="0"/>
    <x v="0"/>
    <x v="0"/>
    <x v="0"/>
    <x v="0"/>
    <x v="0"/>
    <x v="0"/>
    <x v="0"/>
    <x v="0"/>
    <x v="0"/>
    <x v="0"/>
    <x v="0"/>
    <x v="0"/>
    <x v="0"/>
    <x v="0"/>
    <m/>
    <m/>
    <m/>
    <m/>
    <m/>
    <m/>
  </r>
  <r>
    <x v="52"/>
    <x v="0"/>
    <x v="23"/>
    <x v="2"/>
    <x v="0"/>
    <x v="3"/>
    <x v="0"/>
    <x v="272"/>
    <x v="303"/>
    <x v="0"/>
    <x v="0"/>
    <x v="0"/>
    <x v="0"/>
    <x v="0"/>
    <x v="0"/>
    <x v="0"/>
    <x v="0"/>
    <x v="0"/>
    <x v="0"/>
    <x v="0"/>
    <x v="0"/>
    <x v="0"/>
    <x v="0"/>
    <x v="0"/>
    <x v="0"/>
    <x v="0"/>
    <m/>
    <m/>
    <m/>
    <m/>
    <m/>
    <m/>
  </r>
  <r>
    <x v="52"/>
    <x v="0"/>
    <x v="23"/>
    <x v="2"/>
    <x v="0"/>
    <x v="4"/>
    <x v="0"/>
    <x v="273"/>
    <x v="304"/>
    <x v="0"/>
    <x v="0"/>
    <x v="0"/>
    <x v="0"/>
    <x v="0"/>
    <x v="0"/>
    <x v="0"/>
    <x v="0"/>
    <x v="0"/>
    <x v="0"/>
    <x v="0"/>
    <x v="0"/>
    <x v="0"/>
    <x v="0"/>
    <x v="0"/>
    <x v="0"/>
    <x v="0"/>
    <m/>
    <m/>
    <m/>
    <m/>
    <m/>
    <m/>
  </r>
  <r>
    <x v="52"/>
    <x v="0"/>
    <x v="23"/>
    <x v="2"/>
    <x v="0"/>
    <x v="5"/>
    <x v="0"/>
    <x v="3"/>
    <x v="3"/>
    <x v="0"/>
    <x v="0"/>
    <x v="0"/>
    <x v="0"/>
    <x v="0"/>
    <x v="0"/>
    <x v="0"/>
    <x v="0"/>
    <x v="0"/>
    <x v="0"/>
    <x v="0"/>
    <x v="0"/>
    <x v="0"/>
    <x v="0"/>
    <x v="0"/>
    <x v="0"/>
    <x v="0"/>
    <m/>
    <m/>
    <m/>
    <m/>
    <m/>
    <m/>
  </r>
  <r>
    <x v="52"/>
    <x v="0"/>
    <x v="23"/>
    <x v="2"/>
    <x v="0"/>
    <x v="6"/>
    <x v="0"/>
    <x v="274"/>
    <x v="2"/>
    <x v="2"/>
    <x v="37"/>
    <x v="39"/>
    <x v="42"/>
    <x v="39"/>
    <x v="2"/>
    <x v="41"/>
    <x v="39"/>
    <x v="147"/>
    <x v="36"/>
    <x v="37"/>
    <x v="38"/>
    <x v="37"/>
    <x v="2"/>
    <x v="2"/>
    <x v="2"/>
    <x v="2"/>
    <n v="0"/>
    <n v="0"/>
    <n v="0"/>
    <n v="0"/>
    <n v="0"/>
    <n v="0"/>
  </r>
  <r>
    <x v="52"/>
    <x v="0"/>
    <x v="23"/>
    <x v="2"/>
    <x v="0"/>
    <x v="7"/>
    <x v="0"/>
    <x v="274"/>
    <x v="3"/>
    <x v="0"/>
    <x v="37"/>
    <x v="39"/>
    <x v="42"/>
    <x v="39"/>
    <x v="0"/>
    <x v="41"/>
    <x v="39"/>
    <x v="147"/>
    <x v="36"/>
    <x v="37"/>
    <x v="38"/>
    <x v="37"/>
    <x v="0"/>
    <x v="0"/>
    <x v="0"/>
    <x v="0"/>
    <m/>
    <m/>
    <m/>
    <m/>
    <m/>
    <m/>
  </r>
  <r>
    <x v="52"/>
    <x v="0"/>
    <x v="23"/>
    <x v="2"/>
    <x v="0"/>
    <x v="8"/>
    <x v="0"/>
    <x v="2"/>
    <x v="3"/>
    <x v="0"/>
    <x v="0"/>
    <x v="0"/>
    <x v="0"/>
    <x v="0"/>
    <x v="0"/>
    <x v="0"/>
    <x v="0"/>
    <x v="0"/>
    <x v="0"/>
    <x v="0"/>
    <x v="0"/>
    <x v="0"/>
    <x v="0"/>
    <x v="0"/>
    <x v="0"/>
    <x v="0"/>
    <m/>
    <m/>
    <m/>
    <m/>
    <m/>
    <m/>
  </r>
  <r>
    <x v="52"/>
    <x v="0"/>
    <x v="23"/>
    <x v="2"/>
    <x v="0"/>
    <x v="9"/>
    <x v="0"/>
    <x v="2"/>
    <x v="3"/>
    <x v="0"/>
    <x v="0"/>
    <x v="0"/>
    <x v="0"/>
    <x v="0"/>
    <x v="0"/>
    <x v="0"/>
    <x v="0"/>
    <x v="0"/>
    <x v="0"/>
    <x v="0"/>
    <x v="0"/>
    <x v="0"/>
    <x v="0"/>
    <x v="0"/>
    <x v="0"/>
    <x v="0"/>
    <m/>
    <m/>
    <m/>
    <m/>
    <m/>
    <m/>
  </r>
  <r>
    <x v="52"/>
    <x v="0"/>
    <x v="23"/>
    <x v="2"/>
    <x v="0"/>
    <x v="10"/>
    <x v="0"/>
    <x v="274"/>
    <x v="3"/>
    <x v="0"/>
    <x v="37"/>
    <x v="39"/>
    <x v="42"/>
    <x v="39"/>
    <x v="0"/>
    <x v="41"/>
    <x v="39"/>
    <x v="147"/>
    <x v="36"/>
    <x v="37"/>
    <x v="38"/>
    <x v="37"/>
    <x v="0"/>
    <x v="0"/>
    <x v="0"/>
    <x v="0"/>
    <m/>
    <m/>
    <m/>
    <m/>
    <m/>
    <m/>
  </r>
  <r>
    <x v="52"/>
    <x v="0"/>
    <x v="23"/>
    <x v="2"/>
    <x v="0"/>
    <x v="11"/>
    <x v="0"/>
    <x v="3"/>
    <x v="305"/>
    <x v="136"/>
    <x v="143"/>
    <x v="140"/>
    <x v="147"/>
    <x v="143"/>
    <x v="141"/>
    <x v="147"/>
    <x v="143"/>
    <x v="148"/>
    <x v="137"/>
    <x v="144"/>
    <x v="142"/>
    <x v="145"/>
    <x v="140"/>
    <x v="130"/>
    <x v="125"/>
    <x v="124"/>
    <n v="-982163.98"/>
    <n v="-1041020.66"/>
    <n v="-1099994.3400000001"/>
    <n v="-1150842.6600000001"/>
    <n v="-1198510.8600000001"/>
    <n v="-1246186.3800000001"/>
  </r>
  <r>
    <x v="52"/>
    <x v="0"/>
    <x v="23"/>
    <x v="2"/>
    <x v="0"/>
    <x v="12"/>
    <x v="0"/>
    <x v="3"/>
    <x v="2"/>
    <x v="2"/>
    <x v="2"/>
    <x v="2"/>
    <x v="2"/>
    <x v="2"/>
    <x v="2"/>
    <x v="2"/>
    <x v="2"/>
    <x v="2"/>
    <x v="2"/>
    <x v="2"/>
    <x v="2"/>
    <x v="2"/>
    <x v="2"/>
    <x v="2"/>
    <x v="2"/>
    <x v="2"/>
    <n v="0"/>
    <n v="0"/>
    <n v="0"/>
    <n v="0"/>
    <n v="0"/>
    <n v="0"/>
  </r>
  <r>
    <x v="53"/>
    <x v="0"/>
    <x v="23"/>
    <x v="1"/>
    <x v="0"/>
    <x v="0"/>
    <x v="0"/>
    <x v="275"/>
    <x v="306"/>
    <x v="0"/>
    <x v="0"/>
    <x v="0"/>
    <x v="0"/>
    <x v="0"/>
    <x v="0"/>
    <x v="0"/>
    <x v="0"/>
    <x v="0"/>
    <x v="0"/>
    <x v="0"/>
    <x v="0"/>
    <x v="0"/>
    <x v="0"/>
    <x v="0"/>
    <x v="0"/>
    <x v="0"/>
    <m/>
    <m/>
    <m/>
    <m/>
    <m/>
    <m/>
  </r>
  <r>
    <x v="53"/>
    <x v="0"/>
    <x v="23"/>
    <x v="1"/>
    <x v="0"/>
    <x v="1"/>
    <x v="0"/>
    <x v="276"/>
    <x v="307"/>
    <x v="137"/>
    <x v="144"/>
    <x v="141"/>
    <x v="148"/>
    <x v="144"/>
    <x v="142"/>
    <x v="148"/>
    <x v="144"/>
    <x v="149"/>
    <x v="138"/>
    <x v="145"/>
    <x v="143"/>
    <x v="146"/>
    <x v="141"/>
    <x v="131"/>
    <x v="126"/>
    <x v="125"/>
    <n v="272.49"/>
    <n v="270.16000000000003"/>
    <n v="260.16000000000003"/>
    <n v="316.83999999999997"/>
    <n v="339.9"/>
    <n v="339.24"/>
  </r>
  <r>
    <x v="53"/>
    <x v="0"/>
    <x v="23"/>
    <x v="1"/>
    <x v="0"/>
    <x v="2"/>
    <x v="0"/>
    <x v="277"/>
    <x v="308"/>
    <x v="0"/>
    <x v="0"/>
    <x v="0"/>
    <x v="0"/>
    <x v="0"/>
    <x v="0"/>
    <x v="0"/>
    <x v="0"/>
    <x v="0"/>
    <x v="0"/>
    <x v="0"/>
    <x v="0"/>
    <x v="0"/>
    <x v="0"/>
    <x v="0"/>
    <x v="0"/>
    <x v="0"/>
    <m/>
    <m/>
    <m/>
    <m/>
    <m/>
    <m/>
  </r>
  <r>
    <x v="53"/>
    <x v="0"/>
    <x v="23"/>
    <x v="1"/>
    <x v="0"/>
    <x v="3"/>
    <x v="0"/>
    <x v="278"/>
    <x v="309"/>
    <x v="0"/>
    <x v="0"/>
    <x v="0"/>
    <x v="0"/>
    <x v="0"/>
    <x v="0"/>
    <x v="0"/>
    <x v="0"/>
    <x v="0"/>
    <x v="0"/>
    <x v="0"/>
    <x v="0"/>
    <x v="0"/>
    <x v="0"/>
    <x v="0"/>
    <x v="0"/>
    <x v="0"/>
    <m/>
    <m/>
    <m/>
    <m/>
    <m/>
    <m/>
  </r>
  <r>
    <x v="53"/>
    <x v="0"/>
    <x v="23"/>
    <x v="1"/>
    <x v="0"/>
    <x v="4"/>
    <x v="0"/>
    <x v="279"/>
    <x v="310"/>
    <x v="0"/>
    <x v="0"/>
    <x v="0"/>
    <x v="0"/>
    <x v="0"/>
    <x v="0"/>
    <x v="0"/>
    <x v="0"/>
    <x v="0"/>
    <x v="0"/>
    <x v="0"/>
    <x v="0"/>
    <x v="0"/>
    <x v="0"/>
    <x v="0"/>
    <x v="0"/>
    <x v="0"/>
    <m/>
    <m/>
    <m/>
    <m/>
    <m/>
    <m/>
  </r>
  <r>
    <x v="53"/>
    <x v="0"/>
    <x v="23"/>
    <x v="1"/>
    <x v="0"/>
    <x v="5"/>
    <x v="0"/>
    <x v="3"/>
    <x v="3"/>
    <x v="0"/>
    <x v="0"/>
    <x v="0"/>
    <x v="0"/>
    <x v="0"/>
    <x v="0"/>
    <x v="0"/>
    <x v="0"/>
    <x v="0"/>
    <x v="0"/>
    <x v="0"/>
    <x v="0"/>
    <x v="0"/>
    <x v="0"/>
    <x v="0"/>
    <x v="0"/>
    <x v="0"/>
    <m/>
    <m/>
    <m/>
    <m/>
    <m/>
    <m/>
  </r>
  <r>
    <x v="53"/>
    <x v="0"/>
    <x v="23"/>
    <x v="1"/>
    <x v="0"/>
    <x v="6"/>
    <x v="0"/>
    <x v="280"/>
    <x v="2"/>
    <x v="2"/>
    <x v="122"/>
    <x v="79"/>
    <x v="84"/>
    <x v="42"/>
    <x v="41"/>
    <x v="44"/>
    <x v="42"/>
    <x v="42"/>
    <x v="39"/>
    <x v="2"/>
    <x v="41"/>
    <x v="40"/>
    <x v="40"/>
    <x v="2"/>
    <x v="2"/>
    <x v="2"/>
    <n v="0"/>
    <n v="0"/>
    <n v="0"/>
    <n v="0"/>
    <n v="0"/>
    <n v="0"/>
  </r>
  <r>
    <x v="53"/>
    <x v="0"/>
    <x v="23"/>
    <x v="1"/>
    <x v="0"/>
    <x v="7"/>
    <x v="0"/>
    <x v="280"/>
    <x v="3"/>
    <x v="0"/>
    <x v="122"/>
    <x v="79"/>
    <x v="84"/>
    <x v="42"/>
    <x v="41"/>
    <x v="44"/>
    <x v="42"/>
    <x v="42"/>
    <x v="39"/>
    <x v="0"/>
    <x v="41"/>
    <x v="40"/>
    <x v="40"/>
    <x v="0"/>
    <x v="0"/>
    <x v="0"/>
    <m/>
    <m/>
    <m/>
    <m/>
    <m/>
    <m/>
  </r>
  <r>
    <x v="53"/>
    <x v="0"/>
    <x v="23"/>
    <x v="1"/>
    <x v="0"/>
    <x v="8"/>
    <x v="0"/>
    <x v="2"/>
    <x v="3"/>
    <x v="0"/>
    <x v="0"/>
    <x v="0"/>
    <x v="0"/>
    <x v="0"/>
    <x v="0"/>
    <x v="0"/>
    <x v="0"/>
    <x v="0"/>
    <x v="0"/>
    <x v="0"/>
    <x v="0"/>
    <x v="0"/>
    <x v="0"/>
    <x v="0"/>
    <x v="0"/>
    <x v="0"/>
    <m/>
    <m/>
    <m/>
    <m/>
    <m/>
    <m/>
  </r>
  <r>
    <x v="53"/>
    <x v="0"/>
    <x v="23"/>
    <x v="1"/>
    <x v="0"/>
    <x v="9"/>
    <x v="0"/>
    <x v="2"/>
    <x v="3"/>
    <x v="0"/>
    <x v="0"/>
    <x v="0"/>
    <x v="0"/>
    <x v="0"/>
    <x v="0"/>
    <x v="0"/>
    <x v="0"/>
    <x v="0"/>
    <x v="0"/>
    <x v="0"/>
    <x v="0"/>
    <x v="0"/>
    <x v="0"/>
    <x v="0"/>
    <x v="0"/>
    <x v="0"/>
    <m/>
    <m/>
    <m/>
    <m/>
    <m/>
    <m/>
  </r>
  <r>
    <x v="53"/>
    <x v="0"/>
    <x v="23"/>
    <x v="1"/>
    <x v="0"/>
    <x v="10"/>
    <x v="0"/>
    <x v="280"/>
    <x v="3"/>
    <x v="0"/>
    <x v="122"/>
    <x v="79"/>
    <x v="84"/>
    <x v="42"/>
    <x v="41"/>
    <x v="44"/>
    <x v="42"/>
    <x v="42"/>
    <x v="39"/>
    <x v="0"/>
    <x v="41"/>
    <x v="40"/>
    <x v="40"/>
    <x v="0"/>
    <x v="0"/>
    <x v="0"/>
    <m/>
    <m/>
    <m/>
    <m/>
    <m/>
    <m/>
  </r>
  <r>
    <x v="53"/>
    <x v="0"/>
    <x v="23"/>
    <x v="1"/>
    <x v="0"/>
    <x v="11"/>
    <x v="0"/>
    <x v="3"/>
    <x v="311"/>
    <x v="138"/>
    <x v="145"/>
    <x v="142"/>
    <x v="149"/>
    <x v="145"/>
    <x v="143"/>
    <x v="149"/>
    <x v="145"/>
    <x v="150"/>
    <x v="139"/>
    <x v="146"/>
    <x v="144"/>
    <x v="147"/>
    <x v="142"/>
    <x v="132"/>
    <x v="127"/>
    <x v="126"/>
    <n v="339872.49"/>
    <n v="339602.33"/>
    <n v="339342.17000000004"/>
    <n v="339025.33"/>
    <n v="338685.43"/>
    <n v="338346.19"/>
  </r>
  <r>
    <x v="53"/>
    <x v="0"/>
    <x v="23"/>
    <x v="1"/>
    <x v="0"/>
    <x v="12"/>
    <x v="0"/>
    <x v="3"/>
    <x v="2"/>
    <x v="2"/>
    <x v="2"/>
    <x v="2"/>
    <x v="2"/>
    <x v="2"/>
    <x v="2"/>
    <x v="2"/>
    <x v="2"/>
    <x v="2"/>
    <x v="2"/>
    <x v="2"/>
    <x v="2"/>
    <x v="2"/>
    <x v="2"/>
    <x v="2"/>
    <x v="2"/>
    <x v="2"/>
    <n v="0"/>
    <n v="0"/>
    <n v="0"/>
    <n v="0"/>
    <n v="0"/>
    <n v="0"/>
  </r>
  <r>
    <x v="54"/>
    <x v="0"/>
    <x v="23"/>
    <x v="6"/>
    <x v="0"/>
    <x v="0"/>
    <x v="0"/>
    <x v="281"/>
    <x v="312"/>
    <x v="0"/>
    <x v="0"/>
    <x v="0"/>
    <x v="0"/>
    <x v="0"/>
    <x v="0"/>
    <x v="0"/>
    <x v="0"/>
    <x v="0"/>
    <x v="0"/>
    <x v="0"/>
    <x v="0"/>
    <x v="0"/>
    <x v="0"/>
    <x v="0"/>
    <x v="0"/>
    <x v="0"/>
    <m/>
    <m/>
    <m/>
    <m/>
    <m/>
    <m/>
  </r>
  <r>
    <x v="54"/>
    <x v="0"/>
    <x v="23"/>
    <x v="6"/>
    <x v="0"/>
    <x v="1"/>
    <x v="0"/>
    <x v="282"/>
    <x v="313"/>
    <x v="139"/>
    <x v="146"/>
    <x v="143"/>
    <x v="150"/>
    <x v="146"/>
    <x v="144"/>
    <x v="150"/>
    <x v="146"/>
    <x v="151"/>
    <x v="140"/>
    <x v="147"/>
    <x v="145"/>
    <x v="148"/>
    <x v="143"/>
    <x v="133"/>
    <x v="128"/>
    <x v="127"/>
    <n v="248.49"/>
    <n v="248.16"/>
    <n v="248.16"/>
    <n v="312.83999999999997"/>
    <n v="339.9"/>
    <n v="339.24"/>
  </r>
  <r>
    <x v="54"/>
    <x v="0"/>
    <x v="23"/>
    <x v="6"/>
    <x v="0"/>
    <x v="2"/>
    <x v="0"/>
    <x v="54"/>
    <x v="59"/>
    <x v="0"/>
    <x v="0"/>
    <x v="0"/>
    <x v="0"/>
    <x v="0"/>
    <x v="0"/>
    <x v="0"/>
    <x v="0"/>
    <x v="0"/>
    <x v="0"/>
    <x v="0"/>
    <x v="0"/>
    <x v="0"/>
    <x v="0"/>
    <x v="0"/>
    <x v="0"/>
    <x v="0"/>
    <m/>
    <m/>
    <m/>
    <m/>
    <m/>
    <m/>
  </r>
  <r>
    <x v="54"/>
    <x v="0"/>
    <x v="23"/>
    <x v="6"/>
    <x v="0"/>
    <x v="3"/>
    <x v="0"/>
    <x v="2"/>
    <x v="2"/>
    <x v="0"/>
    <x v="0"/>
    <x v="0"/>
    <x v="0"/>
    <x v="0"/>
    <x v="0"/>
    <x v="0"/>
    <x v="0"/>
    <x v="0"/>
    <x v="0"/>
    <x v="0"/>
    <x v="0"/>
    <x v="0"/>
    <x v="0"/>
    <x v="0"/>
    <x v="0"/>
    <x v="0"/>
    <m/>
    <m/>
    <m/>
    <m/>
    <m/>
    <m/>
  </r>
  <r>
    <x v="54"/>
    <x v="0"/>
    <x v="23"/>
    <x v="6"/>
    <x v="0"/>
    <x v="4"/>
    <x v="0"/>
    <x v="283"/>
    <x v="314"/>
    <x v="0"/>
    <x v="0"/>
    <x v="0"/>
    <x v="0"/>
    <x v="0"/>
    <x v="0"/>
    <x v="0"/>
    <x v="0"/>
    <x v="0"/>
    <x v="0"/>
    <x v="0"/>
    <x v="0"/>
    <x v="0"/>
    <x v="0"/>
    <x v="0"/>
    <x v="0"/>
    <x v="0"/>
    <m/>
    <m/>
    <m/>
    <m/>
    <m/>
    <m/>
  </r>
  <r>
    <x v="54"/>
    <x v="0"/>
    <x v="23"/>
    <x v="6"/>
    <x v="0"/>
    <x v="5"/>
    <x v="0"/>
    <x v="3"/>
    <x v="3"/>
    <x v="0"/>
    <x v="0"/>
    <x v="0"/>
    <x v="0"/>
    <x v="0"/>
    <x v="0"/>
    <x v="0"/>
    <x v="0"/>
    <x v="0"/>
    <x v="0"/>
    <x v="0"/>
    <x v="0"/>
    <x v="0"/>
    <x v="0"/>
    <x v="0"/>
    <x v="0"/>
    <x v="0"/>
    <m/>
    <m/>
    <m/>
    <m/>
    <m/>
    <m/>
  </r>
  <r>
    <x v="54"/>
    <x v="0"/>
    <x v="23"/>
    <x v="6"/>
    <x v="0"/>
    <x v="6"/>
    <x v="0"/>
    <x v="284"/>
    <x v="2"/>
    <x v="2"/>
    <x v="147"/>
    <x v="2"/>
    <x v="151"/>
    <x v="2"/>
    <x v="2"/>
    <x v="151"/>
    <x v="2"/>
    <x v="152"/>
    <x v="2"/>
    <x v="2"/>
    <x v="2"/>
    <x v="2"/>
    <x v="2"/>
    <x v="2"/>
    <x v="2"/>
    <x v="2"/>
    <n v="0"/>
    <n v="0"/>
    <n v="0"/>
    <n v="0"/>
    <n v="0"/>
    <n v="0"/>
  </r>
  <r>
    <x v="54"/>
    <x v="0"/>
    <x v="23"/>
    <x v="6"/>
    <x v="0"/>
    <x v="7"/>
    <x v="0"/>
    <x v="284"/>
    <x v="3"/>
    <x v="0"/>
    <x v="147"/>
    <x v="0"/>
    <x v="151"/>
    <x v="0"/>
    <x v="0"/>
    <x v="151"/>
    <x v="0"/>
    <x v="152"/>
    <x v="0"/>
    <x v="0"/>
    <x v="0"/>
    <x v="0"/>
    <x v="0"/>
    <x v="0"/>
    <x v="0"/>
    <x v="0"/>
    <m/>
    <m/>
    <m/>
    <m/>
    <m/>
    <m/>
  </r>
  <r>
    <x v="54"/>
    <x v="0"/>
    <x v="23"/>
    <x v="6"/>
    <x v="0"/>
    <x v="8"/>
    <x v="0"/>
    <x v="2"/>
    <x v="3"/>
    <x v="0"/>
    <x v="0"/>
    <x v="0"/>
    <x v="0"/>
    <x v="0"/>
    <x v="0"/>
    <x v="0"/>
    <x v="0"/>
    <x v="0"/>
    <x v="0"/>
    <x v="0"/>
    <x v="0"/>
    <x v="0"/>
    <x v="0"/>
    <x v="0"/>
    <x v="0"/>
    <x v="0"/>
    <m/>
    <m/>
    <m/>
    <m/>
    <m/>
    <m/>
  </r>
  <r>
    <x v="54"/>
    <x v="0"/>
    <x v="23"/>
    <x v="6"/>
    <x v="0"/>
    <x v="9"/>
    <x v="0"/>
    <x v="2"/>
    <x v="3"/>
    <x v="0"/>
    <x v="0"/>
    <x v="0"/>
    <x v="0"/>
    <x v="0"/>
    <x v="0"/>
    <x v="0"/>
    <x v="0"/>
    <x v="0"/>
    <x v="0"/>
    <x v="0"/>
    <x v="0"/>
    <x v="0"/>
    <x v="0"/>
    <x v="0"/>
    <x v="0"/>
    <x v="0"/>
    <m/>
    <m/>
    <m/>
    <m/>
    <m/>
    <m/>
  </r>
  <r>
    <x v="54"/>
    <x v="0"/>
    <x v="23"/>
    <x v="6"/>
    <x v="0"/>
    <x v="10"/>
    <x v="0"/>
    <x v="284"/>
    <x v="3"/>
    <x v="0"/>
    <x v="147"/>
    <x v="0"/>
    <x v="151"/>
    <x v="0"/>
    <x v="0"/>
    <x v="151"/>
    <x v="0"/>
    <x v="152"/>
    <x v="0"/>
    <x v="0"/>
    <x v="0"/>
    <x v="0"/>
    <x v="0"/>
    <x v="0"/>
    <x v="0"/>
    <x v="0"/>
    <m/>
    <m/>
    <m/>
    <m/>
    <m/>
    <m/>
  </r>
  <r>
    <x v="54"/>
    <x v="0"/>
    <x v="23"/>
    <x v="6"/>
    <x v="0"/>
    <x v="11"/>
    <x v="0"/>
    <x v="3"/>
    <x v="315"/>
    <x v="140"/>
    <x v="148"/>
    <x v="144"/>
    <x v="152"/>
    <x v="147"/>
    <x v="145"/>
    <x v="152"/>
    <x v="147"/>
    <x v="153"/>
    <x v="141"/>
    <x v="148"/>
    <x v="146"/>
    <x v="149"/>
    <x v="144"/>
    <x v="134"/>
    <x v="129"/>
    <x v="128"/>
    <n v="156905.49"/>
    <n v="156657.32999999999"/>
    <n v="156409.16999999998"/>
    <n v="156096.32999999999"/>
    <n v="155756.43"/>
    <n v="155417.19"/>
  </r>
  <r>
    <x v="54"/>
    <x v="0"/>
    <x v="23"/>
    <x v="6"/>
    <x v="0"/>
    <x v="12"/>
    <x v="0"/>
    <x v="3"/>
    <x v="2"/>
    <x v="2"/>
    <x v="2"/>
    <x v="2"/>
    <x v="2"/>
    <x v="2"/>
    <x v="2"/>
    <x v="2"/>
    <x v="2"/>
    <x v="2"/>
    <x v="2"/>
    <x v="2"/>
    <x v="2"/>
    <x v="2"/>
    <x v="2"/>
    <x v="2"/>
    <x v="2"/>
    <x v="2"/>
    <n v="0"/>
    <n v="0"/>
    <n v="0"/>
    <n v="0"/>
    <n v="0"/>
    <n v="0"/>
  </r>
  <r>
    <x v="55"/>
    <x v="0"/>
    <x v="24"/>
    <x v="4"/>
    <x v="0"/>
    <x v="0"/>
    <x v="0"/>
    <x v="285"/>
    <x v="316"/>
    <x v="0"/>
    <x v="0"/>
    <x v="0"/>
    <x v="0"/>
    <x v="0"/>
    <x v="0"/>
    <x v="0"/>
    <x v="0"/>
    <x v="0"/>
    <x v="0"/>
    <x v="0"/>
    <x v="0"/>
    <x v="0"/>
    <x v="0"/>
    <x v="0"/>
    <x v="0"/>
    <x v="0"/>
    <m/>
    <m/>
    <m/>
    <m/>
    <m/>
    <m/>
  </r>
  <r>
    <x v="55"/>
    <x v="0"/>
    <x v="24"/>
    <x v="4"/>
    <x v="0"/>
    <x v="1"/>
    <x v="0"/>
    <x v="286"/>
    <x v="317"/>
    <x v="141"/>
    <x v="149"/>
    <x v="145"/>
    <x v="153"/>
    <x v="148"/>
    <x v="146"/>
    <x v="153"/>
    <x v="148"/>
    <x v="154"/>
    <x v="142"/>
    <x v="149"/>
    <x v="147"/>
    <x v="150"/>
    <x v="145"/>
    <x v="135"/>
    <x v="130"/>
    <x v="129"/>
    <n v="617.5"/>
    <n v="615.5"/>
    <n v="614"/>
    <n v="531.5"/>
    <n v="502"/>
    <n v="500"/>
  </r>
  <r>
    <x v="55"/>
    <x v="0"/>
    <x v="24"/>
    <x v="4"/>
    <x v="0"/>
    <x v="2"/>
    <x v="0"/>
    <x v="287"/>
    <x v="318"/>
    <x v="0"/>
    <x v="0"/>
    <x v="0"/>
    <x v="0"/>
    <x v="0"/>
    <x v="0"/>
    <x v="0"/>
    <x v="0"/>
    <x v="0"/>
    <x v="0"/>
    <x v="0"/>
    <x v="0"/>
    <x v="0"/>
    <x v="0"/>
    <x v="0"/>
    <x v="0"/>
    <x v="0"/>
    <m/>
    <m/>
    <m/>
    <m/>
    <m/>
    <m/>
  </r>
  <r>
    <x v="55"/>
    <x v="0"/>
    <x v="24"/>
    <x v="4"/>
    <x v="0"/>
    <x v="3"/>
    <x v="0"/>
    <x v="2"/>
    <x v="2"/>
    <x v="0"/>
    <x v="0"/>
    <x v="0"/>
    <x v="0"/>
    <x v="0"/>
    <x v="0"/>
    <x v="0"/>
    <x v="0"/>
    <x v="0"/>
    <x v="0"/>
    <x v="0"/>
    <x v="0"/>
    <x v="0"/>
    <x v="0"/>
    <x v="0"/>
    <x v="0"/>
    <x v="0"/>
    <m/>
    <m/>
    <m/>
    <m/>
    <m/>
    <m/>
  </r>
  <r>
    <x v="55"/>
    <x v="0"/>
    <x v="24"/>
    <x v="4"/>
    <x v="0"/>
    <x v="4"/>
    <x v="0"/>
    <x v="288"/>
    <x v="319"/>
    <x v="0"/>
    <x v="0"/>
    <x v="0"/>
    <x v="0"/>
    <x v="0"/>
    <x v="0"/>
    <x v="0"/>
    <x v="0"/>
    <x v="0"/>
    <x v="0"/>
    <x v="0"/>
    <x v="0"/>
    <x v="0"/>
    <x v="0"/>
    <x v="0"/>
    <x v="0"/>
    <x v="0"/>
    <m/>
    <m/>
    <m/>
    <m/>
    <m/>
    <m/>
  </r>
  <r>
    <x v="55"/>
    <x v="0"/>
    <x v="24"/>
    <x v="4"/>
    <x v="0"/>
    <x v="5"/>
    <x v="0"/>
    <x v="3"/>
    <x v="3"/>
    <x v="0"/>
    <x v="0"/>
    <x v="0"/>
    <x v="0"/>
    <x v="0"/>
    <x v="0"/>
    <x v="0"/>
    <x v="0"/>
    <x v="0"/>
    <x v="0"/>
    <x v="0"/>
    <x v="0"/>
    <x v="0"/>
    <x v="0"/>
    <x v="0"/>
    <x v="0"/>
    <x v="0"/>
    <m/>
    <m/>
    <m/>
    <m/>
    <m/>
    <m/>
  </r>
  <r>
    <x v="55"/>
    <x v="0"/>
    <x v="24"/>
    <x v="4"/>
    <x v="0"/>
    <x v="6"/>
    <x v="0"/>
    <x v="289"/>
    <x v="2"/>
    <x v="2"/>
    <x v="2"/>
    <x v="2"/>
    <x v="2"/>
    <x v="149"/>
    <x v="2"/>
    <x v="2"/>
    <x v="149"/>
    <x v="77"/>
    <x v="2"/>
    <x v="2"/>
    <x v="148"/>
    <x v="151"/>
    <x v="2"/>
    <x v="2"/>
    <x v="2"/>
    <x v="2"/>
    <n v="0"/>
    <n v="0"/>
    <n v="0"/>
    <n v="0"/>
    <n v="0"/>
    <n v="0"/>
  </r>
  <r>
    <x v="55"/>
    <x v="0"/>
    <x v="24"/>
    <x v="4"/>
    <x v="0"/>
    <x v="7"/>
    <x v="0"/>
    <x v="289"/>
    <x v="3"/>
    <x v="0"/>
    <x v="0"/>
    <x v="0"/>
    <x v="0"/>
    <x v="149"/>
    <x v="0"/>
    <x v="0"/>
    <x v="149"/>
    <x v="77"/>
    <x v="0"/>
    <x v="0"/>
    <x v="148"/>
    <x v="151"/>
    <x v="0"/>
    <x v="0"/>
    <x v="0"/>
    <x v="0"/>
    <m/>
    <m/>
    <m/>
    <m/>
    <m/>
    <m/>
  </r>
  <r>
    <x v="55"/>
    <x v="0"/>
    <x v="24"/>
    <x v="4"/>
    <x v="0"/>
    <x v="8"/>
    <x v="0"/>
    <x v="2"/>
    <x v="3"/>
    <x v="0"/>
    <x v="0"/>
    <x v="0"/>
    <x v="0"/>
    <x v="0"/>
    <x v="0"/>
    <x v="0"/>
    <x v="0"/>
    <x v="0"/>
    <x v="0"/>
    <x v="0"/>
    <x v="0"/>
    <x v="0"/>
    <x v="0"/>
    <x v="0"/>
    <x v="0"/>
    <x v="0"/>
    <m/>
    <m/>
    <m/>
    <m/>
    <m/>
    <m/>
  </r>
  <r>
    <x v="55"/>
    <x v="0"/>
    <x v="24"/>
    <x v="4"/>
    <x v="0"/>
    <x v="9"/>
    <x v="0"/>
    <x v="2"/>
    <x v="3"/>
    <x v="0"/>
    <x v="0"/>
    <x v="0"/>
    <x v="0"/>
    <x v="0"/>
    <x v="0"/>
    <x v="0"/>
    <x v="0"/>
    <x v="0"/>
    <x v="0"/>
    <x v="0"/>
    <x v="0"/>
    <x v="0"/>
    <x v="0"/>
    <x v="0"/>
    <x v="0"/>
    <x v="0"/>
    <m/>
    <m/>
    <m/>
    <m/>
    <m/>
    <m/>
  </r>
  <r>
    <x v="55"/>
    <x v="0"/>
    <x v="24"/>
    <x v="4"/>
    <x v="0"/>
    <x v="10"/>
    <x v="0"/>
    <x v="289"/>
    <x v="3"/>
    <x v="0"/>
    <x v="0"/>
    <x v="0"/>
    <x v="0"/>
    <x v="149"/>
    <x v="0"/>
    <x v="0"/>
    <x v="149"/>
    <x v="77"/>
    <x v="0"/>
    <x v="0"/>
    <x v="148"/>
    <x v="151"/>
    <x v="0"/>
    <x v="0"/>
    <x v="0"/>
    <x v="0"/>
    <m/>
    <m/>
    <m/>
    <m/>
    <m/>
    <m/>
  </r>
  <r>
    <x v="55"/>
    <x v="0"/>
    <x v="24"/>
    <x v="4"/>
    <x v="0"/>
    <x v="11"/>
    <x v="0"/>
    <x v="3"/>
    <x v="320"/>
    <x v="142"/>
    <x v="150"/>
    <x v="146"/>
    <x v="154"/>
    <x v="150"/>
    <x v="147"/>
    <x v="154"/>
    <x v="150"/>
    <x v="155"/>
    <x v="143"/>
    <x v="150"/>
    <x v="149"/>
    <x v="152"/>
    <x v="146"/>
    <x v="136"/>
    <x v="131"/>
    <x v="130"/>
    <n v="41793"/>
    <n v="41177.5"/>
    <n v="40563.5"/>
    <n v="40032"/>
    <n v="39530"/>
    <n v="39030"/>
  </r>
  <r>
    <x v="55"/>
    <x v="0"/>
    <x v="24"/>
    <x v="4"/>
    <x v="0"/>
    <x v="12"/>
    <x v="0"/>
    <x v="3"/>
    <x v="2"/>
    <x v="2"/>
    <x v="2"/>
    <x v="2"/>
    <x v="2"/>
    <x v="2"/>
    <x v="2"/>
    <x v="2"/>
    <x v="2"/>
    <x v="2"/>
    <x v="2"/>
    <x v="2"/>
    <x v="2"/>
    <x v="2"/>
    <x v="2"/>
    <x v="2"/>
    <x v="2"/>
    <x v="2"/>
    <n v="0"/>
    <n v="0"/>
    <n v="0"/>
    <n v="0"/>
    <n v="0"/>
    <n v="0"/>
  </r>
  <r>
    <x v="56"/>
    <x v="0"/>
    <x v="24"/>
    <x v="2"/>
    <x v="0"/>
    <x v="0"/>
    <x v="0"/>
    <x v="290"/>
    <x v="321"/>
    <x v="0"/>
    <x v="0"/>
    <x v="0"/>
    <x v="0"/>
    <x v="0"/>
    <x v="0"/>
    <x v="0"/>
    <x v="0"/>
    <x v="0"/>
    <x v="0"/>
    <x v="0"/>
    <x v="0"/>
    <x v="0"/>
    <x v="0"/>
    <x v="0"/>
    <x v="0"/>
    <x v="0"/>
    <m/>
    <m/>
    <m/>
    <m/>
    <m/>
    <m/>
  </r>
  <r>
    <x v="56"/>
    <x v="0"/>
    <x v="24"/>
    <x v="2"/>
    <x v="0"/>
    <x v="1"/>
    <x v="0"/>
    <x v="291"/>
    <x v="322"/>
    <x v="143"/>
    <x v="151"/>
    <x v="147"/>
    <x v="155"/>
    <x v="151"/>
    <x v="148"/>
    <x v="155"/>
    <x v="151"/>
    <x v="156"/>
    <x v="144"/>
    <x v="151"/>
    <x v="150"/>
    <x v="153"/>
    <x v="147"/>
    <x v="137"/>
    <x v="132"/>
    <x v="131"/>
    <n v="1267.5"/>
    <n v="1287.5"/>
    <n v="1265"/>
    <n v="1244.5"/>
    <n v="1239"/>
    <n v="1238"/>
  </r>
  <r>
    <x v="56"/>
    <x v="0"/>
    <x v="24"/>
    <x v="2"/>
    <x v="0"/>
    <x v="2"/>
    <x v="0"/>
    <x v="2"/>
    <x v="2"/>
    <x v="0"/>
    <x v="0"/>
    <x v="0"/>
    <x v="0"/>
    <x v="0"/>
    <x v="0"/>
    <x v="0"/>
    <x v="0"/>
    <x v="0"/>
    <x v="0"/>
    <x v="0"/>
    <x v="0"/>
    <x v="0"/>
    <x v="0"/>
    <x v="0"/>
    <x v="0"/>
    <x v="0"/>
    <m/>
    <m/>
    <m/>
    <m/>
    <m/>
    <m/>
  </r>
  <r>
    <x v="56"/>
    <x v="0"/>
    <x v="24"/>
    <x v="2"/>
    <x v="0"/>
    <x v="3"/>
    <x v="0"/>
    <x v="2"/>
    <x v="2"/>
    <x v="0"/>
    <x v="0"/>
    <x v="0"/>
    <x v="0"/>
    <x v="0"/>
    <x v="0"/>
    <x v="0"/>
    <x v="0"/>
    <x v="0"/>
    <x v="0"/>
    <x v="0"/>
    <x v="0"/>
    <x v="0"/>
    <x v="0"/>
    <x v="0"/>
    <x v="0"/>
    <x v="0"/>
    <m/>
    <m/>
    <m/>
    <m/>
    <m/>
    <m/>
  </r>
  <r>
    <x v="56"/>
    <x v="0"/>
    <x v="24"/>
    <x v="2"/>
    <x v="0"/>
    <x v="4"/>
    <x v="0"/>
    <x v="292"/>
    <x v="323"/>
    <x v="0"/>
    <x v="0"/>
    <x v="0"/>
    <x v="0"/>
    <x v="0"/>
    <x v="0"/>
    <x v="0"/>
    <x v="0"/>
    <x v="0"/>
    <x v="0"/>
    <x v="0"/>
    <x v="0"/>
    <x v="0"/>
    <x v="0"/>
    <x v="0"/>
    <x v="0"/>
    <x v="0"/>
    <m/>
    <m/>
    <m/>
    <m/>
    <m/>
    <m/>
  </r>
  <r>
    <x v="56"/>
    <x v="0"/>
    <x v="24"/>
    <x v="2"/>
    <x v="0"/>
    <x v="5"/>
    <x v="0"/>
    <x v="3"/>
    <x v="3"/>
    <x v="0"/>
    <x v="0"/>
    <x v="0"/>
    <x v="0"/>
    <x v="0"/>
    <x v="0"/>
    <x v="0"/>
    <x v="0"/>
    <x v="0"/>
    <x v="0"/>
    <x v="0"/>
    <x v="0"/>
    <x v="0"/>
    <x v="0"/>
    <x v="0"/>
    <x v="0"/>
    <x v="0"/>
    <m/>
    <m/>
    <m/>
    <m/>
    <m/>
    <m/>
  </r>
  <r>
    <x v="56"/>
    <x v="0"/>
    <x v="24"/>
    <x v="2"/>
    <x v="0"/>
    <x v="6"/>
    <x v="0"/>
    <x v="293"/>
    <x v="324"/>
    <x v="144"/>
    <x v="2"/>
    <x v="148"/>
    <x v="156"/>
    <x v="2"/>
    <x v="149"/>
    <x v="2"/>
    <x v="152"/>
    <x v="2"/>
    <x v="2"/>
    <x v="152"/>
    <x v="2"/>
    <x v="2"/>
    <x v="2"/>
    <x v="2"/>
    <x v="2"/>
    <x v="2"/>
    <n v="0"/>
    <n v="0"/>
    <n v="0"/>
    <n v="0"/>
    <n v="0"/>
    <n v="0"/>
  </r>
  <r>
    <x v="56"/>
    <x v="0"/>
    <x v="24"/>
    <x v="2"/>
    <x v="0"/>
    <x v="7"/>
    <x v="0"/>
    <x v="293"/>
    <x v="324"/>
    <x v="144"/>
    <x v="0"/>
    <x v="148"/>
    <x v="156"/>
    <x v="0"/>
    <x v="149"/>
    <x v="0"/>
    <x v="152"/>
    <x v="0"/>
    <x v="0"/>
    <x v="152"/>
    <x v="0"/>
    <x v="0"/>
    <x v="0"/>
    <x v="0"/>
    <x v="0"/>
    <x v="0"/>
    <m/>
    <m/>
    <m/>
    <m/>
    <m/>
    <m/>
  </r>
  <r>
    <x v="56"/>
    <x v="0"/>
    <x v="24"/>
    <x v="2"/>
    <x v="0"/>
    <x v="8"/>
    <x v="0"/>
    <x v="2"/>
    <x v="3"/>
    <x v="0"/>
    <x v="0"/>
    <x v="0"/>
    <x v="0"/>
    <x v="0"/>
    <x v="0"/>
    <x v="0"/>
    <x v="0"/>
    <x v="0"/>
    <x v="0"/>
    <x v="0"/>
    <x v="0"/>
    <x v="0"/>
    <x v="0"/>
    <x v="0"/>
    <x v="0"/>
    <x v="0"/>
    <m/>
    <m/>
    <m/>
    <m/>
    <m/>
    <m/>
  </r>
  <r>
    <x v="56"/>
    <x v="0"/>
    <x v="24"/>
    <x v="2"/>
    <x v="0"/>
    <x v="9"/>
    <x v="0"/>
    <x v="2"/>
    <x v="3"/>
    <x v="0"/>
    <x v="0"/>
    <x v="0"/>
    <x v="0"/>
    <x v="0"/>
    <x v="0"/>
    <x v="0"/>
    <x v="0"/>
    <x v="0"/>
    <x v="0"/>
    <x v="0"/>
    <x v="0"/>
    <x v="0"/>
    <x v="0"/>
    <x v="0"/>
    <x v="0"/>
    <x v="0"/>
    <m/>
    <m/>
    <m/>
    <m/>
    <m/>
    <m/>
  </r>
  <r>
    <x v="56"/>
    <x v="0"/>
    <x v="24"/>
    <x v="2"/>
    <x v="0"/>
    <x v="10"/>
    <x v="0"/>
    <x v="293"/>
    <x v="324"/>
    <x v="144"/>
    <x v="0"/>
    <x v="148"/>
    <x v="156"/>
    <x v="0"/>
    <x v="149"/>
    <x v="0"/>
    <x v="152"/>
    <x v="0"/>
    <x v="0"/>
    <x v="152"/>
    <x v="0"/>
    <x v="0"/>
    <x v="0"/>
    <x v="0"/>
    <x v="0"/>
    <x v="0"/>
    <m/>
    <m/>
    <m/>
    <m/>
    <m/>
    <m/>
  </r>
  <r>
    <x v="56"/>
    <x v="0"/>
    <x v="24"/>
    <x v="2"/>
    <x v="0"/>
    <x v="11"/>
    <x v="0"/>
    <x v="3"/>
    <x v="325"/>
    <x v="145"/>
    <x v="152"/>
    <x v="149"/>
    <x v="157"/>
    <x v="152"/>
    <x v="150"/>
    <x v="156"/>
    <x v="153"/>
    <x v="157"/>
    <x v="145"/>
    <x v="153"/>
    <x v="151"/>
    <x v="154"/>
    <x v="148"/>
    <x v="138"/>
    <x v="133"/>
    <x v="132"/>
    <n v="-28464"/>
    <n v="-29751.5"/>
    <n v="-31016.5"/>
    <n v="-32261"/>
    <n v="-33500"/>
    <n v="-34738"/>
  </r>
  <r>
    <x v="56"/>
    <x v="0"/>
    <x v="24"/>
    <x v="2"/>
    <x v="0"/>
    <x v="12"/>
    <x v="0"/>
    <x v="3"/>
    <x v="2"/>
    <x v="2"/>
    <x v="2"/>
    <x v="2"/>
    <x v="2"/>
    <x v="2"/>
    <x v="2"/>
    <x v="2"/>
    <x v="2"/>
    <x v="2"/>
    <x v="2"/>
    <x v="2"/>
    <x v="2"/>
    <x v="2"/>
    <x v="2"/>
    <x v="2"/>
    <x v="2"/>
    <x v="2"/>
    <n v="0"/>
    <n v="0"/>
    <n v="0"/>
    <n v="0"/>
    <n v="0"/>
    <n v="0"/>
  </r>
  <r>
    <x v="57"/>
    <x v="0"/>
    <x v="25"/>
    <x v="1"/>
    <x v="1"/>
    <x v="0"/>
    <x v="0"/>
    <x v="294"/>
    <x v="326"/>
    <x v="0"/>
    <x v="0"/>
    <x v="0"/>
    <x v="0"/>
    <x v="0"/>
    <x v="0"/>
    <x v="0"/>
    <x v="0"/>
    <x v="0"/>
    <x v="0"/>
    <x v="0"/>
    <x v="0"/>
    <x v="0"/>
    <x v="0"/>
    <x v="0"/>
    <x v="0"/>
    <x v="0"/>
    <m/>
    <m/>
    <m/>
    <m/>
    <m/>
    <m/>
  </r>
  <r>
    <x v="57"/>
    <x v="0"/>
    <x v="25"/>
    <x v="1"/>
    <x v="1"/>
    <x v="1"/>
    <x v="0"/>
    <x v="295"/>
    <x v="327"/>
    <x v="146"/>
    <x v="153"/>
    <x v="150"/>
    <x v="158"/>
    <x v="153"/>
    <x v="151"/>
    <x v="157"/>
    <x v="154"/>
    <x v="158"/>
    <x v="146"/>
    <x v="154"/>
    <x v="152"/>
    <x v="155"/>
    <x v="149"/>
    <x v="139"/>
    <x v="134"/>
    <x v="133"/>
    <n v="1966"/>
    <n v="1965"/>
    <n v="1965"/>
    <n v="1436"/>
    <n v="1255"/>
    <n v="1226"/>
  </r>
  <r>
    <x v="57"/>
    <x v="0"/>
    <x v="25"/>
    <x v="1"/>
    <x v="1"/>
    <x v="2"/>
    <x v="0"/>
    <x v="2"/>
    <x v="2"/>
    <x v="0"/>
    <x v="0"/>
    <x v="0"/>
    <x v="0"/>
    <x v="0"/>
    <x v="0"/>
    <x v="0"/>
    <x v="0"/>
    <x v="0"/>
    <x v="0"/>
    <x v="0"/>
    <x v="0"/>
    <x v="0"/>
    <x v="0"/>
    <x v="0"/>
    <x v="0"/>
    <x v="0"/>
    <m/>
    <m/>
    <m/>
    <m/>
    <m/>
    <m/>
  </r>
  <r>
    <x v="57"/>
    <x v="0"/>
    <x v="25"/>
    <x v="1"/>
    <x v="1"/>
    <x v="3"/>
    <x v="0"/>
    <x v="2"/>
    <x v="2"/>
    <x v="0"/>
    <x v="0"/>
    <x v="0"/>
    <x v="0"/>
    <x v="0"/>
    <x v="0"/>
    <x v="0"/>
    <x v="0"/>
    <x v="0"/>
    <x v="0"/>
    <x v="0"/>
    <x v="0"/>
    <x v="0"/>
    <x v="0"/>
    <x v="0"/>
    <x v="0"/>
    <x v="0"/>
    <m/>
    <m/>
    <m/>
    <m/>
    <m/>
    <m/>
  </r>
  <r>
    <x v="57"/>
    <x v="0"/>
    <x v="25"/>
    <x v="1"/>
    <x v="1"/>
    <x v="4"/>
    <x v="0"/>
    <x v="2"/>
    <x v="2"/>
    <x v="0"/>
    <x v="0"/>
    <x v="0"/>
    <x v="0"/>
    <x v="0"/>
    <x v="0"/>
    <x v="0"/>
    <x v="0"/>
    <x v="0"/>
    <x v="0"/>
    <x v="0"/>
    <x v="0"/>
    <x v="0"/>
    <x v="0"/>
    <x v="0"/>
    <x v="0"/>
    <x v="0"/>
    <m/>
    <m/>
    <m/>
    <m/>
    <m/>
    <m/>
  </r>
  <r>
    <x v="57"/>
    <x v="0"/>
    <x v="25"/>
    <x v="1"/>
    <x v="1"/>
    <x v="5"/>
    <x v="0"/>
    <x v="3"/>
    <x v="3"/>
    <x v="0"/>
    <x v="0"/>
    <x v="0"/>
    <x v="0"/>
    <x v="0"/>
    <x v="0"/>
    <x v="0"/>
    <x v="0"/>
    <x v="0"/>
    <x v="0"/>
    <x v="0"/>
    <x v="0"/>
    <x v="0"/>
    <x v="0"/>
    <x v="0"/>
    <x v="0"/>
    <x v="0"/>
    <m/>
    <m/>
    <m/>
    <m/>
    <m/>
    <m/>
  </r>
  <r>
    <x v="57"/>
    <x v="0"/>
    <x v="25"/>
    <x v="1"/>
    <x v="1"/>
    <x v="6"/>
    <x v="0"/>
    <x v="2"/>
    <x v="2"/>
    <x v="2"/>
    <x v="2"/>
    <x v="2"/>
    <x v="2"/>
    <x v="2"/>
    <x v="2"/>
    <x v="2"/>
    <x v="2"/>
    <x v="2"/>
    <x v="2"/>
    <x v="2"/>
    <x v="2"/>
    <x v="2"/>
    <x v="2"/>
    <x v="2"/>
    <x v="2"/>
    <x v="2"/>
    <n v="0"/>
    <n v="0"/>
    <n v="0"/>
    <n v="0"/>
    <n v="0"/>
    <n v="0"/>
  </r>
  <r>
    <x v="57"/>
    <x v="0"/>
    <x v="25"/>
    <x v="1"/>
    <x v="1"/>
    <x v="7"/>
    <x v="0"/>
    <x v="3"/>
    <x v="3"/>
    <x v="0"/>
    <x v="0"/>
    <x v="0"/>
    <x v="0"/>
    <x v="0"/>
    <x v="0"/>
    <x v="0"/>
    <x v="0"/>
    <x v="0"/>
    <x v="0"/>
    <x v="0"/>
    <x v="0"/>
    <x v="0"/>
    <x v="0"/>
    <x v="0"/>
    <x v="0"/>
    <x v="0"/>
    <m/>
    <m/>
    <m/>
    <m/>
    <m/>
    <m/>
  </r>
  <r>
    <x v="57"/>
    <x v="0"/>
    <x v="25"/>
    <x v="1"/>
    <x v="1"/>
    <x v="8"/>
    <x v="0"/>
    <x v="2"/>
    <x v="3"/>
    <x v="0"/>
    <x v="0"/>
    <x v="0"/>
    <x v="0"/>
    <x v="0"/>
    <x v="0"/>
    <x v="0"/>
    <x v="0"/>
    <x v="0"/>
    <x v="0"/>
    <x v="0"/>
    <x v="0"/>
    <x v="0"/>
    <x v="0"/>
    <x v="0"/>
    <x v="0"/>
    <x v="0"/>
    <m/>
    <m/>
    <m/>
    <m/>
    <m/>
    <m/>
  </r>
  <r>
    <x v="57"/>
    <x v="0"/>
    <x v="25"/>
    <x v="1"/>
    <x v="1"/>
    <x v="9"/>
    <x v="0"/>
    <x v="2"/>
    <x v="3"/>
    <x v="0"/>
    <x v="0"/>
    <x v="0"/>
    <x v="0"/>
    <x v="0"/>
    <x v="0"/>
    <x v="0"/>
    <x v="0"/>
    <x v="0"/>
    <x v="0"/>
    <x v="0"/>
    <x v="0"/>
    <x v="0"/>
    <x v="0"/>
    <x v="0"/>
    <x v="0"/>
    <x v="0"/>
    <m/>
    <m/>
    <m/>
    <m/>
    <m/>
    <m/>
  </r>
  <r>
    <x v="57"/>
    <x v="0"/>
    <x v="25"/>
    <x v="1"/>
    <x v="1"/>
    <x v="10"/>
    <x v="0"/>
    <x v="3"/>
    <x v="3"/>
    <x v="0"/>
    <x v="0"/>
    <x v="0"/>
    <x v="0"/>
    <x v="0"/>
    <x v="0"/>
    <x v="0"/>
    <x v="0"/>
    <x v="0"/>
    <x v="0"/>
    <x v="0"/>
    <x v="0"/>
    <x v="0"/>
    <x v="0"/>
    <x v="0"/>
    <x v="0"/>
    <x v="0"/>
    <m/>
    <m/>
    <m/>
    <m/>
    <m/>
    <m/>
  </r>
  <r>
    <x v="57"/>
    <x v="0"/>
    <x v="25"/>
    <x v="1"/>
    <x v="1"/>
    <x v="11"/>
    <x v="0"/>
    <x v="3"/>
    <x v="328"/>
    <x v="147"/>
    <x v="154"/>
    <x v="151"/>
    <x v="159"/>
    <x v="154"/>
    <x v="152"/>
    <x v="158"/>
    <x v="155"/>
    <x v="159"/>
    <x v="147"/>
    <x v="155"/>
    <x v="153"/>
    <x v="156"/>
    <x v="150"/>
    <x v="140"/>
    <x v="135"/>
    <x v="134"/>
    <n v="-53761"/>
    <n v="-55726"/>
    <n v="-57691"/>
    <n v="-59127"/>
    <n v="-60382"/>
    <n v="-61608"/>
  </r>
  <r>
    <x v="57"/>
    <x v="0"/>
    <x v="25"/>
    <x v="1"/>
    <x v="1"/>
    <x v="12"/>
    <x v="0"/>
    <x v="3"/>
    <x v="2"/>
    <x v="2"/>
    <x v="2"/>
    <x v="2"/>
    <x v="2"/>
    <x v="2"/>
    <x v="2"/>
    <x v="2"/>
    <x v="2"/>
    <x v="2"/>
    <x v="2"/>
    <x v="2"/>
    <x v="2"/>
    <x v="2"/>
    <x v="2"/>
    <x v="2"/>
    <x v="2"/>
    <x v="2"/>
    <n v="0"/>
    <n v="0"/>
    <n v="0"/>
    <n v="0"/>
    <n v="0"/>
    <n v="0"/>
  </r>
  <r>
    <x v="57"/>
    <x v="0"/>
    <x v="25"/>
    <x v="1"/>
    <x v="0"/>
    <x v="0"/>
    <x v="0"/>
    <x v="296"/>
    <x v="329"/>
    <x v="0"/>
    <x v="0"/>
    <x v="0"/>
    <x v="0"/>
    <x v="0"/>
    <x v="0"/>
    <x v="0"/>
    <x v="0"/>
    <x v="0"/>
    <x v="0"/>
    <x v="0"/>
    <x v="0"/>
    <x v="0"/>
    <x v="0"/>
    <x v="0"/>
    <x v="0"/>
    <x v="0"/>
    <m/>
    <m/>
    <m/>
    <m/>
    <m/>
    <m/>
  </r>
  <r>
    <x v="57"/>
    <x v="0"/>
    <x v="25"/>
    <x v="1"/>
    <x v="0"/>
    <x v="1"/>
    <x v="0"/>
    <x v="297"/>
    <x v="330"/>
    <x v="148"/>
    <x v="155"/>
    <x v="152"/>
    <x v="4"/>
    <x v="57"/>
    <x v="153"/>
    <x v="59"/>
    <x v="156"/>
    <x v="160"/>
    <x v="148"/>
    <x v="156"/>
    <x v="2"/>
    <x v="2"/>
    <x v="2"/>
    <x v="2"/>
    <x v="2"/>
    <x v="2"/>
    <n v="0"/>
    <n v="0"/>
    <n v="0"/>
    <n v="0"/>
    <n v="0"/>
    <n v="0"/>
  </r>
  <r>
    <x v="57"/>
    <x v="0"/>
    <x v="25"/>
    <x v="1"/>
    <x v="0"/>
    <x v="2"/>
    <x v="0"/>
    <x v="2"/>
    <x v="2"/>
    <x v="0"/>
    <x v="0"/>
    <x v="0"/>
    <x v="0"/>
    <x v="0"/>
    <x v="0"/>
    <x v="0"/>
    <x v="0"/>
    <x v="0"/>
    <x v="0"/>
    <x v="0"/>
    <x v="0"/>
    <x v="0"/>
    <x v="0"/>
    <x v="0"/>
    <x v="0"/>
    <x v="0"/>
    <m/>
    <m/>
    <m/>
    <m/>
    <m/>
    <m/>
  </r>
  <r>
    <x v="57"/>
    <x v="0"/>
    <x v="25"/>
    <x v="1"/>
    <x v="0"/>
    <x v="3"/>
    <x v="0"/>
    <x v="2"/>
    <x v="2"/>
    <x v="0"/>
    <x v="0"/>
    <x v="0"/>
    <x v="0"/>
    <x v="0"/>
    <x v="0"/>
    <x v="0"/>
    <x v="0"/>
    <x v="0"/>
    <x v="0"/>
    <x v="0"/>
    <x v="0"/>
    <x v="0"/>
    <x v="0"/>
    <x v="0"/>
    <x v="0"/>
    <x v="0"/>
    <m/>
    <m/>
    <m/>
    <m/>
    <m/>
    <m/>
  </r>
  <r>
    <x v="57"/>
    <x v="0"/>
    <x v="25"/>
    <x v="1"/>
    <x v="0"/>
    <x v="4"/>
    <x v="0"/>
    <x v="298"/>
    <x v="331"/>
    <x v="0"/>
    <x v="0"/>
    <x v="0"/>
    <x v="0"/>
    <x v="0"/>
    <x v="0"/>
    <x v="0"/>
    <x v="0"/>
    <x v="0"/>
    <x v="0"/>
    <x v="0"/>
    <x v="0"/>
    <x v="0"/>
    <x v="0"/>
    <x v="0"/>
    <x v="0"/>
    <x v="0"/>
    <m/>
    <m/>
    <m/>
    <m/>
    <m/>
    <m/>
  </r>
  <r>
    <x v="57"/>
    <x v="0"/>
    <x v="25"/>
    <x v="1"/>
    <x v="0"/>
    <x v="5"/>
    <x v="0"/>
    <x v="3"/>
    <x v="3"/>
    <x v="0"/>
    <x v="0"/>
    <x v="0"/>
    <x v="0"/>
    <x v="0"/>
    <x v="0"/>
    <x v="0"/>
    <x v="0"/>
    <x v="0"/>
    <x v="0"/>
    <x v="0"/>
    <x v="0"/>
    <x v="0"/>
    <x v="0"/>
    <x v="0"/>
    <x v="0"/>
    <x v="0"/>
    <m/>
    <m/>
    <m/>
    <m/>
    <m/>
    <m/>
  </r>
  <r>
    <x v="57"/>
    <x v="0"/>
    <x v="25"/>
    <x v="1"/>
    <x v="0"/>
    <x v="6"/>
    <x v="0"/>
    <x v="2"/>
    <x v="2"/>
    <x v="2"/>
    <x v="2"/>
    <x v="2"/>
    <x v="2"/>
    <x v="2"/>
    <x v="2"/>
    <x v="2"/>
    <x v="2"/>
    <x v="2"/>
    <x v="2"/>
    <x v="2"/>
    <x v="2"/>
    <x v="2"/>
    <x v="2"/>
    <x v="2"/>
    <x v="2"/>
    <x v="2"/>
    <n v="0"/>
    <n v="0"/>
    <n v="0"/>
    <n v="0"/>
    <n v="0"/>
    <n v="0"/>
  </r>
  <r>
    <x v="57"/>
    <x v="0"/>
    <x v="25"/>
    <x v="1"/>
    <x v="0"/>
    <x v="7"/>
    <x v="0"/>
    <x v="3"/>
    <x v="3"/>
    <x v="0"/>
    <x v="0"/>
    <x v="0"/>
    <x v="0"/>
    <x v="0"/>
    <x v="0"/>
    <x v="0"/>
    <x v="0"/>
    <x v="0"/>
    <x v="0"/>
    <x v="0"/>
    <x v="0"/>
    <x v="0"/>
    <x v="0"/>
    <x v="0"/>
    <x v="0"/>
    <x v="0"/>
    <m/>
    <m/>
    <m/>
    <m/>
    <m/>
    <m/>
  </r>
  <r>
    <x v="57"/>
    <x v="0"/>
    <x v="25"/>
    <x v="1"/>
    <x v="0"/>
    <x v="8"/>
    <x v="0"/>
    <x v="2"/>
    <x v="3"/>
    <x v="0"/>
    <x v="0"/>
    <x v="0"/>
    <x v="0"/>
    <x v="0"/>
    <x v="0"/>
    <x v="0"/>
    <x v="0"/>
    <x v="0"/>
    <x v="0"/>
    <x v="0"/>
    <x v="0"/>
    <x v="0"/>
    <x v="0"/>
    <x v="0"/>
    <x v="0"/>
    <x v="0"/>
    <m/>
    <m/>
    <m/>
    <m/>
    <m/>
    <m/>
  </r>
  <r>
    <x v="57"/>
    <x v="0"/>
    <x v="25"/>
    <x v="1"/>
    <x v="0"/>
    <x v="9"/>
    <x v="0"/>
    <x v="2"/>
    <x v="3"/>
    <x v="0"/>
    <x v="0"/>
    <x v="0"/>
    <x v="0"/>
    <x v="0"/>
    <x v="0"/>
    <x v="0"/>
    <x v="0"/>
    <x v="0"/>
    <x v="0"/>
    <x v="0"/>
    <x v="0"/>
    <x v="0"/>
    <x v="0"/>
    <x v="0"/>
    <x v="0"/>
    <x v="0"/>
    <m/>
    <m/>
    <m/>
    <m/>
    <m/>
    <m/>
  </r>
  <r>
    <x v="57"/>
    <x v="0"/>
    <x v="25"/>
    <x v="1"/>
    <x v="0"/>
    <x v="10"/>
    <x v="0"/>
    <x v="3"/>
    <x v="3"/>
    <x v="0"/>
    <x v="0"/>
    <x v="0"/>
    <x v="0"/>
    <x v="0"/>
    <x v="0"/>
    <x v="0"/>
    <x v="0"/>
    <x v="0"/>
    <x v="0"/>
    <x v="0"/>
    <x v="0"/>
    <x v="0"/>
    <x v="0"/>
    <x v="0"/>
    <x v="0"/>
    <x v="0"/>
    <m/>
    <m/>
    <m/>
    <m/>
    <m/>
    <m/>
  </r>
  <r>
    <x v="57"/>
    <x v="0"/>
    <x v="25"/>
    <x v="1"/>
    <x v="0"/>
    <x v="11"/>
    <x v="0"/>
    <x v="3"/>
    <x v="332"/>
    <x v="149"/>
    <x v="156"/>
    <x v="153"/>
    <x v="160"/>
    <x v="155"/>
    <x v="154"/>
    <x v="159"/>
    <x v="157"/>
    <x v="161"/>
    <x v="149"/>
    <x v="157"/>
    <x v="154"/>
    <x v="157"/>
    <x v="151"/>
    <x v="141"/>
    <x v="136"/>
    <x v="135"/>
    <n v="-1109"/>
    <n v="-1109"/>
    <n v="-1109"/>
    <n v="-1109"/>
    <n v="-1109"/>
    <n v="-1109"/>
  </r>
  <r>
    <x v="57"/>
    <x v="0"/>
    <x v="25"/>
    <x v="1"/>
    <x v="0"/>
    <x v="12"/>
    <x v="0"/>
    <x v="3"/>
    <x v="2"/>
    <x v="2"/>
    <x v="2"/>
    <x v="2"/>
    <x v="2"/>
    <x v="2"/>
    <x v="2"/>
    <x v="2"/>
    <x v="2"/>
    <x v="2"/>
    <x v="2"/>
    <x v="2"/>
    <x v="2"/>
    <x v="2"/>
    <x v="2"/>
    <x v="2"/>
    <x v="2"/>
    <x v="2"/>
    <n v="0"/>
    <n v="0"/>
    <n v="0"/>
    <n v="0"/>
    <n v="0"/>
    <n v="0"/>
  </r>
  <r>
    <x v="58"/>
    <x v="0"/>
    <x v="26"/>
    <x v="2"/>
    <x v="0"/>
    <x v="0"/>
    <x v="0"/>
    <x v="299"/>
    <x v="333"/>
    <x v="0"/>
    <x v="0"/>
    <x v="0"/>
    <x v="0"/>
    <x v="0"/>
    <x v="0"/>
    <x v="0"/>
    <x v="0"/>
    <x v="0"/>
    <x v="0"/>
    <x v="0"/>
    <x v="0"/>
    <x v="0"/>
    <x v="0"/>
    <x v="0"/>
    <x v="0"/>
    <x v="0"/>
    <m/>
    <m/>
    <m/>
    <m/>
    <m/>
    <m/>
  </r>
  <r>
    <x v="58"/>
    <x v="0"/>
    <x v="26"/>
    <x v="2"/>
    <x v="0"/>
    <x v="1"/>
    <x v="0"/>
    <x v="300"/>
    <x v="334"/>
    <x v="150"/>
    <x v="157"/>
    <x v="154"/>
    <x v="161"/>
    <x v="88"/>
    <x v="155"/>
    <x v="160"/>
    <x v="158"/>
    <x v="162"/>
    <x v="150"/>
    <x v="158"/>
    <x v="155"/>
    <x v="158"/>
    <x v="152"/>
    <x v="142"/>
    <x v="137"/>
    <x v="136"/>
    <n v="187.5"/>
    <n v="185.5"/>
    <n v="360"/>
    <n v="182"/>
    <n v="178.5"/>
    <n v="179"/>
  </r>
  <r>
    <x v="58"/>
    <x v="0"/>
    <x v="26"/>
    <x v="2"/>
    <x v="0"/>
    <x v="2"/>
    <x v="0"/>
    <x v="301"/>
    <x v="335"/>
    <x v="0"/>
    <x v="0"/>
    <x v="0"/>
    <x v="0"/>
    <x v="0"/>
    <x v="0"/>
    <x v="0"/>
    <x v="0"/>
    <x v="0"/>
    <x v="0"/>
    <x v="0"/>
    <x v="0"/>
    <x v="0"/>
    <x v="0"/>
    <x v="0"/>
    <x v="0"/>
    <x v="0"/>
    <m/>
    <m/>
    <m/>
    <m/>
    <m/>
    <m/>
  </r>
  <r>
    <x v="58"/>
    <x v="0"/>
    <x v="26"/>
    <x v="2"/>
    <x v="0"/>
    <x v="3"/>
    <x v="0"/>
    <x v="2"/>
    <x v="2"/>
    <x v="0"/>
    <x v="0"/>
    <x v="0"/>
    <x v="0"/>
    <x v="0"/>
    <x v="0"/>
    <x v="0"/>
    <x v="0"/>
    <x v="0"/>
    <x v="0"/>
    <x v="0"/>
    <x v="0"/>
    <x v="0"/>
    <x v="0"/>
    <x v="0"/>
    <x v="0"/>
    <x v="0"/>
    <m/>
    <m/>
    <m/>
    <m/>
    <m/>
    <m/>
  </r>
  <r>
    <x v="58"/>
    <x v="0"/>
    <x v="26"/>
    <x v="2"/>
    <x v="0"/>
    <x v="4"/>
    <x v="0"/>
    <x v="302"/>
    <x v="336"/>
    <x v="0"/>
    <x v="0"/>
    <x v="0"/>
    <x v="0"/>
    <x v="0"/>
    <x v="0"/>
    <x v="0"/>
    <x v="0"/>
    <x v="0"/>
    <x v="0"/>
    <x v="0"/>
    <x v="0"/>
    <x v="0"/>
    <x v="0"/>
    <x v="0"/>
    <x v="0"/>
    <x v="0"/>
    <m/>
    <m/>
    <m/>
    <m/>
    <m/>
    <m/>
  </r>
  <r>
    <x v="58"/>
    <x v="0"/>
    <x v="26"/>
    <x v="2"/>
    <x v="0"/>
    <x v="5"/>
    <x v="0"/>
    <x v="3"/>
    <x v="3"/>
    <x v="0"/>
    <x v="0"/>
    <x v="0"/>
    <x v="0"/>
    <x v="0"/>
    <x v="0"/>
    <x v="0"/>
    <x v="0"/>
    <x v="0"/>
    <x v="0"/>
    <x v="0"/>
    <x v="0"/>
    <x v="0"/>
    <x v="0"/>
    <x v="0"/>
    <x v="0"/>
    <x v="0"/>
    <m/>
    <m/>
    <m/>
    <m/>
    <m/>
    <m/>
  </r>
  <r>
    <x v="58"/>
    <x v="0"/>
    <x v="26"/>
    <x v="2"/>
    <x v="0"/>
    <x v="6"/>
    <x v="0"/>
    <x v="303"/>
    <x v="2"/>
    <x v="2"/>
    <x v="2"/>
    <x v="155"/>
    <x v="2"/>
    <x v="2"/>
    <x v="2"/>
    <x v="2"/>
    <x v="2"/>
    <x v="2"/>
    <x v="2"/>
    <x v="159"/>
    <x v="2"/>
    <x v="2"/>
    <x v="2"/>
    <x v="2"/>
    <x v="2"/>
    <x v="2"/>
    <n v="0"/>
    <n v="0"/>
    <n v="0"/>
    <n v="0"/>
    <n v="0"/>
    <n v="0"/>
  </r>
  <r>
    <x v="58"/>
    <x v="0"/>
    <x v="26"/>
    <x v="2"/>
    <x v="0"/>
    <x v="7"/>
    <x v="0"/>
    <x v="303"/>
    <x v="3"/>
    <x v="0"/>
    <x v="0"/>
    <x v="155"/>
    <x v="0"/>
    <x v="0"/>
    <x v="0"/>
    <x v="0"/>
    <x v="0"/>
    <x v="0"/>
    <x v="0"/>
    <x v="159"/>
    <x v="0"/>
    <x v="0"/>
    <x v="0"/>
    <x v="0"/>
    <x v="0"/>
    <x v="0"/>
    <m/>
    <m/>
    <m/>
    <m/>
    <m/>
    <m/>
  </r>
  <r>
    <x v="58"/>
    <x v="0"/>
    <x v="26"/>
    <x v="2"/>
    <x v="0"/>
    <x v="8"/>
    <x v="0"/>
    <x v="2"/>
    <x v="3"/>
    <x v="0"/>
    <x v="0"/>
    <x v="0"/>
    <x v="0"/>
    <x v="0"/>
    <x v="0"/>
    <x v="0"/>
    <x v="0"/>
    <x v="0"/>
    <x v="0"/>
    <x v="0"/>
    <x v="0"/>
    <x v="0"/>
    <x v="0"/>
    <x v="0"/>
    <x v="0"/>
    <x v="0"/>
    <m/>
    <m/>
    <m/>
    <m/>
    <m/>
    <m/>
  </r>
  <r>
    <x v="58"/>
    <x v="0"/>
    <x v="26"/>
    <x v="2"/>
    <x v="0"/>
    <x v="9"/>
    <x v="0"/>
    <x v="2"/>
    <x v="3"/>
    <x v="0"/>
    <x v="0"/>
    <x v="0"/>
    <x v="0"/>
    <x v="0"/>
    <x v="0"/>
    <x v="0"/>
    <x v="0"/>
    <x v="0"/>
    <x v="0"/>
    <x v="0"/>
    <x v="0"/>
    <x v="0"/>
    <x v="0"/>
    <x v="0"/>
    <x v="0"/>
    <x v="0"/>
    <m/>
    <m/>
    <m/>
    <m/>
    <m/>
    <m/>
  </r>
  <r>
    <x v="58"/>
    <x v="0"/>
    <x v="26"/>
    <x v="2"/>
    <x v="0"/>
    <x v="10"/>
    <x v="0"/>
    <x v="303"/>
    <x v="3"/>
    <x v="0"/>
    <x v="0"/>
    <x v="155"/>
    <x v="0"/>
    <x v="0"/>
    <x v="0"/>
    <x v="0"/>
    <x v="0"/>
    <x v="0"/>
    <x v="0"/>
    <x v="159"/>
    <x v="0"/>
    <x v="0"/>
    <x v="0"/>
    <x v="0"/>
    <x v="0"/>
    <x v="0"/>
    <m/>
    <m/>
    <m/>
    <m/>
    <m/>
    <m/>
  </r>
  <r>
    <x v="58"/>
    <x v="0"/>
    <x v="26"/>
    <x v="2"/>
    <x v="0"/>
    <x v="11"/>
    <x v="0"/>
    <x v="3"/>
    <x v="337"/>
    <x v="151"/>
    <x v="158"/>
    <x v="156"/>
    <x v="162"/>
    <x v="156"/>
    <x v="156"/>
    <x v="161"/>
    <x v="159"/>
    <x v="163"/>
    <x v="151"/>
    <x v="160"/>
    <x v="156"/>
    <x v="159"/>
    <x v="153"/>
    <x v="143"/>
    <x v="138"/>
    <x v="137"/>
    <n v="7087.5"/>
    <n v="6902"/>
    <n v="6542"/>
    <n v="6360"/>
    <n v="6181.5"/>
    <n v="6002.5"/>
  </r>
  <r>
    <x v="58"/>
    <x v="0"/>
    <x v="26"/>
    <x v="2"/>
    <x v="0"/>
    <x v="12"/>
    <x v="0"/>
    <x v="3"/>
    <x v="2"/>
    <x v="2"/>
    <x v="2"/>
    <x v="2"/>
    <x v="2"/>
    <x v="2"/>
    <x v="2"/>
    <x v="2"/>
    <x v="2"/>
    <x v="2"/>
    <x v="2"/>
    <x v="2"/>
    <x v="2"/>
    <x v="2"/>
    <x v="2"/>
    <x v="2"/>
    <x v="2"/>
    <x v="2"/>
    <n v="0"/>
    <n v="0"/>
    <n v="0"/>
    <n v="0"/>
    <n v="0"/>
    <n v="0"/>
  </r>
  <r>
    <x v="59"/>
    <x v="0"/>
    <x v="26"/>
    <x v="1"/>
    <x v="0"/>
    <x v="0"/>
    <x v="0"/>
    <x v="299"/>
    <x v="333"/>
    <x v="0"/>
    <x v="0"/>
    <x v="0"/>
    <x v="0"/>
    <x v="0"/>
    <x v="0"/>
    <x v="0"/>
    <x v="0"/>
    <x v="0"/>
    <x v="0"/>
    <x v="0"/>
    <x v="0"/>
    <x v="0"/>
    <x v="0"/>
    <x v="0"/>
    <x v="0"/>
    <x v="0"/>
    <m/>
    <m/>
    <m/>
    <m/>
    <m/>
    <m/>
  </r>
  <r>
    <x v="59"/>
    <x v="0"/>
    <x v="26"/>
    <x v="1"/>
    <x v="0"/>
    <x v="1"/>
    <x v="0"/>
    <x v="300"/>
    <x v="334"/>
    <x v="150"/>
    <x v="157"/>
    <x v="154"/>
    <x v="161"/>
    <x v="88"/>
    <x v="155"/>
    <x v="160"/>
    <x v="158"/>
    <x v="162"/>
    <x v="150"/>
    <x v="158"/>
    <x v="155"/>
    <x v="158"/>
    <x v="152"/>
    <x v="142"/>
    <x v="137"/>
    <x v="136"/>
    <n v="187.5"/>
    <n v="185.5"/>
    <n v="360"/>
    <n v="182"/>
    <n v="178.5"/>
    <n v="179"/>
  </r>
  <r>
    <x v="59"/>
    <x v="0"/>
    <x v="26"/>
    <x v="1"/>
    <x v="0"/>
    <x v="2"/>
    <x v="0"/>
    <x v="2"/>
    <x v="2"/>
    <x v="0"/>
    <x v="0"/>
    <x v="0"/>
    <x v="0"/>
    <x v="0"/>
    <x v="0"/>
    <x v="0"/>
    <x v="0"/>
    <x v="0"/>
    <x v="0"/>
    <x v="0"/>
    <x v="0"/>
    <x v="0"/>
    <x v="0"/>
    <x v="0"/>
    <x v="0"/>
    <x v="0"/>
    <m/>
    <m/>
    <m/>
    <m/>
    <m/>
    <m/>
  </r>
  <r>
    <x v="59"/>
    <x v="0"/>
    <x v="26"/>
    <x v="1"/>
    <x v="0"/>
    <x v="3"/>
    <x v="0"/>
    <x v="2"/>
    <x v="2"/>
    <x v="0"/>
    <x v="0"/>
    <x v="0"/>
    <x v="0"/>
    <x v="0"/>
    <x v="0"/>
    <x v="0"/>
    <x v="0"/>
    <x v="0"/>
    <x v="0"/>
    <x v="0"/>
    <x v="0"/>
    <x v="0"/>
    <x v="0"/>
    <x v="0"/>
    <x v="0"/>
    <x v="0"/>
    <m/>
    <m/>
    <m/>
    <m/>
    <m/>
    <m/>
  </r>
  <r>
    <x v="59"/>
    <x v="0"/>
    <x v="26"/>
    <x v="1"/>
    <x v="0"/>
    <x v="4"/>
    <x v="0"/>
    <x v="2"/>
    <x v="2"/>
    <x v="0"/>
    <x v="0"/>
    <x v="0"/>
    <x v="0"/>
    <x v="0"/>
    <x v="0"/>
    <x v="0"/>
    <x v="0"/>
    <x v="0"/>
    <x v="0"/>
    <x v="0"/>
    <x v="0"/>
    <x v="0"/>
    <x v="0"/>
    <x v="0"/>
    <x v="0"/>
    <x v="0"/>
    <m/>
    <m/>
    <m/>
    <m/>
    <m/>
    <m/>
  </r>
  <r>
    <x v="59"/>
    <x v="0"/>
    <x v="26"/>
    <x v="1"/>
    <x v="0"/>
    <x v="5"/>
    <x v="0"/>
    <x v="3"/>
    <x v="3"/>
    <x v="0"/>
    <x v="0"/>
    <x v="0"/>
    <x v="0"/>
    <x v="0"/>
    <x v="0"/>
    <x v="0"/>
    <x v="0"/>
    <x v="0"/>
    <x v="0"/>
    <x v="0"/>
    <x v="0"/>
    <x v="0"/>
    <x v="0"/>
    <x v="0"/>
    <x v="0"/>
    <x v="0"/>
    <m/>
    <m/>
    <m/>
    <m/>
    <m/>
    <m/>
  </r>
  <r>
    <x v="59"/>
    <x v="0"/>
    <x v="26"/>
    <x v="1"/>
    <x v="0"/>
    <x v="6"/>
    <x v="0"/>
    <x v="2"/>
    <x v="2"/>
    <x v="2"/>
    <x v="2"/>
    <x v="2"/>
    <x v="2"/>
    <x v="2"/>
    <x v="2"/>
    <x v="2"/>
    <x v="2"/>
    <x v="2"/>
    <x v="2"/>
    <x v="2"/>
    <x v="2"/>
    <x v="2"/>
    <x v="2"/>
    <x v="2"/>
    <x v="2"/>
    <x v="2"/>
    <n v="0"/>
    <n v="0"/>
    <n v="0"/>
    <n v="0"/>
    <n v="0"/>
    <n v="0"/>
  </r>
  <r>
    <x v="59"/>
    <x v="0"/>
    <x v="26"/>
    <x v="1"/>
    <x v="0"/>
    <x v="7"/>
    <x v="0"/>
    <x v="3"/>
    <x v="3"/>
    <x v="0"/>
    <x v="0"/>
    <x v="0"/>
    <x v="0"/>
    <x v="0"/>
    <x v="0"/>
    <x v="0"/>
    <x v="0"/>
    <x v="0"/>
    <x v="0"/>
    <x v="0"/>
    <x v="0"/>
    <x v="0"/>
    <x v="0"/>
    <x v="0"/>
    <x v="0"/>
    <x v="0"/>
    <m/>
    <m/>
    <m/>
    <m/>
    <m/>
    <m/>
  </r>
  <r>
    <x v="59"/>
    <x v="0"/>
    <x v="26"/>
    <x v="1"/>
    <x v="0"/>
    <x v="8"/>
    <x v="0"/>
    <x v="2"/>
    <x v="3"/>
    <x v="0"/>
    <x v="0"/>
    <x v="0"/>
    <x v="0"/>
    <x v="0"/>
    <x v="0"/>
    <x v="0"/>
    <x v="0"/>
    <x v="0"/>
    <x v="0"/>
    <x v="0"/>
    <x v="0"/>
    <x v="0"/>
    <x v="0"/>
    <x v="0"/>
    <x v="0"/>
    <x v="0"/>
    <m/>
    <m/>
    <m/>
    <m/>
    <m/>
    <m/>
  </r>
  <r>
    <x v="59"/>
    <x v="0"/>
    <x v="26"/>
    <x v="1"/>
    <x v="0"/>
    <x v="9"/>
    <x v="0"/>
    <x v="2"/>
    <x v="3"/>
    <x v="0"/>
    <x v="0"/>
    <x v="0"/>
    <x v="0"/>
    <x v="0"/>
    <x v="0"/>
    <x v="0"/>
    <x v="0"/>
    <x v="0"/>
    <x v="0"/>
    <x v="0"/>
    <x v="0"/>
    <x v="0"/>
    <x v="0"/>
    <x v="0"/>
    <x v="0"/>
    <x v="0"/>
    <m/>
    <m/>
    <m/>
    <m/>
    <m/>
    <m/>
  </r>
  <r>
    <x v="59"/>
    <x v="0"/>
    <x v="26"/>
    <x v="1"/>
    <x v="0"/>
    <x v="10"/>
    <x v="0"/>
    <x v="3"/>
    <x v="3"/>
    <x v="0"/>
    <x v="0"/>
    <x v="0"/>
    <x v="0"/>
    <x v="0"/>
    <x v="0"/>
    <x v="0"/>
    <x v="0"/>
    <x v="0"/>
    <x v="0"/>
    <x v="0"/>
    <x v="0"/>
    <x v="0"/>
    <x v="0"/>
    <x v="0"/>
    <x v="0"/>
    <x v="0"/>
    <m/>
    <m/>
    <m/>
    <m/>
    <m/>
    <m/>
  </r>
  <r>
    <x v="59"/>
    <x v="0"/>
    <x v="26"/>
    <x v="1"/>
    <x v="0"/>
    <x v="11"/>
    <x v="0"/>
    <x v="3"/>
    <x v="338"/>
    <x v="152"/>
    <x v="159"/>
    <x v="157"/>
    <x v="163"/>
    <x v="157"/>
    <x v="157"/>
    <x v="162"/>
    <x v="160"/>
    <x v="164"/>
    <x v="152"/>
    <x v="161"/>
    <x v="157"/>
    <x v="160"/>
    <x v="154"/>
    <x v="144"/>
    <x v="139"/>
    <x v="138"/>
    <n v="-5671.5"/>
    <n v="-5857"/>
    <n v="-6217"/>
    <n v="-6399"/>
    <n v="-6577.5"/>
    <n v="-6756.5"/>
  </r>
  <r>
    <x v="59"/>
    <x v="0"/>
    <x v="26"/>
    <x v="1"/>
    <x v="0"/>
    <x v="12"/>
    <x v="0"/>
    <x v="3"/>
    <x v="2"/>
    <x v="2"/>
    <x v="2"/>
    <x v="2"/>
    <x v="2"/>
    <x v="2"/>
    <x v="2"/>
    <x v="2"/>
    <x v="2"/>
    <x v="2"/>
    <x v="2"/>
    <x v="2"/>
    <x v="2"/>
    <x v="2"/>
    <x v="2"/>
    <x v="2"/>
    <x v="2"/>
    <x v="2"/>
    <n v="0"/>
    <n v="0"/>
    <n v="0"/>
    <n v="0"/>
    <n v="0"/>
    <n v="0"/>
  </r>
  <r>
    <x v="60"/>
    <x v="0"/>
    <x v="27"/>
    <x v="2"/>
    <x v="1"/>
    <x v="0"/>
    <x v="0"/>
    <x v="304"/>
    <x v="339"/>
    <x v="0"/>
    <x v="0"/>
    <x v="0"/>
    <x v="0"/>
    <x v="0"/>
    <x v="0"/>
    <x v="0"/>
    <x v="0"/>
    <x v="0"/>
    <x v="0"/>
    <x v="0"/>
    <x v="0"/>
    <x v="0"/>
    <x v="0"/>
    <x v="0"/>
    <x v="0"/>
    <x v="0"/>
    <m/>
    <m/>
    <m/>
    <m/>
    <m/>
    <m/>
  </r>
  <r>
    <x v="60"/>
    <x v="0"/>
    <x v="27"/>
    <x v="2"/>
    <x v="1"/>
    <x v="1"/>
    <x v="0"/>
    <x v="305"/>
    <x v="340"/>
    <x v="153"/>
    <x v="160"/>
    <x v="158"/>
    <x v="164"/>
    <x v="158"/>
    <x v="158"/>
    <x v="163"/>
    <x v="161"/>
    <x v="165"/>
    <x v="153"/>
    <x v="162"/>
    <x v="158"/>
    <x v="161"/>
    <x v="155"/>
    <x v="145"/>
    <x v="140"/>
    <x v="139"/>
    <n v="445"/>
    <n v="394"/>
    <n v="356"/>
    <n v="282"/>
    <n v="322"/>
    <n v="309"/>
  </r>
  <r>
    <x v="60"/>
    <x v="0"/>
    <x v="27"/>
    <x v="2"/>
    <x v="1"/>
    <x v="2"/>
    <x v="0"/>
    <x v="306"/>
    <x v="341"/>
    <x v="0"/>
    <x v="0"/>
    <x v="0"/>
    <x v="0"/>
    <x v="0"/>
    <x v="0"/>
    <x v="0"/>
    <x v="0"/>
    <x v="0"/>
    <x v="0"/>
    <x v="0"/>
    <x v="0"/>
    <x v="0"/>
    <x v="0"/>
    <x v="0"/>
    <x v="0"/>
    <x v="0"/>
    <m/>
    <m/>
    <m/>
    <m/>
    <m/>
    <m/>
  </r>
  <r>
    <x v="60"/>
    <x v="0"/>
    <x v="27"/>
    <x v="2"/>
    <x v="1"/>
    <x v="3"/>
    <x v="0"/>
    <x v="2"/>
    <x v="2"/>
    <x v="0"/>
    <x v="0"/>
    <x v="0"/>
    <x v="0"/>
    <x v="0"/>
    <x v="0"/>
    <x v="0"/>
    <x v="0"/>
    <x v="0"/>
    <x v="0"/>
    <x v="0"/>
    <x v="0"/>
    <x v="0"/>
    <x v="0"/>
    <x v="0"/>
    <x v="0"/>
    <x v="0"/>
    <m/>
    <m/>
    <m/>
    <m/>
    <m/>
    <m/>
  </r>
  <r>
    <x v="60"/>
    <x v="0"/>
    <x v="27"/>
    <x v="2"/>
    <x v="1"/>
    <x v="4"/>
    <x v="0"/>
    <x v="307"/>
    <x v="342"/>
    <x v="0"/>
    <x v="0"/>
    <x v="0"/>
    <x v="0"/>
    <x v="0"/>
    <x v="0"/>
    <x v="0"/>
    <x v="0"/>
    <x v="0"/>
    <x v="0"/>
    <x v="0"/>
    <x v="0"/>
    <x v="0"/>
    <x v="0"/>
    <x v="0"/>
    <x v="0"/>
    <x v="0"/>
    <m/>
    <m/>
    <m/>
    <m/>
    <m/>
    <m/>
  </r>
  <r>
    <x v="60"/>
    <x v="0"/>
    <x v="27"/>
    <x v="2"/>
    <x v="1"/>
    <x v="5"/>
    <x v="0"/>
    <x v="3"/>
    <x v="3"/>
    <x v="0"/>
    <x v="0"/>
    <x v="0"/>
    <x v="0"/>
    <x v="0"/>
    <x v="0"/>
    <x v="0"/>
    <x v="0"/>
    <x v="0"/>
    <x v="0"/>
    <x v="0"/>
    <x v="0"/>
    <x v="0"/>
    <x v="0"/>
    <x v="0"/>
    <x v="0"/>
    <x v="0"/>
    <m/>
    <m/>
    <m/>
    <m/>
    <m/>
    <m/>
  </r>
  <r>
    <x v="60"/>
    <x v="0"/>
    <x v="27"/>
    <x v="2"/>
    <x v="1"/>
    <x v="6"/>
    <x v="0"/>
    <x v="2"/>
    <x v="2"/>
    <x v="2"/>
    <x v="2"/>
    <x v="2"/>
    <x v="2"/>
    <x v="2"/>
    <x v="2"/>
    <x v="2"/>
    <x v="2"/>
    <x v="2"/>
    <x v="2"/>
    <x v="2"/>
    <x v="2"/>
    <x v="2"/>
    <x v="2"/>
    <x v="2"/>
    <x v="2"/>
    <x v="2"/>
    <n v="0"/>
    <n v="0"/>
    <n v="0"/>
    <n v="0"/>
    <n v="0"/>
    <n v="0"/>
  </r>
  <r>
    <x v="60"/>
    <x v="0"/>
    <x v="27"/>
    <x v="2"/>
    <x v="1"/>
    <x v="7"/>
    <x v="0"/>
    <x v="3"/>
    <x v="3"/>
    <x v="0"/>
    <x v="0"/>
    <x v="0"/>
    <x v="0"/>
    <x v="0"/>
    <x v="0"/>
    <x v="0"/>
    <x v="0"/>
    <x v="0"/>
    <x v="0"/>
    <x v="0"/>
    <x v="0"/>
    <x v="0"/>
    <x v="0"/>
    <x v="0"/>
    <x v="0"/>
    <x v="0"/>
    <m/>
    <m/>
    <m/>
    <m/>
    <m/>
    <m/>
  </r>
  <r>
    <x v="60"/>
    <x v="0"/>
    <x v="27"/>
    <x v="2"/>
    <x v="1"/>
    <x v="8"/>
    <x v="0"/>
    <x v="2"/>
    <x v="3"/>
    <x v="0"/>
    <x v="0"/>
    <x v="0"/>
    <x v="0"/>
    <x v="0"/>
    <x v="0"/>
    <x v="0"/>
    <x v="0"/>
    <x v="0"/>
    <x v="0"/>
    <x v="0"/>
    <x v="0"/>
    <x v="0"/>
    <x v="0"/>
    <x v="0"/>
    <x v="0"/>
    <x v="0"/>
    <m/>
    <m/>
    <m/>
    <m/>
    <m/>
    <m/>
  </r>
  <r>
    <x v="60"/>
    <x v="0"/>
    <x v="27"/>
    <x v="2"/>
    <x v="1"/>
    <x v="9"/>
    <x v="0"/>
    <x v="2"/>
    <x v="3"/>
    <x v="0"/>
    <x v="0"/>
    <x v="0"/>
    <x v="0"/>
    <x v="0"/>
    <x v="0"/>
    <x v="0"/>
    <x v="0"/>
    <x v="0"/>
    <x v="0"/>
    <x v="0"/>
    <x v="0"/>
    <x v="0"/>
    <x v="0"/>
    <x v="0"/>
    <x v="0"/>
    <x v="0"/>
    <m/>
    <m/>
    <m/>
    <m/>
    <m/>
    <m/>
  </r>
  <r>
    <x v="60"/>
    <x v="0"/>
    <x v="27"/>
    <x v="2"/>
    <x v="1"/>
    <x v="10"/>
    <x v="0"/>
    <x v="3"/>
    <x v="3"/>
    <x v="0"/>
    <x v="0"/>
    <x v="0"/>
    <x v="0"/>
    <x v="0"/>
    <x v="0"/>
    <x v="0"/>
    <x v="0"/>
    <x v="0"/>
    <x v="0"/>
    <x v="0"/>
    <x v="0"/>
    <x v="0"/>
    <x v="0"/>
    <x v="0"/>
    <x v="0"/>
    <x v="0"/>
    <m/>
    <m/>
    <m/>
    <m/>
    <m/>
    <m/>
  </r>
  <r>
    <x v="60"/>
    <x v="0"/>
    <x v="27"/>
    <x v="2"/>
    <x v="1"/>
    <x v="11"/>
    <x v="0"/>
    <x v="3"/>
    <x v="343"/>
    <x v="154"/>
    <x v="161"/>
    <x v="159"/>
    <x v="165"/>
    <x v="159"/>
    <x v="159"/>
    <x v="164"/>
    <x v="162"/>
    <x v="166"/>
    <x v="154"/>
    <x v="163"/>
    <x v="159"/>
    <x v="162"/>
    <x v="156"/>
    <x v="146"/>
    <x v="141"/>
    <x v="140"/>
    <n v="-11503"/>
    <n v="-11897"/>
    <n v="-12253"/>
    <n v="-12535"/>
    <n v="-12857"/>
    <n v="-13166"/>
  </r>
  <r>
    <x v="60"/>
    <x v="0"/>
    <x v="27"/>
    <x v="2"/>
    <x v="1"/>
    <x v="12"/>
    <x v="0"/>
    <x v="3"/>
    <x v="2"/>
    <x v="2"/>
    <x v="2"/>
    <x v="2"/>
    <x v="2"/>
    <x v="2"/>
    <x v="2"/>
    <x v="2"/>
    <x v="2"/>
    <x v="2"/>
    <x v="2"/>
    <x v="2"/>
    <x v="2"/>
    <x v="2"/>
    <x v="2"/>
    <x v="2"/>
    <x v="2"/>
    <x v="2"/>
    <n v="0"/>
    <n v="0"/>
    <n v="0"/>
    <n v="0"/>
    <n v="0"/>
    <n v="0"/>
  </r>
  <r>
    <x v="60"/>
    <x v="0"/>
    <x v="27"/>
    <x v="2"/>
    <x v="0"/>
    <x v="0"/>
    <x v="0"/>
    <x v="308"/>
    <x v="344"/>
    <x v="0"/>
    <x v="0"/>
    <x v="0"/>
    <x v="0"/>
    <x v="0"/>
    <x v="0"/>
    <x v="0"/>
    <x v="0"/>
    <x v="0"/>
    <x v="0"/>
    <x v="0"/>
    <x v="0"/>
    <x v="0"/>
    <x v="0"/>
    <x v="0"/>
    <x v="0"/>
    <x v="0"/>
    <m/>
    <m/>
    <m/>
    <m/>
    <m/>
    <m/>
  </r>
  <r>
    <x v="60"/>
    <x v="0"/>
    <x v="27"/>
    <x v="2"/>
    <x v="0"/>
    <x v="1"/>
    <x v="0"/>
    <x v="309"/>
    <x v="345"/>
    <x v="155"/>
    <x v="162"/>
    <x v="160"/>
    <x v="166"/>
    <x v="160"/>
    <x v="160"/>
    <x v="165"/>
    <x v="163"/>
    <x v="167"/>
    <x v="155"/>
    <x v="164"/>
    <x v="160"/>
    <x v="163"/>
    <x v="157"/>
    <x v="100"/>
    <x v="142"/>
    <x v="141"/>
    <n v="1442"/>
    <n v="1412"/>
    <n v="1333"/>
    <n v="992"/>
    <n v="886"/>
    <n v="856"/>
  </r>
  <r>
    <x v="60"/>
    <x v="0"/>
    <x v="27"/>
    <x v="2"/>
    <x v="0"/>
    <x v="2"/>
    <x v="0"/>
    <x v="310"/>
    <x v="346"/>
    <x v="0"/>
    <x v="0"/>
    <x v="0"/>
    <x v="0"/>
    <x v="0"/>
    <x v="0"/>
    <x v="0"/>
    <x v="0"/>
    <x v="0"/>
    <x v="0"/>
    <x v="0"/>
    <x v="0"/>
    <x v="0"/>
    <x v="0"/>
    <x v="0"/>
    <x v="0"/>
    <x v="0"/>
    <m/>
    <m/>
    <m/>
    <m/>
    <m/>
    <m/>
  </r>
  <r>
    <x v="60"/>
    <x v="0"/>
    <x v="27"/>
    <x v="2"/>
    <x v="0"/>
    <x v="3"/>
    <x v="0"/>
    <x v="2"/>
    <x v="2"/>
    <x v="0"/>
    <x v="0"/>
    <x v="0"/>
    <x v="0"/>
    <x v="0"/>
    <x v="0"/>
    <x v="0"/>
    <x v="0"/>
    <x v="0"/>
    <x v="0"/>
    <x v="0"/>
    <x v="0"/>
    <x v="0"/>
    <x v="0"/>
    <x v="0"/>
    <x v="0"/>
    <x v="0"/>
    <m/>
    <m/>
    <m/>
    <m/>
    <m/>
    <m/>
  </r>
  <r>
    <x v="60"/>
    <x v="0"/>
    <x v="27"/>
    <x v="2"/>
    <x v="0"/>
    <x v="4"/>
    <x v="0"/>
    <x v="311"/>
    <x v="347"/>
    <x v="0"/>
    <x v="0"/>
    <x v="0"/>
    <x v="0"/>
    <x v="0"/>
    <x v="0"/>
    <x v="0"/>
    <x v="0"/>
    <x v="0"/>
    <x v="0"/>
    <x v="0"/>
    <x v="0"/>
    <x v="0"/>
    <x v="0"/>
    <x v="0"/>
    <x v="0"/>
    <x v="0"/>
    <m/>
    <m/>
    <m/>
    <m/>
    <m/>
    <m/>
  </r>
  <r>
    <x v="60"/>
    <x v="0"/>
    <x v="27"/>
    <x v="2"/>
    <x v="0"/>
    <x v="5"/>
    <x v="0"/>
    <x v="3"/>
    <x v="3"/>
    <x v="0"/>
    <x v="0"/>
    <x v="0"/>
    <x v="0"/>
    <x v="0"/>
    <x v="0"/>
    <x v="0"/>
    <x v="0"/>
    <x v="0"/>
    <x v="0"/>
    <x v="0"/>
    <x v="0"/>
    <x v="0"/>
    <x v="0"/>
    <x v="0"/>
    <x v="0"/>
    <x v="0"/>
    <m/>
    <m/>
    <m/>
    <m/>
    <m/>
    <m/>
  </r>
  <r>
    <x v="60"/>
    <x v="0"/>
    <x v="27"/>
    <x v="2"/>
    <x v="0"/>
    <x v="6"/>
    <x v="0"/>
    <x v="312"/>
    <x v="348"/>
    <x v="2"/>
    <x v="163"/>
    <x v="161"/>
    <x v="167"/>
    <x v="2"/>
    <x v="161"/>
    <x v="166"/>
    <x v="164"/>
    <x v="2"/>
    <x v="156"/>
    <x v="165"/>
    <x v="161"/>
    <x v="164"/>
    <x v="2"/>
    <x v="2"/>
    <x v="2"/>
    <x v="2"/>
    <n v="0"/>
    <n v="0"/>
    <n v="0"/>
    <n v="0"/>
    <n v="0"/>
    <n v="0"/>
  </r>
  <r>
    <x v="60"/>
    <x v="0"/>
    <x v="27"/>
    <x v="2"/>
    <x v="0"/>
    <x v="7"/>
    <x v="0"/>
    <x v="312"/>
    <x v="348"/>
    <x v="0"/>
    <x v="163"/>
    <x v="161"/>
    <x v="167"/>
    <x v="0"/>
    <x v="161"/>
    <x v="166"/>
    <x v="164"/>
    <x v="0"/>
    <x v="156"/>
    <x v="165"/>
    <x v="161"/>
    <x v="164"/>
    <x v="0"/>
    <x v="0"/>
    <x v="0"/>
    <x v="0"/>
    <m/>
    <m/>
    <m/>
    <m/>
    <m/>
    <m/>
  </r>
  <r>
    <x v="60"/>
    <x v="0"/>
    <x v="27"/>
    <x v="2"/>
    <x v="0"/>
    <x v="8"/>
    <x v="0"/>
    <x v="2"/>
    <x v="3"/>
    <x v="0"/>
    <x v="0"/>
    <x v="0"/>
    <x v="0"/>
    <x v="0"/>
    <x v="0"/>
    <x v="0"/>
    <x v="0"/>
    <x v="0"/>
    <x v="0"/>
    <x v="0"/>
    <x v="0"/>
    <x v="0"/>
    <x v="0"/>
    <x v="0"/>
    <x v="0"/>
    <x v="0"/>
    <m/>
    <m/>
    <m/>
    <m/>
    <m/>
    <m/>
  </r>
  <r>
    <x v="60"/>
    <x v="0"/>
    <x v="27"/>
    <x v="2"/>
    <x v="0"/>
    <x v="9"/>
    <x v="0"/>
    <x v="2"/>
    <x v="3"/>
    <x v="0"/>
    <x v="0"/>
    <x v="0"/>
    <x v="0"/>
    <x v="0"/>
    <x v="0"/>
    <x v="0"/>
    <x v="0"/>
    <x v="0"/>
    <x v="0"/>
    <x v="0"/>
    <x v="0"/>
    <x v="0"/>
    <x v="0"/>
    <x v="0"/>
    <x v="0"/>
    <x v="0"/>
    <m/>
    <m/>
    <m/>
    <m/>
    <m/>
    <m/>
  </r>
  <r>
    <x v="60"/>
    <x v="0"/>
    <x v="27"/>
    <x v="2"/>
    <x v="0"/>
    <x v="10"/>
    <x v="0"/>
    <x v="312"/>
    <x v="348"/>
    <x v="0"/>
    <x v="163"/>
    <x v="161"/>
    <x v="167"/>
    <x v="0"/>
    <x v="161"/>
    <x v="166"/>
    <x v="164"/>
    <x v="0"/>
    <x v="156"/>
    <x v="165"/>
    <x v="161"/>
    <x v="164"/>
    <x v="0"/>
    <x v="0"/>
    <x v="0"/>
    <x v="0"/>
    <m/>
    <m/>
    <m/>
    <m/>
    <m/>
    <m/>
  </r>
  <r>
    <x v="60"/>
    <x v="0"/>
    <x v="27"/>
    <x v="2"/>
    <x v="0"/>
    <x v="11"/>
    <x v="0"/>
    <x v="3"/>
    <x v="349"/>
    <x v="156"/>
    <x v="164"/>
    <x v="162"/>
    <x v="168"/>
    <x v="161"/>
    <x v="162"/>
    <x v="167"/>
    <x v="165"/>
    <x v="168"/>
    <x v="157"/>
    <x v="166"/>
    <x v="162"/>
    <x v="165"/>
    <x v="158"/>
    <x v="147"/>
    <x v="143"/>
    <x v="142"/>
    <n v="-133313"/>
    <n v="-134725"/>
    <n v="-136058"/>
    <n v="-137050"/>
    <n v="-137936"/>
    <n v="-138792"/>
  </r>
  <r>
    <x v="60"/>
    <x v="0"/>
    <x v="27"/>
    <x v="2"/>
    <x v="0"/>
    <x v="12"/>
    <x v="0"/>
    <x v="3"/>
    <x v="2"/>
    <x v="2"/>
    <x v="2"/>
    <x v="2"/>
    <x v="2"/>
    <x v="2"/>
    <x v="2"/>
    <x v="2"/>
    <x v="2"/>
    <x v="2"/>
    <x v="2"/>
    <x v="2"/>
    <x v="2"/>
    <x v="2"/>
    <x v="2"/>
    <x v="2"/>
    <x v="2"/>
    <x v="2"/>
    <n v="0"/>
    <n v="0"/>
    <n v="0"/>
    <n v="0"/>
    <n v="0"/>
    <n v="0"/>
  </r>
  <r>
    <x v="61"/>
    <x v="0"/>
    <x v="27"/>
    <x v="1"/>
    <x v="0"/>
    <x v="0"/>
    <x v="0"/>
    <x v="313"/>
    <x v="350"/>
    <x v="0"/>
    <x v="0"/>
    <x v="0"/>
    <x v="0"/>
    <x v="0"/>
    <x v="0"/>
    <x v="0"/>
    <x v="0"/>
    <x v="0"/>
    <x v="0"/>
    <x v="0"/>
    <x v="0"/>
    <x v="0"/>
    <x v="0"/>
    <x v="0"/>
    <x v="0"/>
    <x v="0"/>
    <m/>
    <m/>
    <m/>
    <m/>
    <m/>
    <m/>
  </r>
  <r>
    <x v="61"/>
    <x v="0"/>
    <x v="27"/>
    <x v="1"/>
    <x v="0"/>
    <x v="1"/>
    <x v="0"/>
    <x v="314"/>
    <x v="2"/>
    <x v="157"/>
    <x v="2"/>
    <x v="163"/>
    <x v="2"/>
    <x v="162"/>
    <x v="163"/>
    <x v="2"/>
    <x v="2"/>
    <x v="2"/>
    <x v="2"/>
    <x v="5"/>
    <x v="2"/>
    <x v="2"/>
    <x v="2"/>
    <x v="2"/>
    <x v="2"/>
    <x v="2"/>
    <n v="0"/>
    <n v="0"/>
    <n v="0"/>
    <n v="0"/>
    <n v="0"/>
    <n v="0"/>
  </r>
  <r>
    <x v="61"/>
    <x v="0"/>
    <x v="27"/>
    <x v="1"/>
    <x v="0"/>
    <x v="2"/>
    <x v="0"/>
    <x v="3"/>
    <x v="3"/>
    <x v="0"/>
    <x v="0"/>
    <x v="0"/>
    <x v="0"/>
    <x v="0"/>
    <x v="0"/>
    <x v="0"/>
    <x v="0"/>
    <x v="0"/>
    <x v="0"/>
    <x v="0"/>
    <x v="0"/>
    <x v="0"/>
    <x v="0"/>
    <x v="0"/>
    <x v="0"/>
    <x v="0"/>
    <m/>
    <m/>
    <m/>
    <m/>
    <m/>
    <m/>
  </r>
  <r>
    <x v="61"/>
    <x v="0"/>
    <x v="27"/>
    <x v="1"/>
    <x v="0"/>
    <x v="3"/>
    <x v="0"/>
    <x v="3"/>
    <x v="3"/>
    <x v="0"/>
    <x v="0"/>
    <x v="0"/>
    <x v="0"/>
    <x v="0"/>
    <x v="0"/>
    <x v="0"/>
    <x v="0"/>
    <x v="0"/>
    <x v="0"/>
    <x v="0"/>
    <x v="0"/>
    <x v="0"/>
    <x v="0"/>
    <x v="0"/>
    <x v="0"/>
    <x v="0"/>
    <m/>
    <m/>
    <m/>
    <m/>
    <m/>
    <m/>
  </r>
  <r>
    <x v="61"/>
    <x v="0"/>
    <x v="27"/>
    <x v="1"/>
    <x v="0"/>
    <x v="4"/>
    <x v="0"/>
    <x v="3"/>
    <x v="3"/>
    <x v="0"/>
    <x v="0"/>
    <x v="0"/>
    <x v="0"/>
    <x v="0"/>
    <x v="0"/>
    <x v="0"/>
    <x v="0"/>
    <x v="0"/>
    <x v="0"/>
    <x v="0"/>
    <x v="0"/>
    <x v="0"/>
    <x v="0"/>
    <x v="0"/>
    <x v="0"/>
    <x v="0"/>
    <m/>
    <m/>
    <m/>
    <m/>
    <m/>
    <m/>
  </r>
  <r>
    <x v="61"/>
    <x v="0"/>
    <x v="27"/>
    <x v="1"/>
    <x v="0"/>
    <x v="5"/>
    <x v="0"/>
    <x v="3"/>
    <x v="3"/>
    <x v="0"/>
    <x v="0"/>
    <x v="0"/>
    <x v="0"/>
    <x v="0"/>
    <x v="0"/>
    <x v="0"/>
    <x v="0"/>
    <x v="0"/>
    <x v="0"/>
    <x v="0"/>
    <x v="0"/>
    <x v="0"/>
    <x v="0"/>
    <x v="0"/>
    <x v="0"/>
    <x v="0"/>
    <m/>
    <m/>
    <m/>
    <m/>
    <m/>
    <m/>
  </r>
  <r>
    <x v="61"/>
    <x v="0"/>
    <x v="27"/>
    <x v="1"/>
    <x v="0"/>
    <x v="6"/>
    <x v="0"/>
    <x v="2"/>
    <x v="2"/>
    <x v="2"/>
    <x v="2"/>
    <x v="2"/>
    <x v="2"/>
    <x v="2"/>
    <x v="2"/>
    <x v="2"/>
    <x v="2"/>
    <x v="2"/>
    <x v="2"/>
    <x v="2"/>
    <x v="2"/>
    <x v="2"/>
    <x v="2"/>
    <x v="2"/>
    <x v="2"/>
    <x v="2"/>
    <n v="0"/>
    <n v="0"/>
    <n v="0"/>
    <n v="0"/>
    <n v="0"/>
    <n v="0"/>
  </r>
  <r>
    <x v="61"/>
    <x v="0"/>
    <x v="27"/>
    <x v="1"/>
    <x v="0"/>
    <x v="7"/>
    <x v="0"/>
    <x v="3"/>
    <x v="3"/>
    <x v="0"/>
    <x v="0"/>
    <x v="0"/>
    <x v="0"/>
    <x v="0"/>
    <x v="0"/>
    <x v="0"/>
    <x v="0"/>
    <x v="0"/>
    <x v="0"/>
    <x v="0"/>
    <x v="0"/>
    <x v="0"/>
    <x v="0"/>
    <x v="0"/>
    <x v="0"/>
    <x v="0"/>
    <m/>
    <m/>
    <m/>
    <m/>
    <m/>
    <m/>
  </r>
  <r>
    <x v="61"/>
    <x v="0"/>
    <x v="27"/>
    <x v="1"/>
    <x v="0"/>
    <x v="8"/>
    <x v="0"/>
    <x v="2"/>
    <x v="3"/>
    <x v="0"/>
    <x v="0"/>
    <x v="0"/>
    <x v="0"/>
    <x v="0"/>
    <x v="0"/>
    <x v="0"/>
    <x v="0"/>
    <x v="0"/>
    <x v="0"/>
    <x v="0"/>
    <x v="0"/>
    <x v="0"/>
    <x v="0"/>
    <x v="0"/>
    <x v="0"/>
    <x v="0"/>
    <m/>
    <m/>
    <m/>
    <m/>
    <m/>
    <m/>
  </r>
  <r>
    <x v="61"/>
    <x v="0"/>
    <x v="27"/>
    <x v="1"/>
    <x v="0"/>
    <x v="9"/>
    <x v="0"/>
    <x v="2"/>
    <x v="3"/>
    <x v="0"/>
    <x v="0"/>
    <x v="0"/>
    <x v="0"/>
    <x v="0"/>
    <x v="0"/>
    <x v="0"/>
    <x v="0"/>
    <x v="0"/>
    <x v="0"/>
    <x v="0"/>
    <x v="0"/>
    <x v="0"/>
    <x v="0"/>
    <x v="0"/>
    <x v="0"/>
    <x v="0"/>
    <m/>
    <m/>
    <m/>
    <m/>
    <m/>
    <m/>
  </r>
  <r>
    <x v="61"/>
    <x v="0"/>
    <x v="27"/>
    <x v="1"/>
    <x v="0"/>
    <x v="10"/>
    <x v="0"/>
    <x v="3"/>
    <x v="3"/>
    <x v="0"/>
    <x v="0"/>
    <x v="0"/>
    <x v="0"/>
    <x v="0"/>
    <x v="0"/>
    <x v="0"/>
    <x v="0"/>
    <x v="0"/>
    <x v="0"/>
    <x v="0"/>
    <x v="0"/>
    <x v="0"/>
    <x v="0"/>
    <x v="0"/>
    <x v="0"/>
    <x v="0"/>
    <m/>
    <m/>
    <m/>
    <m/>
    <m/>
    <m/>
  </r>
  <r>
    <x v="61"/>
    <x v="0"/>
    <x v="27"/>
    <x v="1"/>
    <x v="0"/>
    <x v="11"/>
    <x v="0"/>
    <x v="3"/>
    <x v="351"/>
    <x v="158"/>
    <x v="165"/>
    <x v="164"/>
    <x v="169"/>
    <x v="163"/>
    <x v="164"/>
    <x v="168"/>
    <x v="166"/>
    <x v="169"/>
    <x v="158"/>
    <x v="167"/>
    <x v="163"/>
    <x v="166"/>
    <x v="159"/>
    <x v="148"/>
    <x v="144"/>
    <x v="143"/>
    <n v="-1663"/>
    <n v="-1663"/>
    <n v="-1663"/>
    <n v="-1663"/>
    <n v="-1663"/>
    <n v="-1663"/>
  </r>
  <r>
    <x v="61"/>
    <x v="0"/>
    <x v="27"/>
    <x v="1"/>
    <x v="0"/>
    <x v="12"/>
    <x v="0"/>
    <x v="3"/>
    <x v="2"/>
    <x v="2"/>
    <x v="2"/>
    <x v="2"/>
    <x v="2"/>
    <x v="2"/>
    <x v="2"/>
    <x v="2"/>
    <x v="2"/>
    <x v="2"/>
    <x v="2"/>
    <x v="2"/>
    <x v="2"/>
    <x v="2"/>
    <x v="2"/>
    <x v="2"/>
    <x v="2"/>
    <x v="2"/>
    <n v="0"/>
    <n v="0"/>
    <n v="0"/>
    <n v="0"/>
    <n v="0"/>
    <n v="0"/>
  </r>
  <r>
    <x v="62"/>
    <x v="0"/>
    <x v="28"/>
    <x v="1"/>
    <x v="0"/>
    <x v="0"/>
    <x v="0"/>
    <x v="315"/>
    <x v="352"/>
    <x v="0"/>
    <x v="0"/>
    <x v="0"/>
    <x v="0"/>
    <x v="0"/>
    <x v="0"/>
    <x v="0"/>
    <x v="0"/>
    <x v="0"/>
    <x v="0"/>
    <x v="0"/>
    <x v="0"/>
    <x v="0"/>
    <x v="0"/>
    <x v="0"/>
    <x v="0"/>
    <x v="0"/>
    <m/>
    <m/>
    <m/>
    <m/>
    <m/>
    <m/>
  </r>
  <r>
    <x v="62"/>
    <x v="0"/>
    <x v="28"/>
    <x v="1"/>
    <x v="0"/>
    <x v="1"/>
    <x v="0"/>
    <x v="316"/>
    <x v="353"/>
    <x v="159"/>
    <x v="166"/>
    <x v="165"/>
    <x v="170"/>
    <x v="164"/>
    <x v="165"/>
    <x v="169"/>
    <x v="167"/>
    <x v="170"/>
    <x v="159"/>
    <x v="168"/>
    <x v="164"/>
    <x v="167"/>
    <x v="160"/>
    <x v="149"/>
    <x v="145"/>
    <x v="144"/>
    <n v="719"/>
    <n v="719"/>
    <n v="707"/>
    <n v="549"/>
    <n v="467"/>
    <n v="467"/>
  </r>
  <r>
    <x v="62"/>
    <x v="0"/>
    <x v="28"/>
    <x v="1"/>
    <x v="0"/>
    <x v="2"/>
    <x v="0"/>
    <x v="317"/>
    <x v="354"/>
    <x v="0"/>
    <x v="0"/>
    <x v="0"/>
    <x v="0"/>
    <x v="0"/>
    <x v="0"/>
    <x v="0"/>
    <x v="0"/>
    <x v="0"/>
    <x v="0"/>
    <x v="0"/>
    <x v="0"/>
    <x v="0"/>
    <x v="0"/>
    <x v="0"/>
    <x v="0"/>
    <x v="0"/>
    <m/>
    <m/>
    <m/>
    <m/>
    <m/>
    <m/>
  </r>
  <r>
    <x v="62"/>
    <x v="0"/>
    <x v="28"/>
    <x v="1"/>
    <x v="0"/>
    <x v="3"/>
    <x v="0"/>
    <x v="2"/>
    <x v="2"/>
    <x v="0"/>
    <x v="0"/>
    <x v="0"/>
    <x v="0"/>
    <x v="0"/>
    <x v="0"/>
    <x v="0"/>
    <x v="0"/>
    <x v="0"/>
    <x v="0"/>
    <x v="0"/>
    <x v="0"/>
    <x v="0"/>
    <x v="0"/>
    <x v="0"/>
    <x v="0"/>
    <x v="0"/>
    <m/>
    <m/>
    <m/>
    <m/>
    <m/>
    <m/>
  </r>
  <r>
    <x v="62"/>
    <x v="0"/>
    <x v="28"/>
    <x v="1"/>
    <x v="0"/>
    <x v="4"/>
    <x v="0"/>
    <x v="318"/>
    <x v="355"/>
    <x v="0"/>
    <x v="0"/>
    <x v="0"/>
    <x v="0"/>
    <x v="0"/>
    <x v="0"/>
    <x v="0"/>
    <x v="0"/>
    <x v="0"/>
    <x v="0"/>
    <x v="0"/>
    <x v="0"/>
    <x v="0"/>
    <x v="0"/>
    <x v="0"/>
    <x v="0"/>
    <x v="0"/>
    <m/>
    <m/>
    <m/>
    <m/>
    <m/>
    <m/>
  </r>
  <r>
    <x v="62"/>
    <x v="0"/>
    <x v="28"/>
    <x v="1"/>
    <x v="0"/>
    <x v="5"/>
    <x v="0"/>
    <x v="319"/>
    <x v="356"/>
    <x v="0"/>
    <x v="0"/>
    <x v="0"/>
    <x v="0"/>
    <x v="0"/>
    <x v="0"/>
    <x v="0"/>
    <x v="0"/>
    <x v="0"/>
    <x v="0"/>
    <x v="0"/>
    <x v="0"/>
    <x v="0"/>
    <x v="0"/>
    <x v="0"/>
    <x v="0"/>
    <x v="0"/>
    <m/>
    <m/>
    <m/>
    <m/>
    <m/>
    <m/>
  </r>
  <r>
    <x v="62"/>
    <x v="0"/>
    <x v="28"/>
    <x v="1"/>
    <x v="0"/>
    <x v="6"/>
    <x v="0"/>
    <x v="320"/>
    <x v="2"/>
    <x v="160"/>
    <x v="167"/>
    <x v="166"/>
    <x v="171"/>
    <x v="165"/>
    <x v="166"/>
    <x v="170"/>
    <x v="168"/>
    <x v="171"/>
    <x v="160"/>
    <x v="169"/>
    <x v="165"/>
    <x v="168"/>
    <x v="161"/>
    <x v="2"/>
    <x v="2"/>
    <x v="2"/>
    <n v="0"/>
    <n v="0"/>
    <n v="0"/>
    <n v="0"/>
    <n v="0"/>
    <n v="0"/>
  </r>
  <r>
    <x v="62"/>
    <x v="0"/>
    <x v="28"/>
    <x v="1"/>
    <x v="0"/>
    <x v="7"/>
    <x v="0"/>
    <x v="320"/>
    <x v="3"/>
    <x v="160"/>
    <x v="167"/>
    <x v="166"/>
    <x v="171"/>
    <x v="165"/>
    <x v="166"/>
    <x v="170"/>
    <x v="168"/>
    <x v="171"/>
    <x v="160"/>
    <x v="169"/>
    <x v="165"/>
    <x v="168"/>
    <x v="161"/>
    <x v="0"/>
    <x v="0"/>
    <x v="0"/>
    <m/>
    <m/>
    <m/>
    <m/>
    <m/>
    <m/>
  </r>
  <r>
    <x v="62"/>
    <x v="0"/>
    <x v="28"/>
    <x v="1"/>
    <x v="0"/>
    <x v="8"/>
    <x v="0"/>
    <x v="2"/>
    <x v="3"/>
    <x v="0"/>
    <x v="0"/>
    <x v="0"/>
    <x v="0"/>
    <x v="0"/>
    <x v="0"/>
    <x v="0"/>
    <x v="0"/>
    <x v="0"/>
    <x v="0"/>
    <x v="0"/>
    <x v="0"/>
    <x v="0"/>
    <x v="0"/>
    <x v="0"/>
    <x v="0"/>
    <x v="0"/>
    <m/>
    <m/>
    <m/>
    <m/>
    <m/>
    <m/>
  </r>
  <r>
    <x v="62"/>
    <x v="0"/>
    <x v="28"/>
    <x v="1"/>
    <x v="0"/>
    <x v="9"/>
    <x v="0"/>
    <x v="2"/>
    <x v="3"/>
    <x v="0"/>
    <x v="0"/>
    <x v="0"/>
    <x v="0"/>
    <x v="0"/>
    <x v="0"/>
    <x v="0"/>
    <x v="0"/>
    <x v="0"/>
    <x v="0"/>
    <x v="0"/>
    <x v="0"/>
    <x v="0"/>
    <x v="0"/>
    <x v="0"/>
    <x v="0"/>
    <x v="0"/>
    <m/>
    <m/>
    <m/>
    <m/>
    <m/>
    <m/>
  </r>
  <r>
    <x v="62"/>
    <x v="0"/>
    <x v="28"/>
    <x v="1"/>
    <x v="0"/>
    <x v="10"/>
    <x v="0"/>
    <x v="320"/>
    <x v="3"/>
    <x v="160"/>
    <x v="167"/>
    <x v="166"/>
    <x v="171"/>
    <x v="165"/>
    <x v="166"/>
    <x v="170"/>
    <x v="168"/>
    <x v="171"/>
    <x v="160"/>
    <x v="169"/>
    <x v="165"/>
    <x v="168"/>
    <x v="161"/>
    <x v="0"/>
    <x v="0"/>
    <x v="0"/>
    <m/>
    <m/>
    <m/>
    <m/>
    <m/>
    <m/>
  </r>
  <r>
    <x v="62"/>
    <x v="0"/>
    <x v="28"/>
    <x v="1"/>
    <x v="0"/>
    <x v="11"/>
    <x v="0"/>
    <x v="3"/>
    <x v="357"/>
    <x v="161"/>
    <x v="168"/>
    <x v="167"/>
    <x v="172"/>
    <x v="166"/>
    <x v="167"/>
    <x v="171"/>
    <x v="169"/>
    <x v="172"/>
    <x v="161"/>
    <x v="170"/>
    <x v="166"/>
    <x v="169"/>
    <x v="162"/>
    <x v="150"/>
    <x v="146"/>
    <x v="145"/>
    <n v="2918"/>
    <n v="2199"/>
    <n v="1492"/>
    <n v="943"/>
    <n v="476"/>
    <n v="9"/>
  </r>
  <r>
    <x v="62"/>
    <x v="0"/>
    <x v="28"/>
    <x v="1"/>
    <x v="0"/>
    <x v="12"/>
    <x v="0"/>
    <x v="3"/>
    <x v="2"/>
    <x v="2"/>
    <x v="2"/>
    <x v="2"/>
    <x v="2"/>
    <x v="2"/>
    <x v="2"/>
    <x v="2"/>
    <x v="2"/>
    <x v="2"/>
    <x v="2"/>
    <x v="2"/>
    <x v="2"/>
    <x v="2"/>
    <x v="2"/>
    <x v="2"/>
    <x v="2"/>
    <x v="2"/>
    <n v="0"/>
    <n v="0"/>
    <n v="0"/>
    <n v="0"/>
    <n v="0"/>
    <n v="0"/>
  </r>
  <r>
    <x v="63"/>
    <x v="0"/>
    <x v="29"/>
    <x v="1"/>
    <x v="0"/>
    <x v="0"/>
    <x v="0"/>
    <x v="321"/>
    <x v="358"/>
    <x v="0"/>
    <x v="0"/>
    <x v="0"/>
    <x v="0"/>
    <x v="0"/>
    <x v="0"/>
    <x v="0"/>
    <x v="0"/>
    <x v="0"/>
    <x v="0"/>
    <x v="0"/>
    <x v="0"/>
    <x v="0"/>
    <x v="0"/>
    <x v="0"/>
    <x v="0"/>
    <x v="0"/>
    <m/>
    <m/>
    <m/>
    <m/>
    <m/>
    <m/>
  </r>
  <r>
    <x v="63"/>
    <x v="0"/>
    <x v="29"/>
    <x v="1"/>
    <x v="0"/>
    <x v="1"/>
    <x v="0"/>
    <x v="322"/>
    <x v="359"/>
    <x v="162"/>
    <x v="169"/>
    <x v="168"/>
    <x v="173"/>
    <x v="167"/>
    <x v="168"/>
    <x v="172"/>
    <x v="170"/>
    <x v="173"/>
    <x v="162"/>
    <x v="171"/>
    <x v="167"/>
    <x v="170"/>
    <x v="163"/>
    <x v="151"/>
    <x v="147"/>
    <x v="146"/>
    <n v="104"/>
    <n v="109"/>
    <n v="104"/>
    <n v="109"/>
    <n v="86"/>
    <n v="91"/>
  </r>
  <r>
    <x v="63"/>
    <x v="0"/>
    <x v="29"/>
    <x v="1"/>
    <x v="0"/>
    <x v="2"/>
    <x v="0"/>
    <x v="3"/>
    <x v="3"/>
    <x v="0"/>
    <x v="0"/>
    <x v="0"/>
    <x v="0"/>
    <x v="0"/>
    <x v="0"/>
    <x v="0"/>
    <x v="0"/>
    <x v="0"/>
    <x v="0"/>
    <x v="0"/>
    <x v="0"/>
    <x v="0"/>
    <x v="0"/>
    <x v="0"/>
    <x v="0"/>
    <x v="0"/>
    <m/>
    <m/>
    <m/>
    <m/>
    <m/>
    <m/>
  </r>
  <r>
    <x v="63"/>
    <x v="0"/>
    <x v="29"/>
    <x v="1"/>
    <x v="0"/>
    <x v="3"/>
    <x v="0"/>
    <x v="3"/>
    <x v="3"/>
    <x v="0"/>
    <x v="0"/>
    <x v="0"/>
    <x v="0"/>
    <x v="0"/>
    <x v="0"/>
    <x v="0"/>
    <x v="0"/>
    <x v="0"/>
    <x v="0"/>
    <x v="0"/>
    <x v="0"/>
    <x v="0"/>
    <x v="0"/>
    <x v="0"/>
    <x v="0"/>
    <x v="0"/>
    <m/>
    <m/>
    <m/>
    <m/>
    <m/>
    <m/>
  </r>
  <r>
    <x v="63"/>
    <x v="0"/>
    <x v="29"/>
    <x v="1"/>
    <x v="0"/>
    <x v="4"/>
    <x v="0"/>
    <x v="3"/>
    <x v="3"/>
    <x v="0"/>
    <x v="0"/>
    <x v="0"/>
    <x v="0"/>
    <x v="0"/>
    <x v="0"/>
    <x v="0"/>
    <x v="0"/>
    <x v="0"/>
    <x v="0"/>
    <x v="0"/>
    <x v="0"/>
    <x v="0"/>
    <x v="0"/>
    <x v="0"/>
    <x v="0"/>
    <x v="0"/>
    <m/>
    <m/>
    <m/>
    <m/>
    <m/>
    <m/>
  </r>
  <r>
    <x v="63"/>
    <x v="0"/>
    <x v="29"/>
    <x v="1"/>
    <x v="0"/>
    <x v="5"/>
    <x v="0"/>
    <x v="3"/>
    <x v="3"/>
    <x v="0"/>
    <x v="0"/>
    <x v="0"/>
    <x v="0"/>
    <x v="0"/>
    <x v="0"/>
    <x v="0"/>
    <x v="0"/>
    <x v="0"/>
    <x v="0"/>
    <x v="0"/>
    <x v="0"/>
    <x v="0"/>
    <x v="0"/>
    <x v="0"/>
    <x v="0"/>
    <x v="0"/>
    <m/>
    <m/>
    <m/>
    <m/>
    <m/>
    <m/>
  </r>
  <r>
    <x v="63"/>
    <x v="0"/>
    <x v="29"/>
    <x v="1"/>
    <x v="0"/>
    <x v="6"/>
    <x v="0"/>
    <x v="2"/>
    <x v="2"/>
    <x v="2"/>
    <x v="2"/>
    <x v="2"/>
    <x v="2"/>
    <x v="2"/>
    <x v="2"/>
    <x v="2"/>
    <x v="2"/>
    <x v="2"/>
    <x v="2"/>
    <x v="2"/>
    <x v="2"/>
    <x v="2"/>
    <x v="2"/>
    <x v="2"/>
    <x v="2"/>
    <x v="2"/>
    <n v="0"/>
    <n v="0"/>
    <n v="0"/>
    <n v="0"/>
    <n v="0"/>
    <n v="0"/>
  </r>
  <r>
    <x v="63"/>
    <x v="0"/>
    <x v="29"/>
    <x v="1"/>
    <x v="0"/>
    <x v="7"/>
    <x v="0"/>
    <x v="3"/>
    <x v="3"/>
    <x v="0"/>
    <x v="0"/>
    <x v="0"/>
    <x v="0"/>
    <x v="0"/>
    <x v="0"/>
    <x v="0"/>
    <x v="0"/>
    <x v="0"/>
    <x v="0"/>
    <x v="0"/>
    <x v="0"/>
    <x v="0"/>
    <x v="0"/>
    <x v="0"/>
    <x v="0"/>
    <x v="0"/>
    <m/>
    <m/>
    <m/>
    <m/>
    <m/>
    <m/>
  </r>
  <r>
    <x v="63"/>
    <x v="0"/>
    <x v="29"/>
    <x v="1"/>
    <x v="0"/>
    <x v="8"/>
    <x v="0"/>
    <x v="2"/>
    <x v="3"/>
    <x v="0"/>
    <x v="0"/>
    <x v="0"/>
    <x v="0"/>
    <x v="0"/>
    <x v="0"/>
    <x v="0"/>
    <x v="0"/>
    <x v="0"/>
    <x v="0"/>
    <x v="0"/>
    <x v="0"/>
    <x v="0"/>
    <x v="0"/>
    <x v="0"/>
    <x v="0"/>
    <x v="0"/>
    <m/>
    <m/>
    <m/>
    <m/>
    <m/>
    <m/>
  </r>
  <r>
    <x v="63"/>
    <x v="0"/>
    <x v="29"/>
    <x v="1"/>
    <x v="0"/>
    <x v="9"/>
    <x v="0"/>
    <x v="2"/>
    <x v="3"/>
    <x v="0"/>
    <x v="0"/>
    <x v="0"/>
    <x v="0"/>
    <x v="0"/>
    <x v="0"/>
    <x v="0"/>
    <x v="0"/>
    <x v="0"/>
    <x v="0"/>
    <x v="0"/>
    <x v="0"/>
    <x v="0"/>
    <x v="0"/>
    <x v="0"/>
    <x v="0"/>
    <x v="0"/>
    <m/>
    <m/>
    <m/>
    <m/>
    <m/>
    <m/>
  </r>
  <r>
    <x v="63"/>
    <x v="0"/>
    <x v="29"/>
    <x v="1"/>
    <x v="0"/>
    <x v="10"/>
    <x v="0"/>
    <x v="3"/>
    <x v="3"/>
    <x v="0"/>
    <x v="0"/>
    <x v="0"/>
    <x v="0"/>
    <x v="0"/>
    <x v="0"/>
    <x v="0"/>
    <x v="0"/>
    <x v="0"/>
    <x v="0"/>
    <x v="0"/>
    <x v="0"/>
    <x v="0"/>
    <x v="0"/>
    <x v="0"/>
    <x v="0"/>
    <x v="0"/>
    <m/>
    <m/>
    <m/>
    <m/>
    <m/>
    <m/>
  </r>
  <r>
    <x v="63"/>
    <x v="0"/>
    <x v="29"/>
    <x v="1"/>
    <x v="0"/>
    <x v="11"/>
    <x v="0"/>
    <x v="3"/>
    <x v="360"/>
    <x v="163"/>
    <x v="170"/>
    <x v="169"/>
    <x v="174"/>
    <x v="168"/>
    <x v="169"/>
    <x v="173"/>
    <x v="171"/>
    <x v="174"/>
    <x v="163"/>
    <x v="172"/>
    <x v="168"/>
    <x v="171"/>
    <x v="164"/>
    <x v="152"/>
    <x v="148"/>
    <x v="147"/>
    <n v="-5655"/>
    <n v="-5764"/>
    <n v="-5868"/>
    <n v="-5977"/>
    <n v="-6063"/>
    <n v="-6154"/>
  </r>
  <r>
    <x v="63"/>
    <x v="0"/>
    <x v="29"/>
    <x v="1"/>
    <x v="0"/>
    <x v="12"/>
    <x v="0"/>
    <x v="3"/>
    <x v="2"/>
    <x v="2"/>
    <x v="2"/>
    <x v="2"/>
    <x v="2"/>
    <x v="2"/>
    <x v="2"/>
    <x v="2"/>
    <x v="2"/>
    <x v="2"/>
    <x v="2"/>
    <x v="2"/>
    <x v="2"/>
    <x v="2"/>
    <x v="2"/>
    <x v="2"/>
    <x v="2"/>
    <x v="2"/>
    <n v="0"/>
    <n v="0"/>
    <n v="0"/>
    <n v="0"/>
    <n v="0"/>
    <n v="0"/>
  </r>
  <r>
    <x v="64"/>
    <x v="0"/>
    <x v="30"/>
    <x v="4"/>
    <x v="1"/>
    <x v="0"/>
    <x v="0"/>
    <x v="323"/>
    <x v="361"/>
    <x v="0"/>
    <x v="0"/>
    <x v="0"/>
    <x v="0"/>
    <x v="0"/>
    <x v="0"/>
    <x v="0"/>
    <x v="0"/>
    <x v="0"/>
    <x v="0"/>
    <x v="0"/>
    <x v="0"/>
    <x v="0"/>
    <x v="0"/>
    <x v="0"/>
    <x v="0"/>
    <x v="0"/>
    <m/>
    <m/>
    <m/>
    <m/>
    <m/>
    <m/>
  </r>
  <r>
    <x v="64"/>
    <x v="0"/>
    <x v="30"/>
    <x v="4"/>
    <x v="1"/>
    <x v="1"/>
    <x v="0"/>
    <x v="324"/>
    <x v="362"/>
    <x v="164"/>
    <x v="171"/>
    <x v="170"/>
    <x v="175"/>
    <x v="169"/>
    <x v="170"/>
    <x v="174"/>
    <x v="172"/>
    <x v="175"/>
    <x v="164"/>
    <x v="173"/>
    <x v="169"/>
    <x v="172"/>
    <x v="165"/>
    <x v="153"/>
    <x v="149"/>
    <x v="148"/>
    <n v="3641"/>
    <n v="3487"/>
    <n v="3246"/>
    <n v="3163"/>
    <n v="614"/>
    <n v="714"/>
  </r>
  <r>
    <x v="64"/>
    <x v="0"/>
    <x v="30"/>
    <x v="4"/>
    <x v="1"/>
    <x v="2"/>
    <x v="0"/>
    <x v="325"/>
    <x v="363"/>
    <x v="0"/>
    <x v="0"/>
    <x v="0"/>
    <x v="0"/>
    <x v="0"/>
    <x v="0"/>
    <x v="0"/>
    <x v="0"/>
    <x v="0"/>
    <x v="0"/>
    <x v="0"/>
    <x v="0"/>
    <x v="0"/>
    <x v="0"/>
    <x v="0"/>
    <x v="0"/>
    <x v="0"/>
    <m/>
    <m/>
    <m/>
    <m/>
    <m/>
    <m/>
  </r>
  <r>
    <x v="64"/>
    <x v="0"/>
    <x v="30"/>
    <x v="4"/>
    <x v="1"/>
    <x v="3"/>
    <x v="0"/>
    <x v="2"/>
    <x v="2"/>
    <x v="0"/>
    <x v="0"/>
    <x v="0"/>
    <x v="0"/>
    <x v="0"/>
    <x v="0"/>
    <x v="0"/>
    <x v="0"/>
    <x v="0"/>
    <x v="0"/>
    <x v="0"/>
    <x v="0"/>
    <x v="0"/>
    <x v="0"/>
    <x v="0"/>
    <x v="0"/>
    <x v="0"/>
    <m/>
    <m/>
    <m/>
    <m/>
    <m/>
    <m/>
  </r>
  <r>
    <x v="64"/>
    <x v="0"/>
    <x v="30"/>
    <x v="4"/>
    <x v="1"/>
    <x v="4"/>
    <x v="0"/>
    <x v="326"/>
    <x v="364"/>
    <x v="0"/>
    <x v="0"/>
    <x v="0"/>
    <x v="0"/>
    <x v="0"/>
    <x v="0"/>
    <x v="0"/>
    <x v="0"/>
    <x v="0"/>
    <x v="0"/>
    <x v="0"/>
    <x v="0"/>
    <x v="0"/>
    <x v="0"/>
    <x v="0"/>
    <x v="0"/>
    <x v="0"/>
    <m/>
    <m/>
    <m/>
    <m/>
    <m/>
    <m/>
  </r>
  <r>
    <x v="64"/>
    <x v="0"/>
    <x v="30"/>
    <x v="4"/>
    <x v="1"/>
    <x v="5"/>
    <x v="0"/>
    <x v="3"/>
    <x v="3"/>
    <x v="0"/>
    <x v="0"/>
    <x v="0"/>
    <x v="0"/>
    <x v="0"/>
    <x v="0"/>
    <x v="0"/>
    <x v="0"/>
    <x v="0"/>
    <x v="0"/>
    <x v="0"/>
    <x v="0"/>
    <x v="0"/>
    <x v="0"/>
    <x v="0"/>
    <x v="0"/>
    <x v="0"/>
    <m/>
    <m/>
    <m/>
    <m/>
    <m/>
    <m/>
  </r>
  <r>
    <x v="64"/>
    <x v="0"/>
    <x v="30"/>
    <x v="4"/>
    <x v="1"/>
    <x v="6"/>
    <x v="0"/>
    <x v="327"/>
    <x v="365"/>
    <x v="2"/>
    <x v="2"/>
    <x v="2"/>
    <x v="2"/>
    <x v="2"/>
    <x v="2"/>
    <x v="2"/>
    <x v="2"/>
    <x v="77"/>
    <x v="2"/>
    <x v="2"/>
    <x v="2"/>
    <x v="2"/>
    <x v="2"/>
    <x v="2"/>
    <x v="2"/>
    <x v="2"/>
    <n v="0"/>
    <n v="0"/>
    <n v="0"/>
    <n v="0"/>
    <n v="0"/>
    <n v="0"/>
  </r>
  <r>
    <x v="64"/>
    <x v="0"/>
    <x v="30"/>
    <x v="4"/>
    <x v="1"/>
    <x v="7"/>
    <x v="0"/>
    <x v="327"/>
    <x v="365"/>
    <x v="0"/>
    <x v="0"/>
    <x v="0"/>
    <x v="0"/>
    <x v="0"/>
    <x v="0"/>
    <x v="0"/>
    <x v="0"/>
    <x v="77"/>
    <x v="0"/>
    <x v="0"/>
    <x v="0"/>
    <x v="0"/>
    <x v="0"/>
    <x v="0"/>
    <x v="0"/>
    <x v="0"/>
    <m/>
    <m/>
    <m/>
    <m/>
    <m/>
    <m/>
  </r>
  <r>
    <x v="64"/>
    <x v="0"/>
    <x v="30"/>
    <x v="4"/>
    <x v="1"/>
    <x v="8"/>
    <x v="0"/>
    <x v="2"/>
    <x v="3"/>
    <x v="0"/>
    <x v="0"/>
    <x v="0"/>
    <x v="0"/>
    <x v="0"/>
    <x v="0"/>
    <x v="0"/>
    <x v="0"/>
    <x v="0"/>
    <x v="0"/>
    <x v="0"/>
    <x v="0"/>
    <x v="0"/>
    <x v="0"/>
    <x v="0"/>
    <x v="0"/>
    <x v="0"/>
    <m/>
    <m/>
    <m/>
    <m/>
    <m/>
    <m/>
  </r>
  <r>
    <x v="64"/>
    <x v="0"/>
    <x v="30"/>
    <x v="4"/>
    <x v="1"/>
    <x v="9"/>
    <x v="0"/>
    <x v="2"/>
    <x v="3"/>
    <x v="0"/>
    <x v="0"/>
    <x v="0"/>
    <x v="0"/>
    <x v="0"/>
    <x v="0"/>
    <x v="0"/>
    <x v="0"/>
    <x v="0"/>
    <x v="0"/>
    <x v="0"/>
    <x v="0"/>
    <x v="0"/>
    <x v="0"/>
    <x v="0"/>
    <x v="0"/>
    <x v="0"/>
    <m/>
    <m/>
    <m/>
    <m/>
    <m/>
    <m/>
  </r>
  <r>
    <x v="64"/>
    <x v="0"/>
    <x v="30"/>
    <x v="4"/>
    <x v="1"/>
    <x v="10"/>
    <x v="0"/>
    <x v="327"/>
    <x v="365"/>
    <x v="0"/>
    <x v="0"/>
    <x v="0"/>
    <x v="0"/>
    <x v="0"/>
    <x v="0"/>
    <x v="0"/>
    <x v="0"/>
    <x v="77"/>
    <x v="0"/>
    <x v="0"/>
    <x v="0"/>
    <x v="0"/>
    <x v="0"/>
    <x v="0"/>
    <x v="0"/>
    <x v="0"/>
    <m/>
    <m/>
    <m/>
    <m/>
    <m/>
    <m/>
  </r>
  <r>
    <x v="64"/>
    <x v="0"/>
    <x v="30"/>
    <x v="4"/>
    <x v="1"/>
    <x v="11"/>
    <x v="0"/>
    <x v="3"/>
    <x v="366"/>
    <x v="165"/>
    <x v="172"/>
    <x v="171"/>
    <x v="176"/>
    <x v="170"/>
    <x v="171"/>
    <x v="175"/>
    <x v="173"/>
    <x v="176"/>
    <x v="165"/>
    <x v="174"/>
    <x v="170"/>
    <x v="173"/>
    <x v="166"/>
    <x v="154"/>
    <x v="150"/>
    <x v="149"/>
    <n v="57105"/>
    <n v="53618"/>
    <n v="50372"/>
    <n v="47209"/>
    <n v="46595"/>
    <n v="45881"/>
  </r>
  <r>
    <x v="64"/>
    <x v="0"/>
    <x v="30"/>
    <x v="4"/>
    <x v="1"/>
    <x v="12"/>
    <x v="0"/>
    <x v="3"/>
    <x v="2"/>
    <x v="2"/>
    <x v="2"/>
    <x v="2"/>
    <x v="2"/>
    <x v="2"/>
    <x v="2"/>
    <x v="2"/>
    <x v="2"/>
    <x v="2"/>
    <x v="2"/>
    <x v="2"/>
    <x v="2"/>
    <x v="2"/>
    <x v="2"/>
    <x v="2"/>
    <x v="2"/>
    <x v="2"/>
    <n v="0"/>
    <n v="0"/>
    <n v="0"/>
    <n v="0"/>
    <n v="0"/>
    <n v="0"/>
  </r>
  <r>
    <x v="64"/>
    <x v="0"/>
    <x v="30"/>
    <x v="4"/>
    <x v="0"/>
    <x v="0"/>
    <x v="0"/>
    <x v="2"/>
    <x v="2"/>
    <x v="0"/>
    <x v="0"/>
    <x v="0"/>
    <x v="0"/>
    <x v="0"/>
    <x v="0"/>
    <x v="0"/>
    <x v="0"/>
    <x v="0"/>
    <x v="0"/>
    <x v="0"/>
    <x v="0"/>
    <x v="0"/>
    <x v="0"/>
    <x v="0"/>
    <x v="0"/>
    <x v="0"/>
    <m/>
    <m/>
    <m/>
    <m/>
    <m/>
    <m/>
  </r>
  <r>
    <x v="64"/>
    <x v="0"/>
    <x v="30"/>
    <x v="4"/>
    <x v="0"/>
    <x v="1"/>
    <x v="0"/>
    <x v="18"/>
    <x v="19"/>
    <x v="2"/>
    <x v="2"/>
    <x v="2"/>
    <x v="2"/>
    <x v="2"/>
    <x v="2"/>
    <x v="2"/>
    <x v="2"/>
    <x v="2"/>
    <x v="2"/>
    <x v="2"/>
    <x v="2"/>
    <x v="2"/>
    <x v="2"/>
    <x v="2"/>
    <x v="2"/>
    <x v="2"/>
    <n v="0"/>
    <n v="0"/>
    <n v="0"/>
    <n v="0"/>
    <n v="0"/>
    <n v="0"/>
  </r>
  <r>
    <x v="64"/>
    <x v="0"/>
    <x v="30"/>
    <x v="4"/>
    <x v="0"/>
    <x v="2"/>
    <x v="0"/>
    <x v="3"/>
    <x v="3"/>
    <x v="0"/>
    <x v="0"/>
    <x v="0"/>
    <x v="0"/>
    <x v="0"/>
    <x v="0"/>
    <x v="0"/>
    <x v="0"/>
    <x v="0"/>
    <x v="0"/>
    <x v="0"/>
    <x v="0"/>
    <x v="0"/>
    <x v="0"/>
    <x v="0"/>
    <x v="0"/>
    <x v="0"/>
    <m/>
    <m/>
    <m/>
    <m/>
    <m/>
    <m/>
  </r>
  <r>
    <x v="64"/>
    <x v="0"/>
    <x v="30"/>
    <x v="4"/>
    <x v="0"/>
    <x v="3"/>
    <x v="0"/>
    <x v="3"/>
    <x v="3"/>
    <x v="0"/>
    <x v="0"/>
    <x v="0"/>
    <x v="0"/>
    <x v="0"/>
    <x v="0"/>
    <x v="0"/>
    <x v="0"/>
    <x v="0"/>
    <x v="0"/>
    <x v="0"/>
    <x v="0"/>
    <x v="0"/>
    <x v="0"/>
    <x v="0"/>
    <x v="0"/>
    <x v="0"/>
    <m/>
    <m/>
    <m/>
    <m/>
    <m/>
    <m/>
  </r>
  <r>
    <x v="64"/>
    <x v="0"/>
    <x v="30"/>
    <x v="4"/>
    <x v="0"/>
    <x v="4"/>
    <x v="0"/>
    <x v="3"/>
    <x v="3"/>
    <x v="0"/>
    <x v="0"/>
    <x v="0"/>
    <x v="0"/>
    <x v="0"/>
    <x v="0"/>
    <x v="0"/>
    <x v="0"/>
    <x v="0"/>
    <x v="0"/>
    <x v="0"/>
    <x v="0"/>
    <x v="0"/>
    <x v="0"/>
    <x v="0"/>
    <x v="0"/>
    <x v="0"/>
    <m/>
    <m/>
    <m/>
    <m/>
    <m/>
    <m/>
  </r>
  <r>
    <x v="64"/>
    <x v="0"/>
    <x v="30"/>
    <x v="4"/>
    <x v="0"/>
    <x v="5"/>
    <x v="0"/>
    <x v="3"/>
    <x v="3"/>
    <x v="0"/>
    <x v="0"/>
    <x v="0"/>
    <x v="0"/>
    <x v="0"/>
    <x v="0"/>
    <x v="0"/>
    <x v="0"/>
    <x v="0"/>
    <x v="0"/>
    <x v="0"/>
    <x v="0"/>
    <x v="0"/>
    <x v="0"/>
    <x v="0"/>
    <x v="0"/>
    <x v="0"/>
    <m/>
    <m/>
    <m/>
    <m/>
    <m/>
    <m/>
  </r>
  <r>
    <x v="64"/>
    <x v="0"/>
    <x v="30"/>
    <x v="4"/>
    <x v="0"/>
    <x v="6"/>
    <x v="0"/>
    <x v="328"/>
    <x v="2"/>
    <x v="2"/>
    <x v="2"/>
    <x v="2"/>
    <x v="2"/>
    <x v="2"/>
    <x v="2"/>
    <x v="132"/>
    <x v="174"/>
    <x v="77"/>
    <x v="2"/>
    <x v="2"/>
    <x v="148"/>
    <x v="2"/>
    <x v="2"/>
    <x v="2"/>
    <x v="2"/>
    <x v="2"/>
    <n v="0"/>
    <n v="0"/>
    <n v="0"/>
    <n v="0"/>
    <n v="0"/>
    <n v="0"/>
  </r>
  <r>
    <x v="64"/>
    <x v="0"/>
    <x v="30"/>
    <x v="4"/>
    <x v="0"/>
    <x v="7"/>
    <x v="0"/>
    <x v="328"/>
    <x v="3"/>
    <x v="0"/>
    <x v="0"/>
    <x v="0"/>
    <x v="0"/>
    <x v="0"/>
    <x v="0"/>
    <x v="132"/>
    <x v="174"/>
    <x v="77"/>
    <x v="0"/>
    <x v="0"/>
    <x v="148"/>
    <x v="0"/>
    <x v="0"/>
    <x v="0"/>
    <x v="0"/>
    <x v="0"/>
    <m/>
    <m/>
    <m/>
    <m/>
    <m/>
    <m/>
  </r>
  <r>
    <x v="64"/>
    <x v="0"/>
    <x v="30"/>
    <x v="4"/>
    <x v="0"/>
    <x v="8"/>
    <x v="0"/>
    <x v="2"/>
    <x v="3"/>
    <x v="0"/>
    <x v="0"/>
    <x v="0"/>
    <x v="0"/>
    <x v="0"/>
    <x v="0"/>
    <x v="0"/>
    <x v="0"/>
    <x v="0"/>
    <x v="0"/>
    <x v="0"/>
    <x v="0"/>
    <x v="0"/>
    <x v="0"/>
    <x v="0"/>
    <x v="0"/>
    <x v="0"/>
    <m/>
    <m/>
    <m/>
    <m/>
    <m/>
    <m/>
  </r>
  <r>
    <x v="64"/>
    <x v="0"/>
    <x v="30"/>
    <x v="4"/>
    <x v="0"/>
    <x v="9"/>
    <x v="0"/>
    <x v="2"/>
    <x v="3"/>
    <x v="0"/>
    <x v="0"/>
    <x v="0"/>
    <x v="0"/>
    <x v="0"/>
    <x v="0"/>
    <x v="0"/>
    <x v="0"/>
    <x v="0"/>
    <x v="0"/>
    <x v="0"/>
    <x v="0"/>
    <x v="0"/>
    <x v="0"/>
    <x v="0"/>
    <x v="0"/>
    <x v="0"/>
    <m/>
    <m/>
    <m/>
    <m/>
    <m/>
    <m/>
  </r>
  <r>
    <x v="64"/>
    <x v="0"/>
    <x v="30"/>
    <x v="4"/>
    <x v="0"/>
    <x v="10"/>
    <x v="0"/>
    <x v="328"/>
    <x v="3"/>
    <x v="0"/>
    <x v="0"/>
    <x v="0"/>
    <x v="0"/>
    <x v="0"/>
    <x v="0"/>
    <x v="132"/>
    <x v="174"/>
    <x v="77"/>
    <x v="0"/>
    <x v="0"/>
    <x v="148"/>
    <x v="0"/>
    <x v="0"/>
    <x v="0"/>
    <x v="0"/>
    <x v="0"/>
    <m/>
    <m/>
    <m/>
    <m/>
    <m/>
    <m/>
  </r>
  <r>
    <x v="64"/>
    <x v="0"/>
    <x v="30"/>
    <x v="4"/>
    <x v="0"/>
    <x v="11"/>
    <x v="0"/>
    <x v="3"/>
    <x v="367"/>
    <x v="166"/>
    <x v="173"/>
    <x v="172"/>
    <x v="177"/>
    <x v="171"/>
    <x v="172"/>
    <x v="176"/>
    <x v="175"/>
    <x v="177"/>
    <x v="166"/>
    <x v="175"/>
    <x v="171"/>
    <x v="174"/>
    <x v="167"/>
    <x v="155"/>
    <x v="151"/>
    <x v="150"/>
    <n v="39999"/>
    <n v="39999"/>
    <n v="39999"/>
    <n v="39999"/>
    <n v="39999"/>
    <n v="39999"/>
  </r>
  <r>
    <x v="64"/>
    <x v="0"/>
    <x v="30"/>
    <x v="4"/>
    <x v="0"/>
    <x v="12"/>
    <x v="0"/>
    <x v="3"/>
    <x v="2"/>
    <x v="2"/>
    <x v="2"/>
    <x v="2"/>
    <x v="2"/>
    <x v="2"/>
    <x v="2"/>
    <x v="2"/>
    <x v="2"/>
    <x v="2"/>
    <x v="2"/>
    <x v="2"/>
    <x v="2"/>
    <x v="2"/>
    <x v="2"/>
    <x v="2"/>
    <x v="2"/>
    <x v="2"/>
    <n v="0"/>
    <n v="0"/>
    <n v="0"/>
    <n v="0"/>
    <n v="0"/>
    <n v="0"/>
  </r>
  <r>
    <x v="65"/>
    <x v="0"/>
    <x v="30"/>
    <x v="0"/>
    <x v="1"/>
    <x v="0"/>
    <x v="0"/>
    <x v="329"/>
    <x v="368"/>
    <x v="0"/>
    <x v="0"/>
    <x v="0"/>
    <x v="0"/>
    <x v="0"/>
    <x v="0"/>
    <x v="0"/>
    <x v="0"/>
    <x v="0"/>
    <x v="0"/>
    <x v="0"/>
    <x v="0"/>
    <x v="0"/>
    <x v="0"/>
    <x v="0"/>
    <x v="0"/>
    <x v="0"/>
    <m/>
    <m/>
    <m/>
    <m/>
    <m/>
    <m/>
  </r>
  <r>
    <x v="65"/>
    <x v="0"/>
    <x v="30"/>
    <x v="0"/>
    <x v="1"/>
    <x v="1"/>
    <x v="0"/>
    <x v="330"/>
    <x v="369"/>
    <x v="167"/>
    <x v="174"/>
    <x v="173"/>
    <x v="178"/>
    <x v="172"/>
    <x v="173"/>
    <x v="177"/>
    <x v="176"/>
    <x v="178"/>
    <x v="167"/>
    <x v="176"/>
    <x v="172"/>
    <x v="175"/>
    <x v="168"/>
    <x v="156"/>
    <x v="152"/>
    <x v="151"/>
    <n v="5287"/>
    <n v="5333"/>
    <n v="4796"/>
    <n v="4169"/>
    <n v="1528"/>
    <n v="1504"/>
  </r>
  <r>
    <x v="65"/>
    <x v="0"/>
    <x v="30"/>
    <x v="0"/>
    <x v="1"/>
    <x v="2"/>
    <x v="0"/>
    <x v="331"/>
    <x v="370"/>
    <x v="0"/>
    <x v="0"/>
    <x v="0"/>
    <x v="0"/>
    <x v="0"/>
    <x v="0"/>
    <x v="0"/>
    <x v="0"/>
    <x v="0"/>
    <x v="0"/>
    <x v="0"/>
    <x v="0"/>
    <x v="0"/>
    <x v="0"/>
    <x v="0"/>
    <x v="0"/>
    <x v="0"/>
    <m/>
    <m/>
    <m/>
    <m/>
    <m/>
    <m/>
  </r>
  <r>
    <x v="65"/>
    <x v="0"/>
    <x v="30"/>
    <x v="0"/>
    <x v="1"/>
    <x v="3"/>
    <x v="0"/>
    <x v="2"/>
    <x v="2"/>
    <x v="0"/>
    <x v="0"/>
    <x v="0"/>
    <x v="0"/>
    <x v="0"/>
    <x v="0"/>
    <x v="0"/>
    <x v="0"/>
    <x v="0"/>
    <x v="0"/>
    <x v="0"/>
    <x v="0"/>
    <x v="0"/>
    <x v="0"/>
    <x v="0"/>
    <x v="0"/>
    <x v="0"/>
    <m/>
    <m/>
    <m/>
    <m/>
    <m/>
    <m/>
  </r>
  <r>
    <x v="65"/>
    <x v="0"/>
    <x v="30"/>
    <x v="0"/>
    <x v="1"/>
    <x v="4"/>
    <x v="0"/>
    <x v="332"/>
    <x v="371"/>
    <x v="0"/>
    <x v="0"/>
    <x v="0"/>
    <x v="0"/>
    <x v="0"/>
    <x v="0"/>
    <x v="0"/>
    <x v="0"/>
    <x v="0"/>
    <x v="0"/>
    <x v="0"/>
    <x v="0"/>
    <x v="0"/>
    <x v="0"/>
    <x v="0"/>
    <x v="0"/>
    <x v="0"/>
    <m/>
    <m/>
    <m/>
    <m/>
    <m/>
    <m/>
  </r>
  <r>
    <x v="65"/>
    <x v="0"/>
    <x v="30"/>
    <x v="0"/>
    <x v="1"/>
    <x v="5"/>
    <x v="0"/>
    <x v="3"/>
    <x v="3"/>
    <x v="0"/>
    <x v="0"/>
    <x v="0"/>
    <x v="0"/>
    <x v="0"/>
    <x v="0"/>
    <x v="0"/>
    <x v="0"/>
    <x v="0"/>
    <x v="0"/>
    <x v="0"/>
    <x v="0"/>
    <x v="0"/>
    <x v="0"/>
    <x v="0"/>
    <x v="0"/>
    <x v="0"/>
    <m/>
    <m/>
    <m/>
    <m/>
    <m/>
    <m/>
  </r>
  <r>
    <x v="65"/>
    <x v="0"/>
    <x v="30"/>
    <x v="0"/>
    <x v="1"/>
    <x v="6"/>
    <x v="0"/>
    <x v="333"/>
    <x v="2"/>
    <x v="2"/>
    <x v="2"/>
    <x v="2"/>
    <x v="2"/>
    <x v="2"/>
    <x v="2"/>
    <x v="2"/>
    <x v="177"/>
    <x v="179"/>
    <x v="168"/>
    <x v="177"/>
    <x v="173"/>
    <x v="176"/>
    <x v="169"/>
    <x v="157"/>
    <x v="2"/>
    <x v="2"/>
    <n v="0"/>
    <n v="0"/>
    <n v="0"/>
    <n v="0"/>
    <n v="0"/>
    <n v="0"/>
  </r>
  <r>
    <x v="65"/>
    <x v="0"/>
    <x v="30"/>
    <x v="0"/>
    <x v="1"/>
    <x v="7"/>
    <x v="0"/>
    <x v="333"/>
    <x v="3"/>
    <x v="0"/>
    <x v="0"/>
    <x v="0"/>
    <x v="0"/>
    <x v="0"/>
    <x v="0"/>
    <x v="0"/>
    <x v="177"/>
    <x v="179"/>
    <x v="168"/>
    <x v="177"/>
    <x v="173"/>
    <x v="176"/>
    <x v="169"/>
    <x v="157"/>
    <x v="0"/>
    <x v="0"/>
    <m/>
    <m/>
    <m/>
    <m/>
    <m/>
    <m/>
  </r>
  <r>
    <x v="65"/>
    <x v="0"/>
    <x v="30"/>
    <x v="0"/>
    <x v="1"/>
    <x v="8"/>
    <x v="0"/>
    <x v="2"/>
    <x v="3"/>
    <x v="0"/>
    <x v="0"/>
    <x v="0"/>
    <x v="0"/>
    <x v="0"/>
    <x v="0"/>
    <x v="0"/>
    <x v="0"/>
    <x v="0"/>
    <x v="0"/>
    <x v="0"/>
    <x v="0"/>
    <x v="0"/>
    <x v="0"/>
    <x v="0"/>
    <x v="0"/>
    <x v="0"/>
    <m/>
    <m/>
    <m/>
    <m/>
    <m/>
    <m/>
  </r>
  <r>
    <x v="65"/>
    <x v="0"/>
    <x v="30"/>
    <x v="0"/>
    <x v="1"/>
    <x v="9"/>
    <x v="0"/>
    <x v="2"/>
    <x v="3"/>
    <x v="0"/>
    <x v="0"/>
    <x v="0"/>
    <x v="0"/>
    <x v="0"/>
    <x v="0"/>
    <x v="0"/>
    <x v="0"/>
    <x v="0"/>
    <x v="0"/>
    <x v="0"/>
    <x v="0"/>
    <x v="0"/>
    <x v="0"/>
    <x v="0"/>
    <x v="0"/>
    <x v="0"/>
    <m/>
    <m/>
    <m/>
    <m/>
    <m/>
    <m/>
  </r>
  <r>
    <x v="65"/>
    <x v="0"/>
    <x v="30"/>
    <x v="0"/>
    <x v="1"/>
    <x v="10"/>
    <x v="0"/>
    <x v="333"/>
    <x v="3"/>
    <x v="0"/>
    <x v="0"/>
    <x v="0"/>
    <x v="0"/>
    <x v="0"/>
    <x v="0"/>
    <x v="0"/>
    <x v="177"/>
    <x v="179"/>
    <x v="168"/>
    <x v="177"/>
    <x v="173"/>
    <x v="176"/>
    <x v="169"/>
    <x v="157"/>
    <x v="0"/>
    <x v="0"/>
    <m/>
    <m/>
    <m/>
    <m/>
    <m/>
    <m/>
  </r>
  <r>
    <x v="65"/>
    <x v="0"/>
    <x v="30"/>
    <x v="0"/>
    <x v="1"/>
    <x v="11"/>
    <x v="0"/>
    <x v="3"/>
    <x v="372"/>
    <x v="168"/>
    <x v="175"/>
    <x v="174"/>
    <x v="179"/>
    <x v="173"/>
    <x v="174"/>
    <x v="178"/>
    <x v="178"/>
    <x v="180"/>
    <x v="169"/>
    <x v="178"/>
    <x v="174"/>
    <x v="177"/>
    <x v="170"/>
    <x v="158"/>
    <x v="153"/>
    <x v="152"/>
    <n v="-123723"/>
    <n v="-129056"/>
    <n v="-133852"/>
    <n v="-138021"/>
    <n v="-139549"/>
    <n v="-141053"/>
  </r>
  <r>
    <x v="65"/>
    <x v="0"/>
    <x v="30"/>
    <x v="0"/>
    <x v="1"/>
    <x v="12"/>
    <x v="0"/>
    <x v="3"/>
    <x v="2"/>
    <x v="2"/>
    <x v="2"/>
    <x v="2"/>
    <x v="2"/>
    <x v="2"/>
    <x v="2"/>
    <x v="2"/>
    <x v="2"/>
    <x v="2"/>
    <x v="2"/>
    <x v="2"/>
    <x v="2"/>
    <x v="2"/>
    <x v="2"/>
    <x v="2"/>
    <x v="2"/>
    <x v="2"/>
    <n v="0"/>
    <n v="0"/>
    <n v="0"/>
    <n v="0"/>
    <n v="0"/>
    <n v="0"/>
  </r>
  <r>
    <x v="66"/>
    <x v="0"/>
    <x v="31"/>
    <x v="2"/>
    <x v="0"/>
    <x v="0"/>
    <x v="0"/>
    <x v="334"/>
    <x v="373"/>
    <x v="0"/>
    <x v="0"/>
    <x v="0"/>
    <x v="0"/>
    <x v="0"/>
    <x v="0"/>
    <x v="0"/>
    <x v="0"/>
    <x v="0"/>
    <x v="0"/>
    <x v="0"/>
    <x v="0"/>
    <x v="0"/>
    <x v="0"/>
    <x v="0"/>
    <x v="0"/>
    <x v="0"/>
    <m/>
    <m/>
    <m/>
    <m/>
    <m/>
    <m/>
  </r>
  <r>
    <x v="66"/>
    <x v="0"/>
    <x v="31"/>
    <x v="2"/>
    <x v="0"/>
    <x v="1"/>
    <x v="0"/>
    <x v="335"/>
    <x v="374"/>
    <x v="169"/>
    <x v="176"/>
    <x v="175"/>
    <x v="180"/>
    <x v="174"/>
    <x v="175"/>
    <x v="179"/>
    <x v="179"/>
    <x v="181"/>
    <x v="170"/>
    <x v="179"/>
    <x v="175"/>
    <x v="178"/>
    <x v="171"/>
    <x v="159"/>
    <x v="154"/>
    <x v="153"/>
    <n v="23"/>
    <n v="22.5"/>
    <n v="22.5"/>
    <n v="20.5"/>
    <n v="20"/>
    <n v="20"/>
  </r>
  <r>
    <x v="66"/>
    <x v="0"/>
    <x v="31"/>
    <x v="2"/>
    <x v="0"/>
    <x v="2"/>
    <x v="0"/>
    <x v="2"/>
    <x v="2"/>
    <x v="0"/>
    <x v="0"/>
    <x v="0"/>
    <x v="0"/>
    <x v="0"/>
    <x v="0"/>
    <x v="0"/>
    <x v="0"/>
    <x v="0"/>
    <x v="0"/>
    <x v="0"/>
    <x v="0"/>
    <x v="0"/>
    <x v="0"/>
    <x v="0"/>
    <x v="0"/>
    <x v="0"/>
    <m/>
    <m/>
    <m/>
    <m/>
    <m/>
    <m/>
  </r>
  <r>
    <x v="66"/>
    <x v="0"/>
    <x v="31"/>
    <x v="2"/>
    <x v="0"/>
    <x v="3"/>
    <x v="0"/>
    <x v="2"/>
    <x v="2"/>
    <x v="0"/>
    <x v="0"/>
    <x v="0"/>
    <x v="0"/>
    <x v="0"/>
    <x v="0"/>
    <x v="0"/>
    <x v="0"/>
    <x v="0"/>
    <x v="0"/>
    <x v="0"/>
    <x v="0"/>
    <x v="0"/>
    <x v="0"/>
    <x v="0"/>
    <x v="0"/>
    <x v="0"/>
    <m/>
    <m/>
    <m/>
    <m/>
    <m/>
    <m/>
  </r>
  <r>
    <x v="66"/>
    <x v="0"/>
    <x v="31"/>
    <x v="2"/>
    <x v="0"/>
    <x v="4"/>
    <x v="0"/>
    <x v="2"/>
    <x v="2"/>
    <x v="0"/>
    <x v="0"/>
    <x v="0"/>
    <x v="0"/>
    <x v="0"/>
    <x v="0"/>
    <x v="0"/>
    <x v="0"/>
    <x v="0"/>
    <x v="0"/>
    <x v="0"/>
    <x v="0"/>
    <x v="0"/>
    <x v="0"/>
    <x v="0"/>
    <x v="0"/>
    <x v="0"/>
    <m/>
    <m/>
    <m/>
    <m/>
    <m/>
    <m/>
  </r>
  <r>
    <x v="66"/>
    <x v="0"/>
    <x v="31"/>
    <x v="2"/>
    <x v="0"/>
    <x v="5"/>
    <x v="0"/>
    <x v="3"/>
    <x v="3"/>
    <x v="0"/>
    <x v="0"/>
    <x v="0"/>
    <x v="0"/>
    <x v="0"/>
    <x v="0"/>
    <x v="0"/>
    <x v="0"/>
    <x v="0"/>
    <x v="0"/>
    <x v="0"/>
    <x v="0"/>
    <x v="0"/>
    <x v="0"/>
    <x v="0"/>
    <x v="0"/>
    <x v="0"/>
    <m/>
    <m/>
    <m/>
    <m/>
    <m/>
    <m/>
  </r>
  <r>
    <x v="66"/>
    <x v="0"/>
    <x v="31"/>
    <x v="2"/>
    <x v="0"/>
    <x v="6"/>
    <x v="0"/>
    <x v="336"/>
    <x v="2"/>
    <x v="2"/>
    <x v="2"/>
    <x v="2"/>
    <x v="2"/>
    <x v="2"/>
    <x v="2"/>
    <x v="2"/>
    <x v="2"/>
    <x v="2"/>
    <x v="2"/>
    <x v="2"/>
    <x v="2"/>
    <x v="2"/>
    <x v="172"/>
    <x v="2"/>
    <x v="2"/>
    <x v="2"/>
    <n v="0"/>
    <n v="0"/>
    <n v="0"/>
    <n v="0"/>
    <n v="0"/>
    <n v="0"/>
  </r>
  <r>
    <x v="66"/>
    <x v="0"/>
    <x v="31"/>
    <x v="2"/>
    <x v="0"/>
    <x v="7"/>
    <x v="0"/>
    <x v="336"/>
    <x v="3"/>
    <x v="0"/>
    <x v="0"/>
    <x v="0"/>
    <x v="0"/>
    <x v="0"/>
    <x v="0"/>
    <x v="0"/>
    <x v="0"/>
    <x v="0"/>
    <x v="0"/>
    <x v="0"/>
    <x v="0"/>
    <x v="0"/>
    <x v="172"/>
    <x v="0"/>
    <x v="0"/>
    <x v="0"/>
    <m/>
    <m/>
    <m/>
    <m/>
    <m/>
    <m/>
  </r>
  <r>
    <x v="66"/>
    <x v="0"/>
    <x v="31"/>
    <x v="2"/>
    <x v="0"/>
    <x v="8"/>
    <x v="0"/>
    <x v="2"/>
    <x v="3"/>
    <x v="0"/>
    <x v="0"/>
    <x v="0"/>
    <x v="0"/>
    <x v="0"/>
    <x v="0"/>
    <x v="0"/>
    <x v="0"/>
    <x v="0"/>
    <x v="0"/>
    <x v="0"/>
    <x v="0"/>
    <x v="0"/>
    <x v="0"/>
    <x v="0"/>
    <x v="0"/>
    <x v="0"/>
    <m/>
    <m/>
    <m/>
    <m/>
    <m/>
    <m/>
  </r>
  <r>
    <x v="66"/>
    <x v="0"/>
    <x v="31"/>
    <x v="2"/>
    <x v="0"/>
    <x v="9"/>
    <x v="0"/>
    <x v="2"/>
    <x v="3"/>
    <x v="0"/>
    <x v="0"/>
    <x v="0"/>
    <x v="0"/>
    <x v="0"/>
    <x v="0"/>
    <x v="0"/>
    <x v="0"/>
    <x v="0"/>
    <x v="0"/>
    <x v="0"/>
    <x v="0"/>
    <x v="0"/>
    <x v="0"/>
    <x v="0"/>
    <x v="0"/>
    <x v="0"/>
    <m/>
    <m/>
    <m/>
    <m/>
    <m/>
    <m/>
  </r>
  <r>
    <x v="66"/>
    <x v="0"/>
    <x v="31"/>
    <x v="2"/>
    <x v="0"/>
    <x v="10"/>
    <x v="0"/>
    <x v="336"/>
    <x v="3"/>
    <x v="0"/>
    <x v="0"/>
    <x v="0"/>
    <x v="0"/>
    <x v="0"/>
    <x v="0"/>
    <x v="0"/>
    <x v="0"/>
    <x v="0"/>
    <x v="0"/>
    <x v="0"/>
    <x v="0"/>
    <x v="0"/>
    <x v="172"/>
    <x v="0"/>
    <x v="0"/>
    <x v="0"/>
    <m/>
    <m/>
    <m/>
    <m/>
    <m/>
    <m/>
  </r>
  <r>
    <x v="66"/>
    <x v="0"/>
    <x v="31"/>
    <x v="2"/>
    <x v="0"/>
    <x v="11"/>
    <x v="0"/>
    <x v="3"/>
    <x v="375"/>
    <x v="170"/>
    <x v="177"/>
    <x v="176"/>
    <x v="181"/>
    <x v="175"/>
    <x v="176"/>
    <x v="180"/>
    <x v="180"/>
    <x v="182"/>
    <x v="171"/>
    <x v="180"/>
    <x v="176"/>
    <x v="179"/>
    <x v="173"/>
    <x v="160"/>
    <x v="155"/>
    <x v="154"/>
    <n v="2522"/>
    <n v="2499.5"/>
    <n v="2477"/>
    <n v="2456.5"/>
    <n v="2436.5"/>
    <n v="2416.5"/>
  </r>
  <r>
    <x v="66"/>
    <x v="0"/>
    <x v="31"/>
    <x v="2"/>
    <x v="0"/>
    <x v="12"/>
    <x v="0"/>
    <x v="3"/>
    <x v="2"/>
    <x v="2"/>
    <x v="2"/>
    <x v="2"/>
    <x v="2"/>
    <x v="2"/>
    <x v="2"/>
    <x v="2"/>
    <x v="2"/>
    <x v="2"/>
    <x v="2"/>
    <x v="2"/>
    <x v="2"/>
    <x v="2"/>
    <x v="2"/>
    <x v="2"/>
    <x v="2"/>
    <x v="2"/>
    <n v="0"/>
    <n v="0"/>
    <n v="0"/>
    <n v="0"/>
    <n v="0"/>
    <n v="0"/>
  </r>
  <r>
    <x v="67"/>
    <x v="0"/>
    <x v="31"/>
    <x v="1"/>
    <x v="0"/>
    <x v="0"/>
    <x v="0"/>
    <x v="334"/>
    <x v="373"/>
    <x v="0"/>
    <x v="0"/>
    <x v="0"/>
    <x v="0"/>
    <x v="0"/>
    <x v="0"/>
    <x v="0"/>
    <x v="0"/>
    <x v="0"/>
    <x v="0"/>
    <x v="0"/>
    <x v="0"/>
    <x v="0"/>
    <x v="0"/>
    <x v="0"/>
    <x v="0"/>
    <x v="0"/>
    <m/>
    <m/>
    <m/>
    <m/>
    <m/>
    <m/>
  </r>
  <r>
    <x v="67"/>
    <x v="0"/>
    <x v="31"/>
    <x v="1"/>
    <x v="0"/>
    <x v="1"/>
    <x v="0"/>
    <x v="335"/>
    <x v="374"/>
    <x v="169"/>
    <x v="176"/>
    <x v="175"/>
    <x v="180"/>
    <x v="174"/>
    <x v="175"/>
    <x v="179"/>
    <x v="179"/>
    <x v="181"/>
    <x v="170"/>
    <x v="179"/>
    <x v="175"/>
    <x v="178"/>
    <x v="171"/>
    <x v="159"/>
    <x v="154"/>
    <x v="153"/>
    <n v="23"/>
    <n v="22.5"/>
    <n v="22.5"/>
    <n v="20.5"/>
    <n v="20"/>
    <n v="20"/>
  </r>
  <r>
    <x v="67"/>
    <x v="0"/>
    <x v="31"/>
    <x v="1"/>
    <x v="0"/>
    <x v="2"/>
    <x v="0"/>
    <x v="337"/>
    <x v="376"/>
    <x v="0"/>
    <x v="0"/>
    <x v="0"/>
    <x v="0"/>
    <x v="0"/>
    <x v="0"/>
    <x v="0"/>
    <x v="0"/>
    <x v="0"/>
    <x v="0"/>
    <x v="0"/>
    <x v="0"/>
    <x v="0"/>
    <x v="0"/>
    <x v="0"/>
    <x v="0"/>
    <x v="0"/>
    <m/>
    <m/>
    <m/>
    <m/>
    <m/>
    <m/>
  </r>
  <r>
    <x v="67"/>
    <x v="0"/>
    <x v="31"/>
    <x v="1"/>
    <x v="0"/>
    <x v="3"/>
    <x v="0"/>
    <x v="2"/>
    <x v="2"/>
    <x v="0"/>
    <x v="0"/>
    <x v="0"/>
    <x v="0"/>
    <x v="0"/>
    <x v="0"/>
    <x v="0"/>
    <x v="0"/>
    <x v="0"/>
    <x v="0"/>
    <x v="0"/>
    <x v="0"/>
    <x v="0"/>
    <x v="0"/>
    <x v="0"/>
    <x v="0"/>
    <x v="0"/>
    <m/>
    <m/>
    <m/>
    <m/>
    <m/>
    <m/>
  </r>
  <r>
    <x v="67"/>
    <x v="0"/>
    <x v="31"/>
    <x v="1"/>
    <x v="0"/>
    <x v="4"/>
    <x v="0"/>
    <x v="338"/>
    <x v="377"/>
    <x v="0"/>
    <x v="0"/>
    <x v="0"/>
    <x v="0"/>
    <x v="0"/>
    <x v="0"/>
    <x v="0"/>
    <x v="0"/>
    <x v="0"/>
    <x v="0"/>
    <x v="0"/>
    <x v="0"/>
    <x v="0"/>
    <x v="0"/>
    <x v="0"/>
    <x v="0"/>
    <x v="0"/>
    <m/>
    <m/>
    <m/>
    <m/>
    <m/>
    <m/>
  </r>
  <r>
    <x v="67"/>
    <x v="0"/>
    <x v="31"/>
    <x v="1"/>
    <x v="0"/>
    <x v="5"/>
    <x v="0"/>
    <x v="3"/>
    <x v="3"/>
    <x v="0"/>
    <x v="0"/>
    <x v="0"/>
    <x v="0"/>
    <x v="0"/>
    <x v="0"/>
    <x v="0"/>
    <x v="0"/>
    <x v="0"/>
    <x v="0"/>
    <x v="0"/>
    <x v="0"/>
    <x v="0"/>
    <x v="0"/>
    <x v="0"/>
    <x v="0"/>
    <x v="0"/>
    <m/>
    <m/>
    <m/>
    <m/>
    <m/>
    <m/>
  </r>
  <r>
    <x v="67"/>
    <x v="0"/>
    <x v="31"/>
    <x v="1"/>
    <x v="0"/>
    <x v="6"/>
    <x v="0"/>
    <x v="339"/>
    <x v="2"/>
    <x v="2"/>
    <x v="2"/>
    <x v="2"/>
    <x v="2"/>
    <x v="2"/>
    <x v="2"/>
    <x v="2"/>
    <x v="2"/>
    <x v="2"/>
    <x v="2"/>
    <x v="2"/>
    <x v="2"/>
    <x v="2"/>
    <x v="174"/>
    <x v="2"/>
    <x v="2"/>
    <x v="2"/>
    <n v="0"/>
    <n v="0"/>
    <n v="0"/>
    <n v="0"/>
    <n v="0"/>
    <n v="0"/>
  </r>
  <r>
    <x v="67"/>
    <x v="0"/>
    <x v="31"/>
    <x v="1"/>
    <x v="0"/>
    <x v="7"/>
    <x v="0"/>
    <x v="339"/>
    <x v="3"/>
    <x v="0"/>
    <x v="0"/>
    <x v="0"/>
    <x v="0"/>
    <x v="0"/>
    <x v="0"/>
    <x v="0"/>
    <x v="0"/>
    <x v="0"/>
    <x v="0"/>
    <x v="0"/>
    <x v="0"/>
    <x v="0"/>
    <x v="174"/>
    <x v="0"/>
    <x v="0"/>
    <x v="0"/>
    <m/>
    <m/>
    <m/>
    <m/>
    <m/>
    <m/>
  </r>
  <r>
    <x v="67"/>
    <x v="0"/>
    <x v="31"/>
    <x v="1"/>
    <x v="0"/>
    <x v="8"/>
    <x v="0"/>
    <x v="2"/>
    <x v="3"/>
    <x v="0"/>
    <x v="0"/>
    <x v="0"/>
    <x v="0"/>
    <x v="0"/>
    <x v="0"/>
    <x v="0"/>
    <x v="0"/>
    <x v="0"/>
    <x v="0"/>
    <x v="0"/>
    <x v="0"/>
    <x v="0"/>
    <x v="0"/>
    <x v="0"/>
    <x v="0"/>
    <x v="0"/>
    <m/>
    <m/>
    <m/>
    <m/>
    <m/>
    <m/>
  </r>
  <r>
    <x v="67"/>
    <x v="0"/>
    <x v="31"/>
    <x v="1"/>
    <x v="0"/>
    <x v="9"/>
    <x v="0"/>
    <x v="2"/>
    <x v="3"/>
    <x v="0"/>
    <x v="0"/>
    <x v="0"/>
    <x v="0"/>
    <x v="0"/>
    <x v="0"/>
    <x v="0"/>
    <x v="0"/>
    <x v="0"/>
    <x v="0"/>
    <x v="0"/>
    <x v="0"/>
    <x v="0"/>
    <x v="0"/>
    <x v="0"/>
    <x v="0"/>
    <x v="0"/>
    <m/>
    <m/>
    <m/>
    <m/>
    <m/>
    <m/>
  </r>
  <r>
    <x v="67"/>
    <x v="0"/>
    <x v="31"/>
    <x v="1"/>
    <x v="0"/>
    <x v="10"/>
    <x v="0"/>
    <x v="339"/>
    <x v="3"/>
    <x v="0"/>
    <x v="0"/>
    <x v="0"/>
    <x v="0"/>
    <x v="0"/>
    <x v="0"/>
    <x v="0"/>
    <x v="0"/>
    <x v="0"/>
    <x v="0"/>
    <x v="0"/>
    <x v="0"/>
    <x v="0"/>
    <x v="174"/>
    <x v="0"/>
    <x v="0"/>
    <x v="0"/>
    <m/>
    <m/>
    <m/>
    <m/>
    <m/>
    <m/>
  </r>
  <r>
    <x v="67"/>
    <x v="0"/>
    <x v="31"/>
    <x v="1"/>
    <x v="0"/>
    <x v="11"/>
    <x v="0"/>
    <x v="3"/>
    <x v="378"/>
    <x v="171"/>
    <x v="178"/>
    <x v="177"/>
    <x v="182"/>
    <x v="176"/>
    <x v="177"/>
    <x v="181"/>
    <x v="181"/>
    <x v="183"/>
    <x v="172"/>
    <x v="181"/>
    <x v="177"/>
    <x v="180"/>
    <x v="175"/>
    <x v="161"/>
    <x v="156"/>
    <x v="155"/>
    <n v="5250"/>
    <n v="5227.5"/>
    <n v="5205"/>
    <n v="5184.5"/>
    <n v="5164.5"/>
    <n v="5144.5"/>
  </r>
  <r>
    <x v="67"/>
    <x v="0"/>
    <x v="31"/>
    <x v="1"/>
    <x v="0"/>
    <x v="12"/>
    <x v="0"/>
    <x v="3"/>
    <x v="2"/>
    <x v="2"/>
    <x v="2"/>
    <x v="2"/>
    <x v="2"/>
    <x v="2"/>
    <x v="2"/>
    <x v="2"/>
    <x v="2"/>
    <x v="2"/>
    <x v="2"/>
    <x v="2"/>
    <x v="2"/>
    <x v="2"/>
    <x v="2"/>
    <x v="2"/>
    <x v="2"/>
    <x v="2"/>
    <n v="0"/>
    <n v="0"/>
    <n v="0"/>
    <n v="0"/>
    <n v="0"/>
    <n v="0"/>
  </r>
  <r>
    <x v="68"/>
    <x v="0"/>
    <x v="32"/>
    <x v="2"/>
    <x v="0"/>
    <x v="0"/>
    <x v="0"/>
    <x v="340"/>
    <x v="379"/>
    <x v="0"/>
    <x v="0"/>
    <x v="0"/>
    <x v="0"/>
    <x v="0"/>
    <x v="0"/>
    <x v="0"/>
    <x v="0"/>
    <x v="0"/>
    <x v="0"/>
    <x v="0"/>
    <x v="0"/>
    <x v="0"/>
    <x v="0"/>
    <x v="0"/>
    <x v="0"/>
    <x v="0"/>
    <m/>
    <m/>
    <m/>
    <m/>
    <m/>
    <m/>
  </r>
  <r>
    <x v="68"/>
    <x v="0"/>
    <x v="32"/>
    <x v="2"/>
    <x v="0"/>
    <x v="1"/>
    <x v="0"/>
    <x v="341"/>
    <x v="380"/>
    <x v="172"/>
    <x v="179"/>
    <x v="178"/>
    <x v="183"/>
    <x v="177"/>
    <x v="178"/>
    <x v="182"/>
    <x v="182"/>
    <x v="184"/>
    <x v="90"/>
    <x v="182"/>
    <x v="178"/>
    <x v="181"/>
    <x v="10"/>
    <x v="162"/>
    <x v="157"/>
    <x v="156"/>
    <n v="684"/>
    <n v="682"/>
    <n v="683"/>
    <n v="710"/>
    <n v="722"/>
    <n v="723"/>
  </r>
  <r>
    <x v="68"/>
    <x v="0"/>
    <x v="32"/>
    <x v="2"/>
    <x v="0"/>
    <x v="2"/>
    <x v="0"/>
    <x v="342"/>
    <x v="381"/>
    <x v="0"/>
    <x v="0"/>
    <x v="0"/>
    <x v="0"/>
    <x v="0"/>
    <x v="0"/>
    <x v="0"/>
    <x v="0"/>
    <x v="0"/>
    <x v="0"/>
    <x v="0"/>
    <x v="0"/>
    <x v="0"/>
    <x v="0"/>
    <x v="0"/>
    <x v="0"/>
    <x v="0"/>
    <m/>
    <m/>
    <m/>
    <m/>
    <m/>
    <m/>
  </r>
  <r>
    <x v="68"/>
    <x v="0"/>
    <x v="32"/>
    <x v="2"/>
    <x v="0"/>
    <x v="3"/>
    <x v="0"/>
    <x v="2"/>
    <x v="2"/>
    <x v="0"/>
    <x v="0"/>
    <x v="0"/>
    <x v="0"/>
    <x v="0"/>
    <x v="0"/>
    <x v="0"/>
    <x v="0"/>
    <x v="0"/>
    <x v="0"/>
    <x v="0"/>
    <x v="0"/>
    <x v="0"/>
    <x v="0"/>
    <x v="0"/>
    <x v="0"/>
    <x v="0"/>
    <m/>
    <m/>
    <m/>
    <m/>
    <m/>
    <m/>
  </r>
  <r>
    <x v="68"/>
    <x v="0"/>
    <x v="32"/>
    <x v="2"/>
    <x v="0"/>
    <x v="4"/>
    <x v="0"/>
    <x v="338"/>
    <x v="377"/>
    <x v="0"/>
    <x v="0"/>
    <x v="0"/>
    <x v="0"/>
    <x v="0"/>
    <x v="0"/>
    <x v="0"/>
    <x v="0"/>
    <x v="0"/>
    <x v="0"/>
    <x v="0"/>
    <x v="0"/>
    <x v="0"/>
    <x v="0"/>
    <x v="0"/>
    <x v="0"/>
    <x v="0"/>
    <m/>
    <m/>
    <m/>
    <m/>
    <m/>
    <m/>
  </r>
  <r>
    <x v="68"/>
    <x v="0"/>
    <x v="32"/>
    <x v="2"/>
    <x v="0"/>
    <x v="5"/>
    <x v="0"/>
    <x v="3"/>
    <x v="3"/>
    <x v="0"/>
    <x v="0"/>
    <x v="0"/>
    <x v="0"/>
    <x v="0"/>
    <x v="0"/>
    <x v="0"/>
    <x v="0"/>
    <x v="0"/>
    <x v="0"/>
    <x v="0"/>
    <x v="0"/>
    <x v="0"/>
    <x v="0"/>
    <x v="0"/>
    <x v="0"/>
    <x v="0"/>
    <m/>
    <m/>
    <m/>
    <m/>
    <m/>
    <m/>
  </r>
  <r>
    <x v="68"/>
    <x v="0"/>
    <x v="32"/>
    <x v="2"/>
    <x v="0"/>
    <x v="6"/>
    <x v="0"/>
    <x v="2"/>
    <x v="2"/>
    <x v="2"/>
    <x v="2"/>
    <x v="2"/>
    <x v="2"/>
    <x v="2"/>
    <x v="2"/>
    <x v="2"/>
    <x v="2"/>
    <x v="2"/>
    <x v="2"/>
    <x v="2"/>
    <x v="2"/>
    <x v="2"/>
    <x v="2"/>
    <x v="2"/>
    <x v="2"/>
    <x v="2"/>
    <n v="0"/>
    <n v="0"/>
    <n v="0"/>
    <n v="0"/>
    <n v="0"/>
    <n v="0"/>
  </r>
  <r>
    <x v="68"/>
    <x v="0"/>
    <x v="32"/>
    <x v="2"/>
    <x v="0"/>
    <x v="7"/>
    <x v="0"/>
    <x v="3"/>
    <x v="3"/>
    <x v="0"/>
    <x v="0"/>
    <x v="0"/>
    <x v="0"/>
    <x v="0"/>
    <x v="0"/>
    <x v="0"/>
    <x v="0"/>
    <x v="0"/>
    <x v="0"/>
    <x v="0"/>
    <x v="0"/>
    <x v="0"/>
    <x v="0"/>
    <x v="0"/>
    <x v="0"/>
    <x v="0"/>
    <m/>
    <m/>
    <m/>
    <m/>
    <m/>
    <m/>
  </r>
  <r>
    <x v="68"/>
    <x v="0"/>
    <x v="32"/>
    <x v="2"/>
    <x v="0"/>
    <x v="8"/>
    <x v="0"/>
    <x v="2"/>
    <x v="3"/>
    <x v="0"/>
    <x v="0"/>
    <x v="0"/>
    <x v="0"/>
    <x v="0"/>
    <x v="0"/>
    <x v="0"/>
    <x v="0"/>
    <x v="0"/>
    <x v="0"/>
    <x v="0"/>
    <x v="0"/>
    <x v="0"/>
    <x v="0"/>
    <x v="0"/>
    <x v="0"/>
    <x v="0"/>
    <m/>
    <m/>
    <m/>
    <m/>
    <m/>
    <m/>
  </r>
  <r>
    <x v="68"/>
    <x v="0"/>
    <x v="32"/>
    <x v="2"/>
    <x v="0"/>
    <x v="9"/>
    <x v="0"/>
    <x v="2"/>
    <x v="3"/>
    <x v="0"/>
    <x v="0"/>
    <x v="0"/>
    <x v="0"/>
    <x v="0"/>
    <x v="0"/>
    <x v="0"/>
    <x v="0"/>
    <x v="0"/>
    <x v="0"/>
    <x v="0"/>
    <x v="0"/>
    <x v="0"/>
    <x v="0"/>
    <x v="0"/>
    <x v="0"/>
    <x v="0"/>
    <m/>
    <m/>
    <m/>
    <m/>
    <m/>
    <m/>
  </r>
  <r>
    <x v="68"/>
    <x v="0"/>
    <x v="32"/>
    <x v="2"/>
    <x v="0"/>
    <x v="10"/>
    <x v="0"/>
    <x v="3"/>
    <x v="3"/>
    <x v="0"/>
    <x v="0"/>
    <x v="0"/>
    <x v="0"/>
    <x v="0"/>
    <x v="0"/>
    <x v="0"/>
    <x v="0"/>
    <x v="0"/>
    <x v="0"/>
    <x v="0"/>
    <x v="0"/>
    <x v="0"/>
    <x v="0"/>
    <x v="0"/>
    <x v="0"/>
    <x v="0"/>
    <m/>
    <m/>
    <m/>
    <m/>
    <m/>
    <m/>
  </r>
  <r>
    <x v="68"/>
    <x v="0"/>
    <x v="32"/>
    <x v="2"/>
    <x v="0"/>
    <x v="11"/>
    <x v="0"/>
    <x v="3"/>
    <x v="382"/>
    <x v="173"/>
    <x v="180"/>
    <x v="179"/>
    <x v="184"/>
    <x v="178"/>
    <x v="179"/>
    <x v="183"/>
    <x v="183"/>
    <x v="185"/>
    <x v="173"/>
    <x v="183"/>
    <x v="179"/>
    <x v="182"/>
    <x v="176"/>
    <x v="163"/>
    <x v="158"/>
    <x v="157"/>
    <n v="-15734"/>
    <n v="-16416"/>
    <n v="-17099"/>
    <n v="-17809"/>
    <n v="-18531"/>
    <n v="-19254"/>
  </r>
  <r>
    <x v="68"/>
    <x v="0"/>
    <x v="32"/>
    <x v="2"/>
    <x v="0"/>
    <x v="12"/>
    <x v="0"/>
    <x v="3"/>
    <x v="2"/>
    <x v="2"/>
    <x v="2"/>
    <x v="2"/>
    <x v="2"/>
    <x v="2"/>
    <x v="2"/>
    <x v="2"/>
    <x v="2"/>
    <x v="2"/>
    <x v="2"/>
    <x v="2"/>
    <x v="2"/>
    <x v="2"/>
    <x v="2"/>
    <x v="2"/>
    <x v="2"/>
    <x v="2"/>
    <n v="0"/>
    <n v="0"/>
    <n v="0"/>
    <n v="0"/>
    <n v="0"/>
    <n v="0"/>
  </r>
  <r>
    <x v="69"/>
    <x v="0"/>
    <x v="32"/>
    <x v="4"/>
    <x v="0"/>
    <x v="0"/>
    <x v="0"/>
    <x v="343"/>
    <x v="383"/>
    <x v="0"/>
    <x v="0"/>
    <x v="0"/>
    <x v="0"/>
    <x v="0"/>
    <x v="0"/>
    <x v="0"/>
    <x v="0"/>
    <x v="0"/>
    <x v="0"/>
    <x v="0"/>
    <x v="0"/>
    <x v="0"/>
    <x v="0"/>
    <x v="0"/>
    <x v="0"/>
    <x v="0"/>
    <m/>
    <m/>
    <m/>
    <m/>
    <m/>
    <m/>
  </r>
  <r>
    <x v="69"/>
    <x v="0"/>
    <x v="32"/>
    <x v="4"/>
    <x v="0"/>
    <x v="1"/>
    <x v="0"/>
    <x v="344"/>
    <x v="384"/>
    <x v="174"/>
    <x v="181"/>
    <x v="180"/>
    <x v="185"/>
    <x v="179"/>
    <x v="180"/>
    <x v="184"/>
    <x v="184"/>
    <x v="186"/>
    <x v="174"/>
    <x v="184"/>
    <x v="180"/>
    <x v="91"/>
    <x v="177"/>
    <x v="164"/>
    <x v="159"/>
    <x v="158"/>
    <n v="971"/>
    <n v="970"/>
    <n v="970"/>
    <n v="800"/>
    <n v="735"/>
    <n v="735"/>
  </r>
  <r>
    <x v="69"/>
    <x v="0"/>
    <x v="32"/>
    <x v="4"/>
    <x v="0"/>
    <x v="2"/>
    <x v="0"/>
    <x v="2"/>
    <x v="2"/>
    <x v="0"/>
    <x v="0"/>
    <x v="0"/>
    <x v="0"/>
    <x v="0"/>
    <x v="0"/>
    <x v="0"/>
    <x v="0"/>
    <x v="0"/>
    <x v="0"/>
    <x v="0"/>
    <x v="0"/>
    <x v="0"/>
    <x v="0"/>
    <x v="0"/>
    <x v="0"/>
    <x v="0"/>
    <m/>
    <m/>
    <m/>
    <m/>
    <m/>
    <m/>
  </r>
  <r>
    <x v="69"/>
    <x v="0"/>
    <x v="32"/>
    <x v="4"/>
    <x v="0"/>
    <x v="3"/>
    <x v="0"/>
    <x v="2"/>
    <x v="2"/>
    <x v="0"/>
    <x v="0"/>
    <x v="0"/>
    <x v="0"/>
    <x v="0"/>
    <x v="0"/>
    <x v="0"/>
    <x v="0"/>
    <x v="0"/>
    <x v="0"/>
    <x v="0"/>
    <x v="0"/>
    <x v="0"/>
    <x v="0"/>
    <x v="0"/>
    <x v="0"/>
    <x v="0"/>
    <m/>
    <m/>
    <m/>
    <m/>
    <m/>
    <m/>
  </r>
  <r>
    <x v="69"/>
    <x v="0"/>
    <x v="32"/>
    <x v="4"/>
    <x v="0"/>
    <x v="4"/>
    <x v="0"/>
    <x v="2"/>
    <x v="2"/>
    <x v="0"/>
    <x v="0"/>
    <x v="0"/>
    <x v="0"/>
    <x v="0"/>
    <x v="0"/>
    <x v="0"/>
    <x v="0"/>
    <x v="0"/>
    <x v="0"/>
    <x v="0"/>
    <x v="0"/>
    <x v="0"/>
    <x v="0"/>
    <x v="0"/>
    <x v="0"/>
    <x v="0"/>
    <m/>
    <m/>
    <m/>
    <m/>
    <m/>
    <m/>
  </r>
  <r>
    <x v="69"/>
    <x v="0"/>
    <x v="32"/>
    <x v="4"/>
    <x v="0"/>
    <x v="5"/>
    <x v="0"/>
    <x v="3"/>
    <x v="3"/>
    <x v="0"/>
    <x v="0"/>
    <x v="0"/>
    <x v="0"/>
    <x v="0"/>
    <x v="0"/>
    <x v="0"/>
    <x v="0"/>
    <x v="0"/>
    <x v="0"/>
    <x v="0"/>
    <x v="0"/>
    <x v="0"/>
    <x v="0"/>
    <x v="0"/>
    <x v="0"/>
    <x v="0"/>
    <m/>
    <m/>
    <m/>
    <m/>
    <m/>
    <m/>
  </r>
  <r>
    <x v="69"/>
    <x v="0"/>
    <x v="32"/>
    <x v="4"/>
    <x v="0"/>
    <x v="6"/>
    <x v="0"/>
    <x v="2"/>
    <x v="2"/>
    <x v="2"/>
    <x v="2"/>
    <x v="2"/>
    <x v="2"/>
    <x v="2"/>
    <x v="2"/>
    <x v="2"/>
    <x v="2"/>
    <x v="2"/>
    <x v="2"/>
    <x v="2"/>
    <x v="2"/>
    <x v="2"/>
    <x v="2"/>
    <x v="2"/>
    <x v="2"/>
    <x v="2"/>
    <n v="0"/>
    <n v="0"/>
    <n v="0"/>
    <n v="0"/>
    <n v="0"/>
    <n v="0"/>
  </r>
  <r>
    <x v="69"/>
    <x v="0"/>
    <x v="32"/>
    <x v="4"/>
    <x v="0"/>
    <x v="7"/>
    <x v="0"/>
    <x v="3"/>
    <x v="3"/>
    <x v="0"/>
    <x v="0"/>
    <x v="0"/>
    <x v="0"/>
    <x v="0"/>
    <x v="0"/>
    <x v="0"/>
    <x v="0"/>
    <x v="0"/>
    <x v="0"/>
    <x v="0"/>
    <x v="0"/>
    <x v="0"/>
    <x v="0"/>
    <x v="0"/>
    <x v="0"/>
    <x v="0"/>
    <m/>
    <m/>
    <m/>
    <m/>
    <m/>
    <m/>
  </r>
  <r>
    <x v="69"/>
    <x v="0"/>
    <x v="32"/>
    <x v="4"/>
    <x v="0"/>
    <x v="8"/>
    <x v="0"/>
    <x v="2"/>
    <x v="3"/>
    <x v="0"/>
    <x v="0"/>
    <x v="0"/>
    <x v="0"/>
    <x v="0"/>
    <x v="0"/>
    <x v="0"/>
    <x v="0"/>
    <x v="0"/>
    <x v="0"/>
    <x v="0"/>
    <x v="0"/>
    <x v="0"/>
    <x v="0"/>
    <x v="0"/>
    <x v="0"/>
    <x v="0"/>
    <m/>
    <m/>
    <m/>
    <m/>
    <m/>
    <m/>
  </r>
  <r>
    <x v="69"/>
    <x v="0"/>
    <x v="32"/>
    <x v="4"/>
    <x v="0"/>
    <x v="9"/>
    <x v="0"/>
    <x v="2"/>
    <x v="3"/>
    <x v="0"/>
    <x v="0"/>
    <x v="0"/>
    <x v="0"/>
    <x v="0"/>
    <x v="0"/>
    <x v="0"/>
    <x v="0"/>
    <x v="0"/>
    <x v="0"/>
    <x v="0"/>
    <x v="0"/>
    <x v="0"/>
    <x v="0"/>
    <x v="0"/>
    <x v="0"/>
    <x v="0"/>
    <m/>
    <m/>
    <m/>
    <m/>
    <m/>
    <m/>
  </r>
  <r>
    <x v="69"/>
    <x v="0"/>
    <x v="32"/>
    <x v="4"/>
    <x v="0"/>
    <x v="10"/>
    <x v="0"/>
    <x v="3"/>
    <x v="3"/>
    <x v="0"/>
    <x v="0"/>
    <x v="0"/>
    <x v="0"/>
    <x v="0"/>
    <x v="0"/>
    <x v="0"/>
    <x v="0"/>
    <x v="0"/>
    <x v="0"/>
    <x v="0"/>
    <x v="0"/>
    <x v="0"/>
    <x v="0"/>
    <x v="0"/>
    <x v="0"/>
    <x v="0"/>
    <m/>
    <m/>
    <m/>
    <m/>
    <m/>
    <m/>
  </r>
  <r>
    <x v="69"/>
    <x v="0"/>
    <x v="32"/>
    <x v="4"/>
    <x v="0"/>
    <x v="11"/>
    <x v="0"/>
    <x v="3"/>
    <x v="385"/>
    <x v="175"/>
    <x v="182"/>
    <x v="181"/>
    <x v="186"/>
    <x v="180"/>
    <x v="181"/>
    <x v="185"/>
    <x v="185"/>
    <x v="187"/>
    <x v="175"/>
    <x v="185"/>
    <x v="181"/>
    <x v="183"/>
    <x v="178"/>
    <x v="165"/>
    <x v="160"/>
    <x v="159"/>
    <n v="-18229"/>
    <n v="-19199"/>
    <n v="-20169"/>
    <n v="-20969"/>
    <n v="-21704"/>
    <n v="-22439"/>
  </r>
  <r>
    <x v="69"/>
    <x v="0"/>
    <x v="32"/>
    <x v="4"/>
    <x v="0"/>
    <x v="12"/>
    <x v="0"/>
    <x v="3"/>
    <x v="2"/>
    <x v="2"/>
    <x v="2"/>
    <x v="2"/>
    <x v="2"/>
    <x v="2"/>
    <x v="2"/>
    <x v="2"/>
    <x v="2"/>
    <x v="2"/>
    <x v="2"/>
    <x v="2"/>
    <x v="2"/>
    <x v="2"/>
    <x v="2"/>
    <x v="2"/>
    <x v="2"/>
    <x v="2"/>
    <n v="0"/>
    <n v="0"/>
    <n v="0"/>
    <n v="0"/>
    <n v="0"/>
    <n v="0"/>
  </r>
  <r>
    <x v="70"/>
    <x v="0"/>
    <x v="33"/>
    <x v="2"/>
    <x v="1"/>
    <x v="0"/>
    <x v="0"/>
    <x v="345"/>
    <x v="386"/>
    <x v="0"/>
    <x v="0"/>
    <x v="0"/>
    <x v="0"/>
    <x v="0"/>
    <x v="0"/>
    <x v="0"/>
    <x v="0"/>
    <x v="0"/>
    <x v="0"/>
    <x v="0"/>
    <x v="0"/>
    <x v="0"/>
    <x v="0"/>
    <x v="0"/>
    <x v="0"/>
    <x v="0"/>
    <m/>
    <m/>
    <m/>
    <m/>
    <m/>
    <m/>
  </r>
  <r>
    <x v="70"/>
    <x v="0"/>
    <x v="33"/>
    <x v="2"/>
    <x v="1"/>
    <x v="1"/>
    <x v="0"/>
    <x v="346"/>
    <x v="387"/>
    <x v="176"/>
    <x v="183"/>
    <x v="182"/>
    <x v="187"/>
    <x v="181"/>
    <x v="182"/>
    <x v="186"/>
    <x v="186"/>
    <x v="188"/>
    <x v="176"/>
    <x v="186"/>
    <x v="182"/>
    <x v="184"/>
    <x v="179"/>
    <x v="166"/>
    <x v="161"/>
    <x v="160"/>
    <n v="99"/>
    <n v="99"/>
    <n v="96"/>
    <n v="66"/>
    <n v="54"/>
    <n v="55"/>
  </r>
  <r>
    <x v="70"/>
    <x v="0"/>
    <x v="33"/>
    <x v="2"/>
    <x v="1"/>
    <x v="2"/>
    <x v="0"/>
    <x v="3"/>
    <x v="3"/>
    <x v="0"/>
    <x v="0"/>
    <x v="0"/>
    <x v="0"/>
    <x v="0"/>
    <x v="0"/>
    <x v="0"/>
    <x v="0"/>
    <x v="0"/>
    <x v="0"/>
    <x v="0"/>
    <x v="0"/>
    <x v="0"/>
    <x v="0"/>
    <x v="0"/>
    <x v="0"/>
    <x v="0"/>
    <m/>
    <m/>
    <m/>
    <m/>
    <m/>
    <m/>
  </r>
  <r>
    <x v="70"/>
    <x v="0"/>
    <x v="33"/>
    <x v="2"/>
    <x v="1"/>
    <x v="3"/>
    <x v="0"/>
    <x v="3"/>
    <x v="3"/>
    <x v="0"/>
    <x v="0"/>
    <x v="0"/>
    <x v="0"/>
    <x v="0"/>
    <x v="0"/>
    <x v="0"/>
    <x v="0"/>
    <x v="0"/>
    <x v="0"/>
    <x v="0"/>
    <x v="0"/>
    <x v="0"/>
    <x v="0"/>
    <x v="0"/>
    <x v="0"/>
    <x v="0"/>
    <m/>
    <m/>
    <m/>
    <m/>
    <m/>
    <m/>
  </r>
  <r>
    <x v="70"/>
    <x v="0"/>
    <x v="33"/>
    <x v="2"/>
    <x v="1"/>
    <x v="4"/>
    <x v="0"/>
    <x v="3"/>
    <x v="3"/>
    <x v="0"/>
    <x v="0"/>
    <x v="0"/>
    <x v="0"/>
    <x v="0"/>
    <x v="0"/>
    <x v="0"/>
    <x v="0"/>
    <x v="0"/>
    <x v="0"/>
    <x v="0"/>
    <x v="0"/>
    <x v="0"/>
    <x v="0"/>
    <x v="0"/>
    <x v="0"/>
    <x v="0"/>
    <m/>
    <m/>
    <m/>
    <m/>
    <m/>
    <m/>
  </r>
  <r>
    <x v="70"/>
    <x v="0"/>
    <x v="33"/>
    <x v="2"/>
    <x v="1"/>
    <x v="5"/>
    <x v="0"/>
    <x v="3"/>
    <x v="3"/>
    <x v="0"/>
    <x v="0"/>
    <x v="0"/>
    <x v="0"/>
    <x v="0"/>
    <x v="0"/>
    <x v="0"/>
    <x v="0"/>
    <x v="0"/>
    <x v="0"/>
    <x v="0"/>
    <x v="0"/>
    <x v="0"/>
    <x v="0"/>
    <x v="0"/>
    <x v="0"/>
    <x v="0"/>
    <m/>
    <m/>
    <m/>
    <m/>
    <m/>
    <m/>
  </r>
  <r>
    <x v="70"/>
    <x v="0"/>
    <x v="33"/>
    <x v="2"/>
    <x v="1"/>
    <x v="6"/>
    <x v="0"/>
    <x v="2"/>
    <x v="2"/>
    <x v="2"/>
    <x v="2"/>
    <x v="2"/>
    <x v="2"/>
    <x v="2"/>
    <x v="2"/>
    <x v="2"/>
    <x v="2"/>
    <x v="2"/>
    <x v="2"/>
    <x v="2"/>
    <x v="2"/>
    <x v="2"/>
    <x v="2"/>
    <x v="2"/>
    <x v="2"/>
    <x v="2"/>
    <n v="0"/>
    <n v="0"/>
    <n v="0"/>
    <n v="0"/>
    <n v="0"/>
    <n v="0"/>
  </r>
  <r>
    <x v="70"/>
    <x v="0"/>
    <x v="33"/>
    <x v="2"/>
    <x v="1"/>
    <x v="7"/>
    <x v="0"/>
    <x v="3"/>
    <x v="3"/>
    <x v="0"/>
    <x v="0"/>
    <x v="0"/>
    <x v="0"/>
    <x v="0"/>
    <x v="0"/>
    <x v="0"/>
    <x v="0"/>
    <x v="0"/>
    <x v="0"/>
    <x v="0"/>
    <x v="0"/>
    <x v="0"/>
    <x v="0"/>
    <x v="0"/>
    <x v="0"/>
    <x v="0"/>
    <m/>
    <m/>
    <m/>
    <m/>
    <m/>
    <m/>
  </r>
  <r>
    <x v="70"/>
    <x v="0"/>
    <x v="33"/>
    <x v="2"/>
    <x v="1"/>
    <x v="8"/>
    <x v="0"/>
    <x v="2"/>
    <x v="3"/>
    <x v="0"/>
    <x v="0"/>
    <x v="0"/>
    <x v="0"/>
    <x v="0"/>
    <x v="0"/>
    <x v="0"/>
    <x v="0"/>
    <x v="0"/>
    <x v="0"/>
    <x v="0"/>
    <x v="0"/>
    <x v="0"/>
    <x v="0"/>
    <x v="0"/>
    <x v="0"/>
    <x v="0"/>
    <m/>
    <m/>
    <m/>
    <m/>
    <m/>
    <m/>
  </r>
  <r>
    <x v="70"/>
    <x v="0"/>
    <x v="33"/>
    <x v="2"/>
    <x v="1"/>
    <x v="9"/>
    <x v="0"/>
    <x v="2"/>
    <x v="3"/>
    <x v="0"/>
    <x v="0"/>
    <x v="0"/>
    <x v="0"/>
    <x v="0"/>
    <x v="0"/>
    <x v="0"/>
    <x v="0"/>
    <x v="0"/>
    <x v="0"/>
    <x v="0"/>
    <x v="0"/>
    <x v="0"/>
    <x v="0"/>
    <x v="0"/>
    <x v="0"/>
    <x v="0"/>
    <m/>
    <m/>
    <m/>
    <m/>
    <m/>
    <m/>
  </r>
  <r>
    <x v="70"/>
    <x v="0"/>
    <x v="33"/>
    <x v="2"/>
    <x v="1"/>
    <x v="10"/>
    <x v="0"/>
    <x v="3"/>
    <x v="3"/>
    <x v="0"/>
    <x v="0"/>
    <x v="0"/>
    <x v="0"/>
    <x v="0"/>
    <x v="0"/>
    <x v="0"/>
    <x v="0"/>
    <x v="0"/>
    <x v="0"/>
    <x v="0"/>
    <x v="0"/>
    <x v="0"/>
    <x v="0"/>
    <x v="0"/>
    <x v="0"/>
    <x v="0"/>
    <m/>
    <m/>
    <m/>
    <m/>
    <m/>
    <m/>
  </r>
  <r>
    <x v="70"/>
    <x v="0"/>
    <x v="33"/>
    <x v="2"/>
    <x v="1"/>
    <x v="11"/>
    <x v="0"/>
    <x v="3"/>
    <x v="388"/>
    <x v="177"/>
    <x v="184"/>
    <x v="183"/>
    <x v="188"/>
    <x v="182"/>
    <x v="183"/>
    <x v="187"/>
    <x v="187"/>
    <x v="189"/>
    <x v="177"/>
    <x v="187"/>
    <x v="183"/>
    <x v="185"/>
    <x v="180"/>
    <x v="167"/>
    <x v="162"/>
    <x v="161"/>
    <n v="-3788"/>
    <n v="-3887"/>
    <n v="-3983"/>
    <n v="-4049"/>
    <n v="-4103"/>
    <n v="-4158"/>
  </r>
  <r>
    <x v="70"/>
    <x v="0"/>
    <x v="33"/>
    <x v="2"/>
    <x v="1"/>
    <x v="12"/>
    <x v="0"/>
    <x v="3"/>
    <x v="2"/>
    <x v="2"/>
    <x v="2"/>
    <x v="2"/>
    <x v="2"/>
    <x v="2"/>
    <x v="2"/>
    <x v="2"/>
    <x v="2"/>
    <x v="2"/>
    <x v="2"/>
    <x v="2"/>
    <x v="2"/>
    <x v="2"/>
    <x v="2"/>
    <x v="2"/>
    <x v="2"/>
    <x v="2"/>
    <n v="0"/>
    <n v="0"/>
    <n v="0"/>
    <n v="0"/>
    <n v="0"/>
    <n v="0"/>
  </r>
  <r>
    <x v="70"/>
    <x v="0"/>
    <x v="33"/>
    <x v="2"/>
    <x v="0"/>
    <x v="0"/>
    <x v="0"/>
    <x v="347"/>
    <x v="389"/>
    <x v="0"/>
    <x v="0"/>
    <x v="0"/>
    <x v="0"/>
    <x v="0"/>
    <x v="0"/>
    <x v="0"/>
    <x v="0"/>
    <x v="0"/>
    <x v="0"/>
    <x v="0"/>
    <x v="0"/>
    <x v="0"/>
    <x v="0"/>
    <x v="0"/>
    <x v="0"/>
    <x v="0"/>
    <m/>
    <m/>
    <m/>
    <m/>
    <m/>
    <m/>
  </r>
  <r>
    <x v="70"/>
    <x v="0"/>
    <x v="33"/>
    <x v="2"/>
    <x v="0"/>
    <x v="1"/>
    <x v="0"/>
    <x v="348"/>
    <x v="390"/>
    <x v="178"/>
    <x v="185"/>
    <x v="184"/>
    <x v="189"/>
    <x v="183"/>
    <x v="184"/>
    <x v="188"/>
    <x v="188"/>
    <x v="190"/>
    <x v="178"/>
    <x v="188"/>
    <x v="184"/>
    <x v="186"/>
    <x v="181"/>
    <x v="168"/>
    <x v="163"/>
    <x v="162"/>
    <n v="3323"/>
    <n v="3323"/>
    <n v="3319"/>
    <n v="3114"/>
    <n v="3034"/>
    <n v="3035"/>
  </r>
  <r>
    <x v="70"/>
    <x v="0"/>
    <x v="33"/>
    <x v="2"/>
    <x v="0"/>
    <x v="2"/>
    <x v="0"/>
    <x v="349"/>
    <x v="391"/>
    <x v="0"/>
    <x v="0"/>
    <x v="0"/>
    <x v="0"/>
    <x v="0"/>
    <x v="0"/>
    <x v="0"/>
    <x v="0"/>
    <x v="0"/>
    <x v="0"/>
    <x v="0"/>
    <x v="0"/>
    <x v="0"/>
    <x v="0"/>
    <x v="0"/>
    <x v="0"/>
    <x v="0"/>
    <m/>
    <m/>
    <m/>
    <m/>
    <m/>
    <m/>
  </r>
  <r>
    <x v="70"/>
    <x v="0"/>
    <x v="33"/>
    <x v="2"/>
    <x v="0"/>
    <x v="3"/>
    <x v="0"/>
    <x v="2"/>
    <x v="2"/>
    <x v="0"/>
    <x v="0"/>
    <x v="0"/>
    <x v="0"/>
    <x v="0"/>
    <x v="0"/>
    <x v="0"/>
    <x v="0"/>
    <x v="0"/>
    <x v="0"/>
    <x v="0"/>
    <x v="0"/>
    <x v="0"/>
    <x v="0"/>
    <x v="0"/>
    <x v="0"/>
    <x v="0"/>
    <m/>
    <m/>
    <m/>
    <m/>
    <m/>
    <m/>
  </r>
  <r>
    <x v="70"/>
    <x v="0"/>
    <x v="33"/>
    <x v="2"/>
    <x v="0"/>
    <x v="4"/>
    <x v="0"/>
    <x v="350"/>
    <x v="392"/>
    <x v="0"/>
    <x v="0"/>
    <x v="0"/>
    <x v="0"/>
    <x v="0"/>
    <x v="0"/>
    <x v="0"/>
    <x v="0"/>
    <x v="0"/>
    <x v="0"/>
    <x v="0"/>
    <x v="0"/>
    <x v="0"/>
    <x v="0"/>
    <x v="0"/>
    <x v="0"/>
    <x v="0"/>
    <m/>
    <m/>
    <m/>
    <m/>
    <m/>
    <m/>
  </r>
  <r>
    <x v="70"/>
    <x v="0"/>
    <x v="33"/>
    <x v="2"/>
    <x v="0"/>
    <x v="5"/>
    <x v="0"/>
    <x v="3"/>
    <x v="3"/>
    <x v="0"/>
    <x v="0"/>
    <x v="0"/>
    <x v="0"/>
    <x v="0"/>
    <x v="0"/>
    <x v="0"/>
    <x v="0"/>
    <x v="0"/>
    <x v="0"/>
    <x v="0"/>
    <x v="0"/>
    <x v="0"/>
    <x v="0"/>
    <x v="0"/>
    <x v="0"/>
    <x v="0"/>
    <m/>
    <m/>
    <m/>
    <m/>
    <m/>
    <m/>
  </r>
  <r>
    <x v="70"/>
    <x v="0"/>
    <x v="33"/>
    <x v="2"/>
    <x v="0"/>
    <x v="6"/>
    <x v="0"/>
    <x v="351"/>
    <x v="393"/>
    <x v="2"/>
    <x v="186"/>
    <x v="185"/>
    <x v="190"/>
    <x v="184"/>
    <x v="185"/>
    <x v="189"/>
    <x v="189"/>
    <x v="191"/>
    <x v="179"/>
    <x v="189"/>
    <x v="2"/>
    <x v="187"/>
    <x v="2"/>
    <x v="2"/>
    <x v="2"/>
    <x v="2"/>
    <n v="0"/>
    <n v="0"/>
    <n v="0"/>
    <n v="0"/>
    <n v="0"/>
    <n v="0"/>
  </r>
  <r>
    <x v="70"/>
    <x v="0"/>
    <x v="33"/>
    <x v="2"/>
    <x v="0"/>
    <x v="7"/>
    <x v="0"/>
    <x v="351"/>
    <x v="393"/>
    <x v="0"/>
    <x v="186"/>
    <x v="185"/>
    <x v="190"/>
    <x v="184"/>
    <x v="185"/>
    <x v="189"/>
    <x v="189"/>
    <x v="191"/>
    <x v="179"/>
    <x v="189"/>
    <x v="0"/>
    <x v="187"/>
    <x v="0"/>
    <x v="0"/>
    <x v="0"/>
    <x v="0"/>
    <m/>
    <m/>
    <m/>
    <m/>
    <m/>
    <m/>
  </r>
  <r>
    <x v="70"/>
    <x v="0"/>
    <x v="33"/>
    <x v="2"/>
    <x v="0"/>
    <x v="8"/>
    <x v="0"/>
    <x v="2"/>
    <x v="3"/>
    <x v="0"/>
    <x v="0"/>
    <x v="0"/>
    <x v="0"/>
    <x v="0"/>
    <x v="0"/>
    <x v="0"/>
    <x v="0"/>
    <x v="0"/>
    <x v="0"/>
    <x v="0"/>
    <x v="0"/>
    <x v="0"/>
    <x v="0"/>
    <x v="0"/>
    <x v="0"/>
    <x v="0"/>
    <m/>
    <m/>
    <m/>
    <m/>
    <m/>
    <m/>
  </r>
  <r>
    <x v="70"/>
    <x v="0"/>
    <x v="33"/>
    <x v="2"/>
    <x v="0"/>
    <x v="9"/>
    <x v="0"/>
    <x v="2"/>
    <x v="3"/>
    <x v="0"/>
    <x v="0"/>
    <x v="0"/>
    <x v="0"/>
    <x v="0"/>
    <x v="0"/>
    <x v="0"/>
    <x v="0"/>
    <x v="0"/>
    <x v="0"/>
    <x v="0"/>
    <x v="0"/>
    <x v="0"/>
    <x v="0"/>
    <x v="0"/>
    <x v="0"/>
    <x v="0"/>
    <m/>
    <m/>
    <m/>
    <m/>
    <m/>
    <m/>
  </r>
  <r>
    <x v="70"/>
    <x v="0"/>
    <x v="33"/>
    <x v="2"/>
    <x v="0"/>
    <x v="10"/>
    <x v="0"/>
    <x v="351"/>
    <x v="393"/>
    <x v="0"/>
    <x v="186"/>
    <x v="185"/>
    <x v="190"/>
    <x v="184"/>
    <x v="185"/>
    <x v="189"/>
    <x v="189"/>
    <x v="191"/>
    <x v="179"/>
    <x v="189"/>
    <x v="0"/>
    <x v="187"/>
    <x v="0"/>
    <x v="0"/>
    <x v="0"/>
    <x v="0"/>
    <m/>
    <m/>
    <m/>
    <m/>
    <m/>
    <m/>
  </r>
  <r>
    <x v="70"/>
    <x v="0"/>
    <x v="33"/>
    <x v="2"/>
    <x v="0"/>
    <x v="11"/>
    <x v="0"/>
    <x v="3"/>
    <x v="394"/>
    <x v="179"/>
    <x v="187"/>
    <x v="186"/>
    <x v="191"/>
    <x v="185"/>
    <x v="186"/>
    <x v="190"/>
    <x v="190"/>
    <x v="192"/>
    <x v="180"/>
    <x v="190"/>
    <x v="185"/>
    <x v="188"/>
    <x v="182"/>
    <x v="169"/>
    <x v="164"/>
    <x v="163"/>
    <n v="73993"/>
    <n v="70670"/>
    <n v="67351"/>
    <n v="64237"/>
    <n v="61203"/>
    <n v="58168"/>
  </r>
  <r>
    <x v="70"/>
    <x v="0"/>
    <x v="33"/>
    <x v="2"/>
    <x v="0"/>
    <x v="12"/>
    <x v="0"/>
    <x v="3"/>
    <x v="2"/>
    <x v="2"/>
    <x v="2"/>
    <x v="2"/>
    <x v="2"/>
    <x v="2"/>
    <x v="2"/>
    <x v="2"/>
    <x v="2"/>
    <x v="2"/>
    <x v="2"/>
    <x v="2"/>
    <x v="2"/>
    <x v="2"/>
    <x v="2"/>
    <x v="2"/>
    <x v="2"/>
    <x v="2"/>
    <n v="0"/>
    <n v="0"/>
    <n v="0"/>
    <n v="0"/>
    <n v="0"/>
    <n v="0"/>
  </r>
  <r>
    <x v="71"/>
    <x v="0"/>
    <x v="2"/>
    <x v="0"/>
    <x v="0"/>
    <x v="0"/>
    <x v="0"/>
    <x v="352"/>
    <x v="395"/>
    <x v="0"/>
    <x v="0"/>
    <x v="0"/>
    <x v="0"/>
    <x v="0"/>
    <x v="0"/>
    <x v="0"/>
    <x v="0"/>
    <x v="0"/>
    <x v="0"/>
    <x v="0"/>
    <x v="0"/>
    <x v="0"/>
    <x v="0"/>
    <x v="0"/>
    <x v="0"/>
    <x v="0"/>
    <m/>
    <m/>
    <m/>
    <m/>
    <m/>
    <m/>
  </r>
  <r>
    <x v="71"/>
    <x v="0"/>
    <x v="2"/>
    <x v="0"/>
    <x v="0"/>
    <x v="1"/>
    <x v="0"/>
    <x v="353"/>
    <x v="396"/>
    <x v="180"/>
    <x v="188"/>
    <x v="187"/>
    <x v="192"/>
    <x v="186"/>
    <x v="187"/>
    <x v="191"/>
    <x v="191"/>
    <x v="193"/>
    <x v="181"/>
    <x v="191"/>
    <x v="186"/>
    <x v="189"/>
    <x v="183"/>
    <x v="170"/>
    <x v="165"/>
    <x v="164"/>
    <n v="3351"/>
    <n v="3350"/>
    <n v="3350"/>
    <n v="2931"/>
    <n v="2764"/>
    <n v="2763"/>
  </r>
  <r>
    <x v="71"/>
    <x v="0"/>
    <x v="2"/>
    <x v="0"/>
    <x v="0"/>
    <x v="2"/>
    <x v="0"/>
    <x v="3"/>
    <x v="3"/>
    <x v="0"/>
    <x v="0"/>
    <x v="0"/>
    <x v="0"/>
    <x v="0"/>
    <x v="0"/>
    <x v="0"/>
    <x v="0"/>
    <x v="0"/>
    <x v="0"/>
    <x v="0"/>
    <x v="0"/>
    <x v="0"/>
    <x v="0"/>
    <x v="0"/>
    <x v="0"/>
    <x v="0"/>
    <m/>
    <m/>
    <m/>
    <m/>
    <m/>
    <m/>
  </r>
  <r>
    <x v="71"/>
    <x v="0"/>
    <x v="2"/>
    <x v="0"/>
    <x v="0"/>
    <x v="3"/>
    <x v="0"/>
    <x v="3"/>
    <x v="3"/>
    <x v="0"/>
    <x v="0"/>
    <x v="0"/>
    <x v="0"/>
    <x v="0"/>
    <x v="0"/>
    <x v="0"/>
    <x v="0"/>
    <x v="0"/>
    <x v="0"/>
    <x v="0"/>
    <x v="0"/>
    <x v="0"/>
    <x v="0"/>
    <x v="0"/>
    <x v="0"/>
    <x v="0"/>
    <m/>
    <m/>
    <m/>
    <m/>
    <m/>
    <m/>
  </r>
  <r>
    <x v="71"/>
    <x v="0"/>
    <x v="2"/>
    <x v="0"/>
    <x v="0"/>
    <x v="4"/>
    <x v="0"/>
    <x v="3"/>
    <x v="3"/>
    <x v="0"/>
    <x v="0"/>
    <x v="0"/>
    <x v="0"/>
    <x v="0"/>
    <x v="0"/>
    <x v="0"/>
    <x v="0"/>
    <x v="0"/>
    <x v="0"/>
    <x v="0"/>
    <x v="0"/>
    <x v="0"/>
    <x v="0"/>
    <x v="0"/>
    <x v="0"/>
    <x v="0"/>
    <m/>
    <m/>
    <m/>
    <m/>
    <m/>
    <m/>
  </r>
  <r>
    <x v="71"/>
    <x v="0"/>
    <x v="2"/>
    <x v="0"/>
    <x v="0"/>
    <x v="5"/>
    <x v="0"/>
    <x v="3"/>
    <x v="3"/>
    <x v="0"/>
    <x v="0"/>
    <x v="0"/>
    <x v="0"/>
    <x v="0"/>
    <x v="0"/>
    <x v="0"/>
    <x v="0"/>
    <x v="0"/>
    <x v="0"/>
    <x v="0"/>
    <x v="0"/>
    <x v="0"/>
    <x v="0"/>
    <x v="0"/>
    <x v="0"/>
    <x v="0"/>
    <m/>
    <m/>
    <m/>
    <m/>
    <m/>
    <m/>
  </r>
  <r>
    <x v="71"/>
    <x v="0"/>
    <x v="2"/>
    <x v="0"/>
    <x v="0"/>
    <x v="6"/>
    <x v="0"/>
    <x v="2"/>
    <x v="2"/>
    <x v="2"/>
    <x v="2"/>
    <x v="2"/>
    <x v="2"/>
    <x v="2"/>
    <x v="2"/>
    <x v="2"/>
    <x v="2"/>
    <x v="2"/>
    <x v="2"/>
    <x v="2"/>
    <x v="2"/>
    <x v="2"/>
    <x v="2"/>
    <x v="2"/>
    <x v="2"/>
    <x v="2"/>
    <n v="0"/>
    <n v="0"/>
    <n v="0"/>
    <n v="0"/>
    <n v="0"/>
    <n v="0"/>
  </r>
  <r>
    <x v="71"/>
    <x v="0"/>
    <x v="2"/>
    <x v="0"/>
    <x v="0"/>
    <x v="7"/>
    <x v="0"/>
    <x v="3"/>
    <x v="3"/>
    <x v="0"/>
    <x v="0"/>
    <x v="0"/>
    <x v="0"/>
    <x v="0"/>
    <x v="0"/>
    <x v="0"/>
    <x v="0"/>
    <x v="0"/>
    <x v="0"/>
    <x v="0"/>
    <x v="0"/>
    <x v="0"/>
    <x v="0"/>
    <x v="0"/>
    <x v="0"/>
    <x v="0"/>
    <m/>
    <m/>
    <m/>
    <m/>
    <m/>
    <m/>
  </r>
  <r>
    <x v="71"/>
    <x v="0"/>
    <x v="2"/>
    <x v="0"/>
    <x v="0"/>
    <x v="8"/>
    <x v="0"/>
    <x v="2"/>
    <x v="3"/>
    <x v="0"/>
    <x v="0"/>
    <x v="0"/>
    <x v="0"/>
    <x v="0"/>
    <x v="0"/>
    <x v="0"/>
    <x v="0"/>
    <x v="0"/>
    <x v="0"/>
    <x v="0"/>
    <x v="0"/>
    <x v="0"/>
    <x v="0"/>
    <x v="0"/>
    <x v="0"/>
    <x v="0"/>
    <m/>
    <m/>
    <m/>
    <m/>
    <m/>
    <m/>
  </r>
  <r>
    <x v="71"/>
    <x v="0"/>
    <x v="2"/>
    <x v="0"/>
    <x v="0"/>
    <x v="9"/>
    <x v="0"/>
    <x v="2"/>
    <x v="3"/>
    <x v="0"/>
    <x v="0"/>
    <x v="0"/>
    <x v="0"/>
    <x v="0"/>
    <x v="0"/>
    <x v="0"/>
    <x v="0"/>
    <x v="0"/>
    <x v="0"/>
    <x v="0"/>
    <x v="0"/>
    <x v="0"/>
    <x v="0"/>
    <x v="0"/>
    <x v="0"/>
    <x v="0"/>
    <m/>
    <m/>
    <m/>
    <m/>
    <m/>
    <m/>
  </r>
  <r>
    <x v="71"/>
    <x v="0"/>
    <x v="2"/>
    <x v="0"/>
    <x v="0"/>
    <x v="10"/>
    <x v="0"/>
    <x v="3"/>
    <x v="3"/>
    <x v="0"/>
    <x v="0"/>
    <x v="0"/>
    <x v="0"/>
    <x v="0"/>
    <x v="0"/>
    <x v="0"/>
    <x v="0"/>
    <x v="0"/>
    <x v="0"/>
    <x v="0"/>
    <x v="0"/>
    <x v="0"/>
    <x v="0"/>
    <x v="0"/>
    <x v="0"/>
    <x v="0"/>
    <m/>
    <m/>
    <m/>
    <m/>
    <m/>
    <m/>
  </r>
  <r>
    <x v="71"/>
    <x v="0"/>
    <x v="2"/>
    <x v="0"/>
    <x v="0"/>
    <x v="11"/>
    <x v="0"/>
    <x v="3"/>
    <x v="397"/>
    <x v="181"/>
    <x v="189"/>
    <x v="188"/>
    <x v="193"/>
    <x v="187"/>
    <x v="188"/>
    <x v="192"/>
    <x v="192"/>
    <x v="194"/>
    <x v="182"/>
    <x v="192"/>
    <x v="187"/>
    <x v="190"/>
    <x v="184"/>
    <x v="171"/>
    <x v="166"/>
    <x v="165"/>
    <n v="-82762"/>
    <n v="-86112"/>
    <n v="-89462"/>
    <n v="-92393"/>
    <n v="-95157"/>
    <n v="-97920"/>
  </r>
  <r>
    <x v="71"/>
    <x v="0"/>
    <x v="2"/>
    <x v="0"/>
    <x v="0"/>
    <x v="12"/>
    <x v="0"/>
    <x v="3"/>
    <x v="2"/>
    <x v="2"/>
    <x v="2"/>
    <x v="2"/>
    <x v="2"/>
    <x v="2"/>
    <x v="2"/>
    <x v="2"/>
    <x v="2"/>
    <x v="2"/>
    <x v="2"/>
    <x v="2"/>
    <x v="2"/>
    <x v="2"/>
    <x v="2"/>
    <x v="2"/>
    <x v="2"/>
    <x v="2"/>
    <n v="0"/>
    <n v="0"/>
    <n v="0"/>
    <n v="0"/>
    <n v="0"/>
    <n v="0"/>
  </r>
  <r>
    <x v="72"/>
    <x v="0"/>
    <x v="29"/>
    <x v="1"/>
    <x v="0"/>
    <x v="0"/>
    <x v="0"/>
    <x v="108"/>
    <x v="120"/>
    <x v="0"/>
    <x v="0"/>
    <x v="0"/>
    <x v="0"/>
    <x v="0"/>
    <x v="0"/>
    <x v="0"/>
    <x v="0"/>
    <x v="0"/>
    <x v="0"/>
    <x v="0"/>
    <x v="0"/>
    <x v="0"/>
    <x v="0"/>
    <x v="0"/>
    <x v="0"/>
    <x v="0"/>
    <m/>
    <m/>
    <m/>
    <m/>
    <m/>
    <m/>
  </r>
  <r>
    <x v="72"/>
    <x v="0"/>
    <x v="29"/>
    <x v="1"/>
    <x v="0"/>
    <x v="1"/>
    <x v="0"/>
    <x v="354"/>
    <x v="398"/>
    <x v="182"/>
    <x v="190"/>
    <x v="189"/>
    <x v="194"/>
    <x v="188"/>
    <x v="189"/>
    <x v="193"/>
    <x v="193"/>
    <x v="195"/>
    <x v="183"/>
    <x v="44"/>
    <x v="188"/>
    <x v="191"/>
    <x v="185"/>
    <x v="172"/>
    <x v="167"/>
    <x v="166"/>
    <n v="702"/>
    <n v="695"/>
    <n v="693"/>
    <n v="405"/>
    <n v="290"/>
    <n v="291"/>
  </r>
  <r>
    <x v="72"/>
    <x v="0"/>
    <x v="29"/>
    <x v="1"/>
    <x v="0"/>
    <x v="2"/>
    <x v="0"/>
    <x v="355"/>
    <x v="399"/>
    <x v="0"/>
    <x v="0"/>
    <x v="0"/>
    <x v="0"/>
    <x v="0"/>
    <x v="0"/>
    <x v="0"/>
    <x v="0"/>
    <x v="0"/>
    <x v="0"/>
    <x v="0"/>
    <x v="0"/>
    <x v="0"/>
    <x v="0"/>
    <x v="0"/>
    <x v="0"/>
    <x v="0"/>
    <m/>
    <m/>
    <m/>
    <m/>
    <m/>
    <m/>
  </r>
  <r>
    <x v="72"/>
    <x v="0"/>
    <x v="29"/>
    <x v="1"/>
    <x v="0"/>
    <x v="3"/>
    <x v="0"/>
    <x v="2"/>
    <x v="2"/>
    <x v="0"/>
    <x v="0"/>
    <x v="0"/>
    <x v="0"/>
    <x v="0"/>
    <x v="0"/>
    <x v="0"/>
    <x v="0"/>
    <x v="0"/>
    <x v="0"/>
    <x v="0"/>
    <x v="0"/>
    <x v="0"/>
    <x v="0"/>
    <x v="0"/>
    <x v="0"/>
    <x v="0"/>
    <m/>
    <m/>
    <m/>
    <m/>
    <m/>
    <m/>
  </r>
  <r>
    <x v="72"/>
    <x v="0"/>
    <x v="29"/>
    <x v="1"/>
    <x v="0"/>
    <x v="4"/>
    <x v="0"/>
    <x v="356"/>
    <x v="400"/>
    <x v="0"/>
    <x v="0"/>
    <x v="0"/>
    <x v="0"/>
    <x v="0"/>
    <x v="0"/>
    <x v="0"/>
    <x v="0"/>
    <x v="0"/>
    <x v="0"/>
    <x v="0"/>
    <x v="0"/>
    <x v="0"/>
    <x v="0"/>
    <x v="0"/>
    <x v="0"/>
    <x v="0"/>
    <m/>
    <m/>
    <m/>
    <m/>
    <m/>
    <m/>
  </r>
  <r>
    <x v="72"/>
    <x v="0"/>
    <x v="29"/>
    <x v="1"/>
    <x v="0"/>
    <x v="5"/>
    <x v="0"/>
    <x v="3"/>
    <x v="3"/>
    <x v="0"/>
    <x v="0"/>
    <x v="0"/>
    <x v="0"/>
    <x v="0"/>
    <x v="0"/>
    <x v="0"/>
    <x v="0"/>
    <x v="0"/>
    <x v="0"/>
    <x v="0"/>
    <x v="0"/>
    <x v="0"/>
    <x v="0"/>
    <x v="0"/>
    <x v="0"/>
    <x v="0"/>
    <m/>
    <m/>
    <m/>
    <m/>
    <m/>
    <m/>
  </r>
  <r>
    <x v="72"/>
    <x v="0"/>
    <x v="29"/>
    <x v="1"/>
    <x v="0"/>
    <x v="6"/>
    <x v="0"/>
    <x v="2"/>
    <x v="2"/>
    <x v="2"/>
    <x v="2"/>
    <x v="2"/>
    <x v="2"/>
    <x v="2"/>
    <x v="2"/>
    <x v="2"/>
    <x v="2"/>
    <x v="2"/>
    <x v="2"/>
    <x v="2"/>
    <x v="2"/>
    <x v="2"/>
    <x v="2"/>
    <x v="2"/>
    <x v="2"/>
    <x v="2"/>
    <n v="0"/>
    <n v="0"/>
    <n v="0"/>
    <n v="0"/>
    <n v="0"/>
    <n v="0"/>
  </r>
  <r>
    <x v="72"/>
    <x v="0"/>
    <x v="29"/>
    <x v="1"/>
    <x v="0"/>
    <x v="7"/>
    <x v="0"/>
    <x v="3"/>
    <x v="3"/>
    <x v="0"/>
    <x v="0"/>
    <x v="0"/>
    <x v="0"/>
    <x v="0"/>
    <x v="0"/>
    <x v="0"/>
    <x v="0"/>
    <x v="0"/>
    <x v="0"/>
    <x v="0"/>
    <x v="0"/>
    <x v="0"/>
    <x v="0"/>
    <x v="0"/>
    <x v="0"/>
    <x v="0"/>
    <m/>
    <m/>
    <m/>
    <m/>
    <m/>
    <m/>
  </r>
  <r>
    <x v="72"/>
    <x v="0"/>
    <x v="29"/>
    <x v="1"/>
    <x v="0"/>
    <x v="8"/>
    <x v="0"/>
    <x v="2"/>
    <x v="3"/>
    <x v="0"/>
    <x v="0"/>
    <x v="0"/>
    <x v="0"/>
    <x v="0"/>
    <x v="0"/>
    <x v="0"/>
    <x v="0"/>
    <x v="0"/>
    <x v="0"/>
    <x v="0"/>
    <x v="0"/>
    <x v="0"/>
    <x v="0"/>
    <x v="0"/>
    <x v="0"/>
    <x v="0"/>
    <m/>
    <m/>
    <m/>
    <m/>
    <m/>
    <m/>
  </r>
  <r>
    <x v="72"/>
    <x v="0"/>
    <x v="29"/>
    <x v="1"/>
    <x v="0"/>
    <x v="9"/>
    <x v="0"/>
    <x v="2"/>
    <x v="3"/>
    <x v="0"/>
    <x v="0"/>
    <x v="0"/>
    <x v="0"/>
    <x v="0"/>
    <x v="0"/>
    <x v="0"/>
    <x v="0"/>
    <x v="0"/>
    <x v="0"/>
    <x v="0"/>
    <x v="0"/>
    <x v="0"/>
    <x v="0"/>
    <x v="0"/>
    <x v="0"/>
    <x v="0"/>
    <m/>
    <m/>
    <m/>
    <m/>
    <m/>
    <m/>
  </r>
  <r>
    <x v="72"/>
    <x v="0"/>
    <x v="29"/>
    <x v="1"/>
    <x v="0"/>
    <x v="10"/>
    <x v="0"/>
    <x v="3"/>
    <x v="3"/>
    <x v="0"/>
    <x v="0"/>
    <x v="0"/>
    <x v="0"/>
    <x v="0"/>
    <x v="0"/>
    <x v="0"/>
    <x v="0"/>
    <x v="0"/>
    <x v="0"/>
    <x v="0"/>
    <x v="0"/>
    <x v="0"/>
    <x v="0"/>
    <x v="0"/>
    <x v="0"/>
    <x v="0"/>
    <m/>
    <m/>
    <m/>
    <m/>
    <m/>
    <m/>
  </r>
  <r>
    <x v="72"/>
    <x v="0"/>
    <x v="29"/>
    <x v="1"/>
    <x v="0"/>
    <x v="11"/>
    <x v="0"/>
    <x v="3"/>
    <x v="401"/>
    <x v="183"/>
    <x v="191"/>
    <x v="190"/>
    <x v="195"/>
    <x v="189"/>
    <x v="190"/>
    <x v="194"/>
    <x v="194"/>
    <x v="196"/>
    <x v="184"/>
    <x v="193"/>
    <x v="189"/>
    <x v="192"/>
    <x v="186"/>
    <x v="173"/>
    <x v="168"/>
    <x v="167"/>
    <n v="-8302"/>
    <n v="-8997"/>
    <n v="-9690"/>
    <n v="-10095"/>
    <n v="-10385"/>
    <n v="-10676"/>
  </r>
  <r>
    <x v="72"/>
    <x v="0"/>
    <x v="29"/>
    <x v="1"/>
    <x v="0"/>
    <x v="12"/>
    <x v="0"/>
    <x v="3"/>
    <x v="2"/>
    <x v="2"/>
    <x v="2"/>
    <x v="2"/>
    <x v="2"/>
    <x v="2"/>
    <x v="2"/>
    <x v="2"/>
    <x v="2"/>
    <x v="2"/>
    <x v="2"/>
    <x v="2"/>
    <x v="2"/>
    <x v="2"/>
    <x v="2"/>
    <x v="2"/>
    <x v="2"/>
    <x v="2"/>
    <n v="0"/>
    <n v="0"/>
    <n v="0"/>
    <n v="0"/>
    <n v="0"/>
    <n v="0"/>
  </r>
  <r>
    <x v="73"/>
    <x v="0"/>
    <x v="34"/>
    <x v="1"/>
    <x v="1"/>
    <x v="0"/>
    <x v="0"/>
    <x v="357"/>
    <x v="402"/>
    <x v="0"/>
    <x v="0"/>
    <x v="0"/>
    <x v="0"/>
    <x v="0"/>
    <x v="0"/>
    <x v="0"/>
    <x v="0"/>
    <x v="0"/>
    <x v="0"/>
    <x v="0"/>
    <x v="0"/>
    <x v="0"/>
    <x v="0"/>
    <x v="0"/>
    <x v="0"/>
    <x v="0"/>
    <m/>
    <m/>
    <m/>
    <m/>
    <m/>
    <m/>
  </r>
  <r>
    <x v="73"/>
    <x v="0"/>
    <x v="34"/>
    <x v="1"/>
    <x v="1"/>
    <x v="1"/>
    <x v="0"/>
    <x v="358"/>
    <x v="403"/>
    <x v="184"/>
    <x v="192"/>
    <x v="191"/>
    <x v="196"/>
    <x v="190"/>
    <x v="191"/>
    <x v="195"/>
    <x v="195"/>
    <x v="197"/>
    <x v="185"/>
    <x v="194"/>
    <x v="190"/>
    <x v="193"/>
    <x v="187"/>
    <x v="174"/>
    <x v="169"/>
    <x v="168"/>
    <n v="298"/>
    <n v="315"/>
    <n v="296"/>
    <n v="217"/>
    <n v="189"/>
    <n v="188"/>
  </r>
  <r>
    <x v="73"/>
    <x v="0"/>
    <x v="34"/>
    <x v="1"/>
    <x v="1"/>
    <x v="2"/>
    <x v="0"/>
    <x v="2"/>
    <x v="2"/>
    <x v="0"/>
    <x v="0"/>
    <x v="0"/>
    <x v="0"/>
    <x v="0"/>
    <x v="0"/>
    <x v="0"/>
    <x v="0"/>
    <x v="0"/>
    <x v="0"/>
    <x v="0"/>
    <x v="0"/>
    <x v="0"/>
    <x v="0"/>
    <x v="0"/>
    <x v="0"/>
    <x v="0"/>
    <m/>
    <m/>
    <m/>
    <m/>
    <m/>
    <m/>
  </r>
  <r>
    <x v="73"/>
    <x v="0"/>
    <x v="34"/>
    <x v="1"/>
    <x v="1"/>
    <x v="3"/>
    <x v="0"/>
    <x v="2"/>
    <x v="2"/>
    <x v="0"/>
    <x v="0"/>
    <x v="0"/>
    <x v="0"/>
    <x v="0"/>
    <x v="0"/>
    <x v="0"/>
    <x v="0"/>
    <x v="0"/>
    <x v="0"/>
    <x v="0"/>
    <x v="0"/>
    <x v="0"/>
    <x v="0"/>
    <x v="0"/>
    <x v="0"/>
    <x v="0"/>
    <m/>
    <m/>
    <m/>
    <m/>
    <m/>
    <m/>
  </r>
  <r>
    <x v="73"/>
    <x v="0"/>
    <x v="34"/>
    <x v="1"/>
    <x v="1"/>
    <x v="4"/>
    <x v="0"/>
    <x v="2"/>
    <x v="2"/>
    <x v="0"/>
    <x v="0"/>
    <x v="0"/>
    <x v="0"/>
    <x v="0"/>
    <x v="0"/>
    <x v="0"/>
    <x v="0"/>
    <x v="0"/>
    <x v="0"/>
    <x v="0"/>
    <x v="0"/>
    <x v="0"/>
    <x v="0"/>
    <x v="0"/>
    <x v="0"/>
    <x v="0"/>
    <m/>
    <m/>
    <m/>
    <m/>
    <m/>
    <m/>
  </r>
  <r>
    <x v="73"/>
    <x v="0"/>
    <x v="34"/>
    <x v="1"/>
    <x v="1"/>
    <x v="5"/>
    <x v="0"/>
    <x v="3"/>
    <x v="3"/>
    <x v="0"/>
    <x v="0"/>
    <x v="0"/>
    <x v="0"/>
    <x v="0"/>
    <x v="0"/>
    <x v="0"/>
    <x v="0"/>
    <x v="0"/>
    <x v="0"/>
    <x v="0"/>
    <x v="0"/>
    <x v="0"/>
    <x v="0"/>
    <x v="0"/>
    <x v="0"/>
    <x v="0"/>
    <m/>
    <m/>
    <m/>
    <m/>
    <m/>
    <m/>
  </r>
  <r>
    <x v="73"/>
    <x v="0"/>
    <x v="34"/>
    <x v="1"/>
    <x v="1"/>
    <x v="6"/>
    <x v="0"/>
    <x v="2"/>
    <x v="2"/>
    <x v="2"/>
    <x v="2"/>
    <x v="2"/>
    <x v="2"/>
    <x v="2"/>
    <x v="2"/>
    <x v="2"/>
    <x v="2"/>
    <x v="2"/>
    <x v="2"/>
    <x v="2"/>
    <x v="2"/>
    <x v="2"/>
    <x v="2"/>
    <x v="2"/>
    <x v="2"/>
    <x v="2"/>
    <n v="0"/>
    <n v="0"/>
    <n v="0"/>
    <n v="0"/>
    <n v="0"/>
    <n v="0"/>
  </r>
  <r>
    <x v="73"/>
    <x v="0"/>
    <x v="34"/>
    <x v="1"/>
    <x v="1"/>
    <x v="7"/>
    <x v="0"/>
    <x v="3"/>
    <x v="3"/>
    <x v="0"/>
    <x v="0"/>
    <x v="0"/>
    <x v="0"/>
    <x v="0"/>
    <x v="0"/>
    <x v="0"/>
    <x v="0"/>
    <x v="0"/>
    <x v="0"/>
    <x v="0"/>
    <x v="0"/>
    <x v="0"/>
    <x v="0"/>
    <x v="0"/>
    <x v="0"/>
    <x v="0"/>
    <m/>
    <m/>
    <m/>
    <m/>
    <m/>
    <m/>
  </r>
  <r>
    <x v="73"/>
    <x v="0"/>
    <x v="34"/>
    <x v="1"/>
    <x v="1"/>
    <x v="8"/>
    <x v="0"/>
    <x v="2"/>
    <x v="3"/>
    <x v="0"/>
    <x v="0"/>
    <x v="0"/>
    <x v="0"/>
    <x v="0"/>
    <x v="0"/>
    <x v="0"/>
    <x v="0"/>
    <x v="0"/>
    <x v="0"/>
    <x v="0"/>
    <x v="0"/>
    <x v="0"/>
    <x v="0"/>
    <x v="0"/>
    <x v="0"/>
    <x v="0"/>
    <m/>
    <m/>
    <m/>
    <m/>
    <m/>
    <m/>
  </r>
  <r>
    <x v="73"/>
    <x v="0"/>
    <x v="34"/>
    <x v="1"/>
    <x v="1"/>
    <x v="9"/>
    <x v="0"/>
    <x v="2"/>
    <x v="3"/>
    <x v="0"/>
    <x v="0"/>
    <x v="0"/>
    <x v="0"/>
    <x v="0"/>
    <x v="0"/>
    <x v="0"/>
    <x v="0"/>
    <x v="0"/>
    <x v="0"/>
    <x v="0"/>
    <x v="0"/>
    <x v="0"/>
    <x v="0"/>
    <x v="0"/>
    <x v="0"/>
    <x v="0"/>
    <m/>
    <m/>
    <m/>
    <m/>
    <m/>
    <m/>
  </r>
  <r>
    <x v="73"/>
    <x v="0"/>
    <x v="34"/>
    <x v="1"/>
    <x v="1"/>
    <x v="10"/>
    <x v="0"/>
    <x v="3"/>
    <x v="3"/>
    <x v="0"/>
    <x v="0"/>
    <x v="0"/>
    <x v="0"/>
    <x v="0"/>
    <x v="0"/>
    <x v="0"/>
    <x v="0"/>
    <x v="0"/>
    <x v="0"/>
    <x v="0"/>
    <x v="0"/>
    <x v="0"/>
    <x v="0"/>
    <x v="0"/>
    <x v="0"/>
    <x v="0"/>
    <m/>
    <m/>
    <m/>
    <m/>
    <m/>
    <m/>
  </r>
  <r>
    <x v="73"/>
    <x v="0"/>
    <x v="34"/>
    <x v="1"/>
    <x v="1"/>
    <x v="11"/>
    <x v="0"/>
    <x v="3"/>
    <x v="404"/>
    <x v="185"/>
    <x v="193"/>
    <x v="192"/>
    <x v="197"/>
    <x v="191"/>
    <x v="192"/>
    <x v="196"/>
    <x v="196"/>
    <x v="198"/>
    <x v="186"/>
    <x v="195"/>
    <x v="191"/>
    <x v="194"/>
    <x v="188"/>
    <x v="175"/>
    <x v="170"/>
    <x v="169"/>
    <n v="-9340"/>
    <n v="-9655"/>
    <n v="-9951"/>
    <n v="-10168"/>
    <n v="-10357"/>
    <n v="-10545"/>
  </r>
  <r>
    <x v="73"/>
    <x v="0"/>
    <x v="34"/>
    <x v="1"/>
    <x v="1"/>
    <x v="12"/>
    <x v="0"/>
    <x v="3"/>
    <x v="2"/>
    <x v="2"/>
    <x v="2"/>
    <x v="2"/>
    <x v="2"/>
    <x v="2"/>
    <x v="2"/>
    <x v="2"/>
    <x v="2"/>
    <x v="2"/>
    <x v="2"/>
    <x v="2"/>
    <x v="2"/>
    <x v="2"/>
    <x v="2"/>
    <x v="2"/>
    <x v="2"/>
    <x v="2"/>
    <n v="0"/>
    <n v="0"/>
    <n v="0"/>
    <n v="0"/>
    <n v="0"/>
    <n v="0"/>
  </r>
  <r>
    <x v="74"/>
    <x v="0"/>
    <x v="35"/>
    <x v="2"/>
    <x v="1"/>
    <x v="0"/>
    <x v="0"/>
    <x v="359"/>
    <x v="405"/>
    <x v="0"/>
    <x v="0"/>
    <x v="0"/>
    <x v="0"/>
    <x v="0"/>
    <x v="0"/>
    <x v="0"/>
    <x v="0"/>
    <x v="0"/>
    <x v="0"/>
    <x v="0"/>
    <x v="0"/>
    <x v="0"/>
    <x v="0"/>
    <x v="0"/>
    <x v="0"/>
    <x v="0"/>
    <m/>
    <m/>
    <m/>
    <m/>
    <m/>
    <m/>
  </r>
  <r>
    <x v="74"/>
    <x v="0"/>
    <x v="35"/>
    <x v="2"/>
    <x v="1"/>
    <x v="1"/>
    <x v="0"/>
    <x v="360"/>
    <x v="406"/>
    <x v="186"/>
    <x v="116"/>
    <x v="193"/>
    <x v="198"/>
    <x v="192"/>
    <x v="193"/>
    <x v="197"/>
    <x v="197"/>
    <x v="199"/>
    <x v="187"/>
    <x v="196"/>
    <x v="192"/>
    <x v="195"/>
    <x v="189"/>
    <x v="176"/>
    <x v="171"/>
    <x v="170"/>
    <n v="178"/>
    <n v="159"/>
    <n v="199"/>
    <n v="107"/>
    <n v="117"/>
    <n v="92"/>
  </r>
  <r>
    <x v="74"/>
    <x v="0"/>
    <x v="35"/>
    <x v="2"/>
    <x v="1"/>
    <x v="2"/>
    <x v="0"/>
    <x v="361"/>
    <x v="407"/>
    <x v="0"/>
    <x v="0"/>
    <x v="0"/>
    <x v="0"/>
    <x v="0"/>
    <x v="0"/>
    <x v="0"/>
    <x v="0"/>
    <x v="0"/>
    <x v="0"/>
    <x v="0"/>
    <x v="0"/>
    <x v="0"/>
    <x v="0"/>
    <x v="0"/>
    <x v="0"/>
    <x v="0"/>
    <m/>
    <m/>
    <m/>
    <m/>
    <m/>
    <m/>
  </r>
  <r>
    <x v="74"/>
    <x v="0"/>
    <x v="35"/>
    <x v="2"/>
    <x v="1"/>
    <x v="3"/>
    <x v="0"/>
    <x v="2"/>
    <x v="2"/>
    <x v="0"/>
    <x v="0"/>
    <x v="0"/>
    <x v="0"/>
    <x v="0"/>
    <x v="0"/>
    <x v="0"/>
    <x v="0"/>
    <x v="0"/>
    <x v="0"/>
    <x v="0"/>
    <x v="0"/>
    <x v="0"/>
    <x v="0"/>
    <x v="0"/>
    <x v="0"/>
    <x v="0"/>
    <m/>
    <m/>
    <m/>
    <m/>
    <m/>
    <m/>
  </r>
  <r>
    <x v="74"/>
    <x v="0"/>
    <x v="35"/>
    <x v="2"/>
    <x v="1"/>
    <x v="4"/>
    <x v="0"/>
    <x v="362"/>
    <x v="408"/>
    <x v="0"/>
    <x v="0"/>
    <x v="0"/>
    <x v="0"/>
    <x v="0"/>
    <x v="0"/>
    <x v="0"/>
    <x v="0"/>
    <x v="0"/>
    <x v="0"/>
    <x v="0"/>
    <x v="0"/>
    <x v="0"/>
    <x v="0"/>
    <x v="0"/>
    <x v="0"/>
    <x v="0"/>
    <m/>
    <m/>
    <m/>
    <m/>
    <m/>
    <m/>
  </r>
  <r>
    <x v="74"/>
    <x v="0"/>
    <x v="35"/>
    <x v="2"/>
    <x v="1"/>
    <x v="5"/>
    <x v="0"/>
    <x v="3"/>
    <x v="3"/>
    <x v="0"/>
    <x v="0"/>
    <x v="0"/>
    <x v="0"/>
    <x v="0"/>
    <x v="0"/>
    <x v="0"/>
    <x v="0"/>
    <x v="0"/>
    <x v="0"/>
    <x v="0"/>
    <x v="0"/>
    <x v="0"/>
    <x v="0"/>
    <x v="0"/>
    <x v="0"/>
    <x v="0"/>
    <m/>
    <m/>
    <m/>
    <m/>
    <m/>
    <m/>
  </r>
  <r>
    <x v="74"/>
    <x v="0"/>
    <x v="35"/>
    <x v="2"/>
    <x v="1"/>
    <x v="6"/>
    <x v="0"/>
    <x v="363"/>
    <x v="2"/>
    <x v="2"/>
    <x v="2"/>
    <x v="2"/>
    <x v="2"/>
    <x v="2"/>
    <x v="2"/>
    <x v="2"/>
    <x v="2"/>
    <x v="200"/>
    <x v="2"/>
    <x v="2"/>
    <x v="2"/>
    <x v="2"/>
    <x v="2"/>
    <x v="2"/>
    <x v="2"/>
    <x v="2"/>
    <n v="12480"/>
    <n v="0"/>
    <n v="0"/>
    <n v="0"/>
    <n v="0"/>
    <n v="0"/>
  </r>
  <r>
    <x v="74"/>
    <x v="0"/>
    <x v="35"/>
    <x v="2"/>
    <x v="1"/>
    <x v="7"/>
    <x v="0"/>
    <x v="363"/>
    <x v="3"/>
    <x v="0"/>
    <x v="0"/>
    <x v="0"/>
    <x v="0"/>
    <x v="0"/>
    <x v="0"/>
    <x v="0"/>
    <x v="0"/>
    <x v="200"/>
    <x v="0"/>
    <x v="0"/>
    <x v="0"/>
    <x v="0"/>
    <x v="0"/>
    <x v="0"/>
    <x v="0"/>
    <x v="0"/>
    <n v="12480"/>
    <m/>
    <m/>
    <m/>
    <m/>
    <m/>
  </r>
  <r>
    <x v="74"/>
    <x v="0"/>
    <x v="35"/>
    <x v="2"/>
    <x v="1"/>
    <x v="8"/>
    <x v="0"/>
    <x v="2"/>
    <x v="3"/>
    <x v="0"/>
    <x v="0"/>
    <x v="0"/>
    <x v="0"/>
    <x v="0"/>
    <x v="0"/>
    <x v="0"/>
    <x v="0"/>
    <x v="0"/>
    <x v="0"/>
    <x v="0"/>
    <x v="0"/>
    <x v="0"/>
    <x v="0"/>
    <x v="0"/>
    <x v="0"/>
    <x v="0"/>
    <m/>
    <m/>
    <m/>
    <m/>
    <m/>
    <m/>
  </r>
  <r>
    <x v="74"/>
    <x v="0"/>
    <x v="35"/>
    <x v="2"/>
    <x v="1"/>
    <x v="9"/>
    <x v="0"/>
    <x v="2"/>
    <x v="3"/>
    <x v="0"/>
    <x v="0"/>
    <x v="0"/>
    <x v="0"/>
    <x v="0"/>
    <x v="0"/>
    <x v="0"/>
    <x v="0"/>
    <x v="0"/>
    <x v="0"/>
    <x v="0"/>
    <x v="0"/>
    <x v="0"/>
    <x v="0"/>
    <x v="0"/>
    <x v="0"/>
    <x v="0"/>
    <m/>
    <m/>
    <m/>
    <m/>
    <m/>
    <m/>
  </r>
  <r>
    <x v="74"/>
    <x v="0"/>
    <x v="35"/>
    <x v="2"/>
    <x v="1"/>
    <x v="10"/>
    <x v="0"/>
    <x v="363"/>
    <x v="3"/>
    <x v="0"/>
    <x v="0"/>
    <x v="0"/>
    <x v="0"/>
    <x v="0"/>
    <x v="0"/>
    <x v="0"/>
    <x v="0"/>
    <x v="200"/>
    <x v="0"/>
    <x v="0"/>
    <x v="0"/>
    <x v="0"/>
    <x v="0"/>
    <x v="0"/>
    <x v="0"/>
    <x v="0"/>
    <n v="12480"/>
    <m/>
    <m/>
    <m/>
    <m/>
    <m/>
  </r>
  <r>
    <x v="74"/>
    <x v="0"/>
    <x v="35"/>
    <x v="2"/>
    <x v="1"/>
    <x v="11"/>
    <x v="0"/>
    <x v="3"/>
    <x v="409"/>
    <x v="187"/>
    <x v="194"/>
    <x v="194"/>
    <x v="199"/>
    <x v="193"/>
    <x v="194"/>
    <x v="198"/>
    <x v="198"/>
    <x v="201"/>
    <x v="188"/>
    <x v="197"/>
    <x v="193"/>
    <x v="196"/>
    <x v="190"/>
    <x v="177"/>
    <x v="172"/>
    <x v="171"/>
    <n v="15222"/>
    <n v="15063"/>
    <n v="14864"/>
    <n v="14757"/>
    <n v="14640"/>
    <n v="14548"/>
  </r>
  <r>
    <x v="74"/>
    <x v="0"/>
    <x v="35"/>
    <x v="2"/>
    <x v="1"/>
    <x v="12"/>
    <x v="0"/>
    <x v="3"/>
    <x v="2"/>
    <x v="2"/>
    <x v="2"/>
    <x v="2"/>
    <x v="2"/>
    <x v="2"/>
    <x v="2"/>
    <x v="2"/>
    <x v="2"/>
    <x v="2"/>
    <x v="2"/>
    <x v="2"/>
    <x v="2"/>
    <x v="2"/>
    <x v="2"/>
    <x v="2"/>
    <x v="2"/>
    <x v="2"/>
    <n v="0"/>
    <n v="0"/>
    <n v="0"/>
    <n v="0"/>
    <n v="0"/>
    <n v="0"/>
  </r>
  <r>
    <x v="75"/>
    <x v="0"/>
    <x v="20"/>
    <x v="1"/>
    <x v="0"/>
    <x v="0"/>
    <x v="0"/>
    <x v="364"/>
    <x v="410"/>
    <x v="0"/>
    <x v="0"/>
    <x v="0"/>
    <x v="0"/>
    <x v="0"/>
    <x v="0"/>
    <x v="0"/>
    <x v="0"/>
    <x v="0"/>
    <x v="0"/>
    <x v="0"/>
    <x v="0"/>
    <x v="0"/>
    <x v="0"/>
    <x v="0"/>
    <x v="0"/>
    <x v="0"/>
    <m/>
    <m/>
    <m/>
    <m/>
    <m/>
    <m/>
  </r>
  <r>
    <x v="75"/>
    <x v="0"/>
    <x v="20"/>
    <x v="1"/>
    <x v="0"/>
    <x v="1"/>
    <x v="0"/>
    <x v="365"/>
    <x v="411"/>
    <x v="188"/>
    <x v="195"/>
    <x v="195"/>
    <x v="200"/>
    <x v="194"/>
    <x v="195"/>
    <x v="199"/>
    <x v="199"/>
    <x v="202"/>
    <x v="189"/>
    <x v="198"/>
    <x v="194"/>
    <x v="108"/>
    <x v="104"/>
    <x v="178"/>
    <x v="173"/>
    <x v="172"/>
    <n v="1243"/>
    <n v="1159"/>
    <n v="1126"/>
    <n v="795"/>
    <n v="664"/>
    <n v="664"/>
  </r>
  <r>
    <x v="75"/>
    <x v="0"/>
    <x v="20"/>
    <x v="1"/>
    <x v="0"/>
    <x v="2"/>
    <x v="0"/>
    <x v="366"/>
    <x v="412"/>
    <x v="0"/>
    <x v="0"/>
    <x v="0"/>
    <x v="0"/>
    <x v="0"/>
    <x v="0"/>
    <x v="0"/>
    <x v="0"/>
    <x v="0"/>
    <x v="0"/>
    <x v="0"/>
    <x v="0"/>
    <x v="0"/>
    <x v="0"/>
    <x v="0"/>
    <x v="0"/>
    <x v="0"/>
    <m/>
    <m/>
    <m/>
    <m/>
    <m/>
    <m/>
  </r>
  <r>
    <x v="75"/>
    <x v="0"/>
    <x v="20"/>
    <x v="1"/>
    <x v="0"/>
    <x v="3"/>
    <x v="0"/>
    <x v="2"/>
    <x v="2"/>
    <x v="0"/>
    <x v="0"/>
    <x v="0"/>
    <x v="0"/>
    <x v="0"/>
    <x v="0"/>
    <x v="0"/>
    <x v="0"/>
    <x v="0"/>
    <x v="0"/>
    <x v="0"/>
    <x v="0"/>
    <x v="0"/>
    <x v="0"/>
    <x v="0"/>
    <x v="0"/>
    <x v="0"/>
    <m/>
    <m/>
    <m/>
    <m/>
    <m/>
    <m/>
  </r>
  <r>
    <x v="75"/>
    <x v="0"/>
    <x v="20"/>
    <x v="1"/>
    <x v="0"/>
    <x v="4"/>
    <x v="0"/>
    <x v="367"/>
    <x v="413"/>
    <x v="0"/>
    <x v="0"/>
    <x v="0"/>
    <x v="0"/>
    <x v="0"/>
    <x v="0"/>
    <x v="0"/>
    <x v="0"/>
    <x v="0"/>
    <x v="0"/>
    <x v="0"/>
    <x v="0"/>
    <x v="0"/>
    <x v="0"/>
    <x v="0"/>
    <x v="0"/>
    <x v="0"/>
    <m/>
    <m/>
    <m/>
    <m/>
    <m/>
    <m/>
  </r>
  <r>
    <x v="75"/>
    <x v="0"/>
    <x v="20"/>
    <x v="1"/>
    <x v="0"/>
    <x v="5"/>
    <x v="0"/>
    <x v="368"/>
    <x v="414"/>
    <x v="0"/>
    <x v="0"/>
    <x v="0"/>
    <x v="0"/>
    <x v="0"/>
    <x v="0"/>
    <x v="0"/>
    <x v="0"/>
    <x v="0"/>
    <x v="0"/>
    <x v="0"/>
    <x v="0"/>
    <x v="0"/>
    <x v="0"/>
    <x v="0"/>
    <x v="0"/>
    <x v="0"/>
    <m/>
    <m/>
    <m/>
    <m/>
    <m/>
    <m/>
  </r>
  <r>
    <x v="75"/>
    <x v="0"/>
    <x v="20"/>
    <x v="1"/>
    <x v="0"/>
    <x v="6"/>
    <x v="0"/>
    <x v="369"/>
    <x v="2"/>
    <x v="189"/>
    <x v="196"/>
    <x v="196"/>
    <x v="201"/>
    <x v="195"/>
    <x v="196"/>
    <x v="200"/>
    <x v="11"/>
    <x v="203"/>
    <x v="190"/>
    <x v="199"/>
    <x v="195"/>
    <x v="197"/>
    <x v="191"/>
    <x v="2"/>
    <x v="2"/>
    <x v="2"/>
    <n v="0"/>
    <n v="0"/>
    <n v="0"/>
    <n v="0"/>
    <n v="0"/>
    <n v="0"/>
  </r>
  <r>
    <x v="75"/>
    <x v="0"/>
    <x v="20"/>
    <x v="1"/>
    <x v="0"/>
    <x v="7"/>
    <x v="0"/>
    <x v="369"/>
    <x v="3"/>
    <x v="189"/>
    <x v="196"/>
    <x v="196"/>
    <x v="201"/>
    <x v="195"/>
    <x v="196"/>
    <x v="200"/>
    <x v="11"/>
    <x v="203"/>
    <x v="190"/>
    <x v="199"/>
    <x v="195"/>
    <x v="197"/>
    <x v="191"/>
    <x v="0"/>
    <x v="0"/>
    <x v="0"/>
    <m/>
    <m/>
    <m/>
    <m/>
    <m/>
    <m/>
  </r>
  <r>
    <x v="75"/>
    <x v="0"/>
    <x v="20"/>
    <x v="1"/>
    <x v="0"/>
    <x v="8"/>
    <x v="0"/>
    <x v="2"/>
    <x v="3"/>
    <x v="0"/>
    <x v="0"/>
    <x v="0"/>
    <x v="0"/>
    <x v="0"/>
    <x v="0"/>
    <x v="0"/>
    <x v="0"/>
    <x v="0"/>
    <x v="0"/>
    <x v="0"/>
    <x v="0"/>
    <x v="0"/>
    <x v="0"/>
    <x v="0"/>
    <x v="0"/>
    <x v="0"/>
    <m/>
    <m/>
    <m/>
    <m/>
    <m/>
    <m/>
  </r>
  <r>
    <x v="75"/>
    <x v="0"/>
    <x v="20"/>
    <x v="1"/>
    <x v="0"/>
    <x v="9"/>
    <x v="0"/>
    <x v="2"/>
    <x v="3"/>
    <x v="0"/>
    <x v="0"/>
    <x v="0"/>
    <x v="0"/>
    <x v="0"/>
    <x v="0"/>
    <x v="0"/>
    <x v="0"/>
    <x v="0"/>
    <x v="0"/>
    <x v="0"/>
    <x v="0"/>
    <x v="0"/>
    <x v="0"/>
    <x v="0"/>
    <x v="0"/>
    <x v="0"/>
    <m/>
    <m/>
    <m/>
    <m/>
    <m/>
    <m/>
  </r>
  <r>
    <x v="75"/>
    <x v="0"/>
    <x v="20"/>
    <x v="1"/>
    <x v="0"/>
    <x v="10"/>
    <x v="0"/>
    <x v="369"/>
    <x v="3"/>
    <x v="189"/>
    <x v="196"/>
    <x v="196"/>
    <x v="201"/>
    <x v="195"/>
    <x v="196"/>
    <x v="200"/>
    <x v="11"/>
    <x v="203"/>
    <x v="190"/>
    <x v="199"/>
    <x v="195"/>
    <x v="197"/>
    <x v="191"/>
    <x v="0"/>
    <x v="0"/>
    <x v="0"/>
    <m/>
    <m/>
    <m/>
    <m/>
    <m/>
    <m/>
  </r>
  <r>
    <x v="75"/>
    <x v="0"/>
    <x v="20"/>
    <x v="1"/>
    <x v="0"/>
    <x v="11"/>
    <x v="0"/>
    <x v="3"/>
    <x v="415"/>
    <x v="190"/>
    <x v="197"/>
    <x v="197"/>
    <x v="202"/>
    <x v="196"/>
    <x v="197"/>
    <x v="201"/>
    <x v="200"/>
    <x v="204"/>
    <x v="191"/>
    <x v="200"/>
    <x v="196"/>
    <x v="198"/>
    <x v="192"/>
    <x v="179"/>
    <x v="174"/>
    <x v="173"/>
    <n v="118769"/>
    <n v="117610"/>
    <n v="116484"/>
    <n v="115689"/>
    <n v="115025"/>
    <n v="114361"/>
  </r>
  <r>
    <x v="75"/>
    <x v="0"/>
    <x v="20"/>
    <x v="1"/>
    <x v="0"/>
    <x v="12"/>
    <x v="0"/>
    <x v="3"/>
    <x v="2"/>
    <x v="2"/>
    <x v="2"/>
    <x v="2"/>
    <x v="2"/>
    <x v="2"/>
    <x v="2"/>
    <x v="2"/>
    <x v="2"/>
    <x v="2"/>
    <x v="2"/>
    <x v="2"/>
    <x v="2"/>
    <x v="2"/>
    <x v="2"/>
    <x v="2"/>
    <x v="2"/>
    <x v="2"/>
    <n v="0"/>
    <n v="0"/>
    <n v="0"/>
    <n v="0"/>
    <n v="0"/>
    <n v="0"/>
  </r>
  <r>
    <x v="76"/>
    <x v="0"/>
    <x v="25"/>
    <x v="1"/>
    <x v="0"/>
    <x v="0"/>
    <x v="0"/>
    <x v="370"/>
    <x v="416"/>
    <x v="0"/>
    <x v="0"/>
    <x v="0"/>
    <x v="0"/>
    <x v="0"/>
    <x v="0"/>
    <x v="0"/>
    <x v="0"/>
    <x v="0"/>
    <x v="0"/>
    <x v="0"/>
    <x v="0"/>
    <x v="0"/>
    <x v="0"/>
    <x v="0"/>
    <x v="0"/>
    <x v="0"/>
    <m/>
    <m/>
    <m/>
    <m/>
    <m/>
    <m/>
  </r>
  <r>
    <x v="76"/>
    <x v="0"/>
    <x v="25"/>
    <x v="1"/>
    <x v="0"/>
    <x v="1"/>
    <x v="0"/>
    <x v="371"/>
    <x v="417"/>
    <x v="191"/>
    <x v="198"/>
    <x v="198"/>
    <x v="203"/>
    <x v="197"/>
    <x v="198"/>
    <x v="202"/>
    <x v="201"/>
    <x v="205"/>
    <x v="192"/>
    <x v="201"/>
    <x v="197"/>
    <x v="199"/>
    <x v="193"/>
    <x v="180"/>
    <x v="175"/>
    <x v="174"/>
    <n v="1872"/>
    <n v="1811"/>
    <n v="1791"/>
    <n v="1110"/>
    <n v="837"/>
    <n v="837"/>
  </r>
  <r>
    <x v="76"/>
    <x v="0"/>
    <x v="25"/>
    <x v="1"/>
    <x v="0"/>
    <x v="2"/>
    <x v="0"/>
    <x v="372"/>
    <x v="418"/>
    <x v="0"/>
    <x v="0"/>
    <x v="0"/>
    <x v="0"/>
    <x v="0"/>
    <x v="0"/>
    <x v="0"/>
    <x v="0"/>
    <x v="0"/>
    <x v="0"/>
    <x v="0"/>
    <x v="0"/>
    <x v="0"/>
    <x v="0"/>
    <x v="0"/>
    <x v="0"/>
    <x v="0"/>
    <m/>
    <m/>
    <m/>
    <m/>
    <m/>
    <m/>
  </r>
  <r>
    <x v="76"/>
    <x v="0"/>
    <x v="25"/>
    <x v="1"/>
    <x v="0"/>
    <x v="3"/>
    <x v="0"/>
    <x v="2"/>
    <x v="2"/>
    <x v="0"/>
    <x v="0"/>
    <x v="0"/>
    <x v="0"/>
    <x v="0"/>
    <x v="0"/>
    <x v="0"/>
    <x v="0"/>
    <x v="0"/>
    <x v="0"/>
    <x v="0"/>
    <x v="0"/>
    <x v="0"/>
    <x v="0"/>
    <x v="0"/>
    <x v="0"/>
    <x v="0"/>
    <m/>
    <m/>
    <m/>
    <m/>
    <m/>
    <m/>
  </r>
  <r>
    <x v="76"/>
    <x v="0"/>
    <x v="25"/>
    <x v="1"/>
    <x v="0"/>
    <x v="4"/>
    <x v="0"/>
    <x v="373"/>
    <x v="419"/>
    <x v="0"/>
    <x v="0"/>
    <x v="0"/>
    <x v="0"/>
    <x v="0"/>
    <x v="0"/>
    <x v="0"/>
    <x v="0"/>
    <x v="0"/>
    <x v="0"/>
    <x v="0"/>
    <x v="0"/>
    <x v="0"/>
    <x v="0"/>
    <x v="0"/>
    <x v="0"/>
    <x v="0"/>
    <m/>
    <m/>
    <m/>
    <m/>
    <m/>
    <m/>
  </r>
  <r>
    <x v="76"/>
    <x v="0"/>
    <x v="25"/>
    <x v="1"/>
    <x v="0"/>
    <x v="5"/>
    <x v="0"/>
    <x v="3"/>
    <x v="3"/>
    <x v="0"/>
    <x v="0"/>
    <x v="0"/>
    <x v="0"/>
    <x v="0"/>
    <x v="0"/>
    <x v="0"/>
    <x v="0"/>
    <x v="0"/>
    <x v="0"/>
    <x v="0"/>
    <x v="0"/>
    <x v="0"/>
    <x v="0"/>
    <x v="0"/>
    <x v="0"/>
    <x v="0"/>
    <m/>
    <m/>
    <m/>
    <m/>
    <m/>
    <m/>
  </r>
  <r>
    <x v="76"/>
    <x v="0"/>
    <x v="25"/>
    <x v="1"/>
    <x v="0"/>
    <x v="6"/>
    <x v="0"/>
    <x v="374"/>
    <x v="2"/>
    <x v="2"/>
    <x v="2"/>
    <x v="199"/>
    <x v="204"/>
    <x v="198"/>
    <x v="199"/>
    <x v="203"/>
    <x v="202"/>
    <x v="206"/>
    <x v="193"/>
    <x v="202"/>
    <x v="198"/>
    <x v="200"/>
    <x v="194"/>
    <x v="2"/>
    <x v="2"/>
    <x v="2"/>
    <n v="0"/>
    <n v="0"/>
    <n v="0"/>
    <n v="0"/>
    <n v="0"/>
    <n v="0"/>
  </r>
  <r>
    <x v="76"/>
    <x v="0"/>
    <x v="25"/>
    <x v="1"/>
    <x v="0"/>
    <x v="7"/>
    <x v="0"/>
    <x v="374"/>
    <x v="3"/>
    <x v="0"/>
    <x v="0"/>
    <x v="199"/>
    <x v="204"/>
    <x v="198"/>
    <x v="199"/>
    <x v="203"/>
    <x v="202"/>
    <x v="206"/>
    <x v="193"/>
    <x v="202"/>
    <x v="198"/>
    <x v="200"/>
    <x v="194"/>
    <x v="0"/>
    <x v="0"/>
    <x v="0"/>
    <m/>
    <m/>
    <m/>
    <m/>
    <m/>
    <m/>
  </r>
  <r>
    <x v="76"/>
    <x v="0"/>
    <x v="25"/>
    <x v="1"/>
    <x v="0"/>
    <x v="8"/>
    <x v="0"/>
    <x v="2"/>
    <x v="3"/>
    <x v="0"/>
    <x v="0"/>
    <x v="0"/>
    <x v="0"/>
    <x v="0"/>
    <x v="0"/>
    <x v="0"/>
    <x v="0"/>
    <x v="0"/>
    <x v="0"/>
    <x v="0"/>
    <x v="0"/>
    <x v="0"/>
    <x v="0"/>
    <x v="0"/>
    <x v="0"/>
    <x v="0"/>
    <m/>
    <m/>
    <m/>
    <m/>
    <m/>
    <m/>
  </r>
  <r>
    <x v="76"/>
    <x v="0"/>
    <x v="25"/>
    <x v="1"/>
    <x v="0"/>
    <x v="9"/>
    <x v="0"/>
    <x v="2"/>
    <x v="3"/>
    <x v="0"/>
    <x v="0"/>
    <x v="0"/>
    <x v="0"/>
    <x v="0"/>
    <x v="0"/>
    <x v="0"/>
    <x v="0"/>
    <x v="0"/>
    <x v="0"/>
    <x v="0"/>
    <x v="0"/>
    <x v="0"/>
    <x v="0"/>
    <x v="0"/>
    <x v="0"/>
    <x v="0"/>
    <m/>
    <m/>
    <m/>
    <m/>
    <m/>
    <m/>
  </r>
  <r>
    <x v="76"/>
    <x v="0"/>
    <x v="25"/>
    <x v="1"/>
    <x v="0"/>
    <x v="10"/>
    <x v="0"/>
    <x v="374"/>
    <x v="3"/>
    <x v="0"/>
    <x v="0"/>
    <x v="199"/>
    <x v="204"/>
    <x v="198"/>
    <x v="199"/>
    <x v="203"/>
    <x v="202"/>
    <x v="206"/>
    <x v="193"/>
    <x v="202"/>
    <x v="198"/>
    <x v="200"/>
    <x v="194"/>
    <x v="0"/>
    <x v="0"/>
    <x v="0"/>
    <m/>
    <m/>
    <m/>
    <m/>
    <m/>
    <m/>
  </r>
  <r>
    <x v="76"/>
    <x v="0"/>
    <x v="25"/>
    <x v="1"/>
    <x v="0"/>
    <x v="11"/>
    <x v="0"/>
    <x v="3"/>
    <x v="420"/>
    <x v="192"/>
    <x v="199"/>
    <x v="200"/>
    <x v="205"/>
    <x v="199"/>
    <x v="200"/>
    <x v="204"/>
    <x v="203"/>
    <x v="207"/>
    <x v="194"/>
    <x v="203"/>
    <x v="199"/>
    <x v="201"/>
    <x v="195"/>
    <x v="181"/>
    <x v="176"/>
    <x v="175"/>
    <n v="-21892"/>
    <n v="-23703"/>
    <n v="-25494"/>
    <n v="-26604"/>
    <n v="-27441"/>
    <n v="-28278"/>
  </r>
  <r>
    <x v="76"/>
    <x v="0"/>
    <x v="25"/>
    <x v="1"/>
    <x v="0"/>
    <x v="12"/>
    <x v="0"/>
    <x v="3"/>
    <x v="2"/>
    <x v="2"/>
    <x v="2"/>
    <x v="2"/>
    <x v="2"/>
    <x v="2"/>
    <x v="2"/>
    <x v="2"/>
    <x v="2"/>
    <x v="2"/>
    <x v="2"/>
    <x v="2"/>
    <x v="2"/>
    <x v="2"/>
    <x v="2"/>
    <x v="2"/>
    <x v="2"/>
    <x v="2"/>
    <n v="0"/>
    <n v="0"/>
    <n v="0"/>
    <n v="0"/>
    <n v="0"/>
    <n v="0"/>
  </r>
  <r>
    <x v="77"/>
    <x v="0"/>
    <x v="36"/>
    <x v="4"/>
    <x v="1"/>
    <x v="0"/>
    <x v="0"/>
    <x v="2"/>
    <x v="2"/>
    <x v="0"/>
    <x v="0"/>
    <x v="0"/>
    <x v="0"/>
    <x v="0"/>
    <x v="0"/>
    <x v="0"/>
    <x v="0"/>
    <x v="0"/>
    <x v="0"/>
    <x v="0"/>
    <x v="0"/>
    <x v="0"/>
    <x v="0"/>
    <x v="0"/>
    <x v="0"/>
    <x v="0"/>
    <m/>
    <m/>
    <m/>
    <m/>
    <m/>
    <m/>
  </r>
  <r>
    <x v="77"/>
    <x v="0"/>
    <x v="36"/>
    <x v="4"/>
    <x v="1"/>
    <x v="1"/>
    <x v="0"/>
    <x v="375"/>
    <x v="2"/>
    <x v="2"/>
    <x v="2"/>
    <x v="2"/>
    <x v="2"/>
    <x v="2"/>
    <x v="2"/>
    <x v="2"/>
    <x v="2"/>
    <x v="2"/>
    <x v="2"/>
    <x v="2"/>
    <x v="2"/>
    <x v="2"/>
    <x v="2"/>
    <x v="2"/>
    <x v="2"/>
    <x v="2"/>
    <n v="0"/>
    <n v="0"/>
    <n v="0"/>
    <n v="0"/>
    <n v="0"/>
    <n v="1806"/>
  </r>
  <r>
    <x v="77"/>
    <x v="0"/>
    <x v="36"/>
    <x v="4"/>
    <x v="1"/>
    <x v="2"/>
    <x v="0"/>
    <x v="3"/>
    <x v="3"/>
    <x v="0"/>
    <x v="0"/>
    <x v="0"/>
    <x v="0"/>
    <x v="0"/>
    <x v="0"/>
    <x v="0"/>
    <x v="0"/>
    <x v="0"/>
    <x v="0"/>
    <x v="0"/>
    <x v="0"/>
    <x v="0"/>
    <x v="0"/>
    <x v="0"/>
    <x v="0"/>
    <x v="0"/>
    <m/>
    <m/>
    <m/>
    <m/>
    <m/>
    <m/>
  </r>
  <r>
    <x v="77"/>
    <x v="0"/>
    <x v="36"/>
    <x v="4"/>
    <x v="1"/>
    <x v="3"/>
    <x v="0"/>
    <x v="3"/>
    <x v="3"/>
    <x v="0"/>
    <x v="0"/>
    <x v="0"/>
    <x v="0"/>
    <x v="0"/>
    <x v="0"/>
    <x v="0"/>
    <x v="0"/>
    <x v="0"/>
    <x v="0"/>
    <x v="0"/>
    <x v="0"/>
    <x v="0"/>
    <x v="0"/>
    <x v="0"/>
    <x v="0"/>
    <x v="0"/>
    <m/>
    <m/>
    <m/>
    <m/>
    <m/>
    <m/>
  </r>
  <r>
    <x v="77"/>
    <x v="0"/>
    <x v="36"/>
    <x v="4"/>
    <x v="1"/>
    <x v="4"/>
    <x v="0"/>
    <x v="3"/>
    <x v="3"/>
    <x v="0"/>
    <x v="0"/>
    <x v="0"/>
    <x v="0"/>
    <x v="0"/>
    <x v="0"/>
    <x v="0"/>
    <x v="0"/>
    <x v="0"/>
    <x v="0"/>
    <x v="0"/>
    <x v="0"/>
    <x v="0"/>
    <x v="0"/>
    <x v="0"/>
    <x v="0"/>
    <x v="0"/>
    <m/>
    <m/>
    <m/>
    <m/>
    <m/>
    <m/>
  </r>
  <r>
    <x v="77"/>
    <x v="0"/>
    <x v="36"/>
    <x v="4"/>
    <x v="1"/>
    <x v="5"/>
    <x v="0"/>
    <x v="3"/>
    <x v="3"/>
    <x v="0"/>
    <x v="0"/>
    <x v="0"/>
    <x v="0"/>
    <x v="0"/>
    <x v="0"/>
    <x v="0"/>
    <x v="0"/>
    <x v="0"/>
    <x v="0"/>
    <x v="0"/>
    <x v="0"/>
    <x v="0"/>
    <x v="0"/>
    <x v="0"/>
    <x v="0"/>
    <x v="0"/>
    <m/>
    <m/>
    <m/>
    <m/>
    <m/>
    <m/>
  </r>
  <r>
    <x v="77"/>
    <x v="0"/>
    <x v="36"/>
    <x v="4"/>
    <x v="1"/>
    <x v="6"/>
    <x v="0"/>
    <x v="2"/>
    <x v="2"/>
    <x v="2"/>
    <x v="2"/>
    <x v="2"/>
    <x v="2"/>
    <x v="2"/>
    <x v="2"/>
    <x v="2"/>
    <x v="2"/>
    <x v="2"/>
    <x v="2"/>
    <x v="2"/>
    <x v="2"/>
    <x v="2"/>
    <x v="2"/>
    <x v="2"/>
    <x v="2"/>
    <x v="2"/>
    <n v="0"/>
    <n v="0"/>
    <n v="0"/>
    <n v="0"/>
    <n v="0"/>
    <n v="0"/>
  </r>
  <r>
    <x v="77"/>
    <x v="0"/>
    <x v="36"/>
    <x v="4"/>
    <x v="1"/>
    <x v="7"/>
    <x v="0"/>
    <x v="3"/>
    <x v="3"/>
    <x v="0"/>
    <x v="0"/>
    <x v="0"/>
    <x v="0"/>
    <x v="0"/>
    <x v="0"/>
    <x v="0"/>
    <x v="0"/>
    <x v="0"/>
    <x v="0"/>
    <x v="0"/>
    <x v="0"/>
    <x v="0"/>
    <x v="0"/>
    <x v="0"/>
    <x v="0"/>
    <x v="0"/>
    <m/>
    <m/>
    <m/>
    <m/>
    <m/>
    <m/>
  </r>
  <r>
    <x v="77"/>
    <x v="0"/>
    <x v="36"/>
    <x v="4"/>
    <x v="1"/>
    <x v="8"/>
    <x v="0"/>
    <x v="2"/>
    <x v="3"/>
    <x v="0"/>
    <x v="0"/>
    <x v="0"/>
    <x v="0"/>
    <x v="0"/>
    <x v="0"/>
    <x v="0"/>
    <x v="0"/>
    <x v="0"/>
    <x v="0"/>
    <x v="0"/>
    <x v="0"/>
    <x v="0"/>
    <x v="0"/>
    <x v="0"/>
    <x v="0"/>
    <x v="0"/>
    <m/>
    <m/>
    <m/>
    <m/>
    <m/>
    <m/>
  </r>
  <r>
    <x v="77"/>
    <x v="0"/>
    <x v="36"/>
    <x v="4"/>
    <x v="1"/>
    <x v="9"/>
    <x v="0"/>
    <x v="2"/>
    <x v="3"/>
    <x v="0"/>
    <x v="0"/>
    <x v="0"/>
    <x v="0"/>
    <x v="0"/>
    <x v="0"/>
    <x v="0"/>
    <x v="0"/>
    <x v="0"/>
    <x v="0"/>
    <x v="0"/>
    <x v="0"/>
    <x v="0"/>
    <x v="0"/>
    <x v="0"/>
    <x v="0"/>
    <x v="0"/>
    <m/>
    <m/>
    <m/>
    <m/>
    <m/>
    <m/>
  </r>
  <r>
    <x v="77"/>
    <x v="0"/>
    <x v="36"/>
    <x v="4"/>
    <x v="1"/>
    <x v="10"/>
    <x v="0"/>
    <x v="3"/>
    <x v="3"/>
    <x v="0"/>
    <x v="0"/>
    <x v="0"/>
    <x v="0"/>
    <x v="0"/>
    <x v="0"/>
    <x v="0"/>
    <x v="0"/>
    <x v="0"/>
    <x v="0"/>
    <x v="0"/>
    <x v="0"/>
    <x v="0"/>
    <x v="0"/>
    <x v="0"/>
    <x v="0"/>
    <x v="0"/>
    <m/>
    <m/>
    <m/>
    <m/>
    <m/>
    <m/>
  </r>
  <r>
    <x v="77"/>
    <x v="0"/>
    <x v="36"/>
    <x v="4"/>
    <x v="1"/>
    <x v="11"/>
    <x v="0"/>
    <x v="3"/>
    <x v="2"/>
    <x v="2"/>
    <x v="2"/>
    <x v="2"/>
    <x v="2"/>
    <x v="2"/>
    <x v="2"/>
    <x v="2"/>
    <x v="2"/>
    <x v="2"/>
    <x v="2"/>
    <x v="2"/>
    <x v="2"/>
    <x v="2"/>
    <x v="2"/>
    <x v="2"/>
    <x v="2"/>
    <x v="2"/>
    <n v="0"/>
    <n v="0"/>
    <n v="0"/>
    <n v="0"/>
    <n v="0"/>
    <n v="-1806"/>
  </r>
  <r>
    <x v="77"/>
    <x v="0"/>
    <x v="36"/>
    <x v="4"/>
    <x v="1"/>
    <x v="12"/>
    <x v="0"/>
    <x v="3"/>
    <x v="2"/>
    <x v="2"/>
    <x v="2"/>
    <x v="2"/>
    <x v="2"/>
    <x v="2"/>
    <x v="2"/>
    <x v="2"/>
    <x v="2"/>
    <x v="2"/>
    <x v="2"/>
    <x v="2"/>
    <x v="2"/>
    <x v="2"/>
    <x v="2"/>
    <x v="2"/>
    <x v="2"/>
    <x v="2"/>
    <n v="0"/>
    <n v="0"/>
    <n v="0"/>
    <n v="0"/>
    <n v="0"/>
    <n v="0"/>
  </r>
  <r>
    <x v="78"/>
    <x v="0"/>
    <x v="36"/>
    <x v="2"/>
    <x v="0"/>
    <x v="0"/>
    <x v="0"/>
    <x v="376"/>
    <x v="421"/>
    <x v="0"/>
    <x v="0"/>
    <x v="0"/>
    <x v="0"/>
    <x v="0"/>
    <x v="0"/>
    <x v="0"/>
    <x v="0"/>
    <x v="0"/>
    <x v="0"/>
    <x v="0"/>
    <x v="0"/>
    <x v="0"/>
    <x v="0"/>
    <x v="0"/>
    <x v="0"/>
    <x v="0"/>
    <m/>
    <m/>
    <m/>
    <m/>
    <m/>
    <m/>
  </r>
  <r>
    <x v="78"/>
    <x v="0"/>
    <x v="36"/>
    <x v="2"/>
    <x v="0"/>
    <x v="1"/>
    <x v="0"/>
    <x v="377"/>
    <x v="422"/>
    <x v="193"/>
    <x v="200"/>
    <x v="201"/>
    <x v="206"/>
    <x v="200"/>
    <x v="201"/>
    <x v="205"/>
    <x v="204"/>
    <x v="208"/>
    <x v="195"/>
    <x v="204"/>
    <x v="200"/>
    <x v="202"/>
    <x v="196"/>
    <x v="182"/>
    <x v="177"/>
    <x v="176"/>
    <n v="1392"/>
    <n v="1391"/>
    <n v="1309"/>
    <n v="393"/>
    <n v="38"/>
    <n v="38"/>
  </r>
  <r>
    <x v="78"/>
    <x v="0"/>
    <x v="36"/>
    <x v="2"/>
    <x v="0"/>
    <x v="2"/>
    <x v="0"/>
    <x v="378"/>
    <x v="423"/>
    <x v="0"/>
    <x v="0"/>
    <x v="0"/>
    <x v="0"/>
    <x v="0"/>
    <x v="0"/>
    <x v="0"/>
    <x v="0"/>
    <x v="0"/>
    <x v="0"/>
    <x v="0"/>
    <x v="0"/>
    <x v="0"/>
    <x v="0"/>
    <x v="0"/>
    <x v="0"/>
    <x v="0"/>
    <m/>
    <m/>
    <m/>
    <m/>
    <m/>
    <m/>
  </r>
  <r>
    <x v="78"/>
    <x v="0"/>
    <x v="36"/>
    <x v="2"/>
    <x v="0"/>
    <x v="3"/>
    <x v="0"/>
    <x v="2"/>
    <x v="2"/>
    <x v="0"/>
    <x v="0"/>
    <x v="0"/>
    <x v="0"/>
    <x v="0"/>
    <x v="0"/>
    <x v="0"/>
    <x v="0"/>
    <x v="0"/>
    <x v="0"/>
    <x v="0"/>
    <x v="0"/>
    <x v="0"/>
    <x v="0"/>
    <x v="0"/>
    <x v="0"/>
    <x v="0"/>
    <m/>
    <m/>
    <m/>
    <m/>
    <m/>
    <m/>
  </r>
  <r>
    <x v="78"/>
    <x v="0"/>
    <x v="36"/>
    <x v="2"/>
    <x v="0"/>
    <x v="4"/>
    <x v="0"/>
    <x v="2"/>
    <x v="2"/>
    <x v="0"/>
    <x v="0"/>
    <x v="0"/>
    <x v="0"/>
    <x v="0"/>
    <x v="0"/>
    <x v="0"/>
    <x v="0"/>
    <x v="0"/>
    <x v="0"/>
    <x v="0"/>
    <x v="0"/>
    <x v="0"/>
    <x v="0"/>
    <x v="0"/>
    <x v="0"/>
    <x v="0"/>
    <m/>
    <m/>
    <m/>
    <m/>
    <m/>
    <m/>
  </r>
  <r>
    <x v="78"/>
    <x v="0"/>
    <x v="36"/>
    <x v="2"/>
    <x v="0"/>
    <x v="5"/>
    <x v="0"/>
    <x v="3"/>
    <x v="3"/>
    <x v="0"/>
    <x v="0"/>
    <x v="0"/>
    <x v="0"/>
    <x v="0"/>
    <x v="0"/>
    <x v="0"/>
    <x v="0"/>
    <x v="0"/>
    <x v="0"/>
    <x v="0"/>
    <x v="0"/>
    <x v="0"/>
    <x v="0"/>
    <x v="0"/>
    <x v="0"/>
    <x v="0"/>
    <m/>
    <m/>
    <m/>
    <m/>
    <m/>
    <m/>
  </r>
  <r>
    <x v="78"/>
    <x v="0"/>
    <x v="36"/>
    <x v="2"/>
    <x v="0"/>
    <x v="6"/>
    <x v="0"/>
    <x v="379"/>
    <x v="424"/>
    <x v="2"/>
    <x v="2"/>
    <x v="2"/>
    <x v="207"/>
    <x v="71"/>
    <x v="2"/>
    <x v="73"/>
    <x v="205"/>
    <x v="2"/>
    <x v="2"/>
    <x v="2"/>
    <x v="2"/>
    <x v="203"/>
    <x v="2"/>
    <x v="2"/>
    <x v="2"/>
    <x v="2"/>
    <n v="0"/>
    <n v="0"/>
    <n v="0"/>
    <n v="0"/>
    <n v="0"/>
    <n v="0"/>
  </r>
  <r>
    <x v="78"/>
    <x v="0"/>
    <x v="36"/>
    <x v="2"/>
    <x v="0"/>
    <x v="7"/>
    <x v="0"/>
    <x v="379"/>
    <x v="424"/>
    <x v="0"/>
    <x v="0"/>
    <x v="0"/>
    <x v="207"/>
    <x v="71"/>
    <x v="0"/>
    <x v="73"/>
    <x v="205"/>
    <x v="0"/>
    <x v="0"/>
    <x v="0"/>
    <x v="0"/>
    <x v="203"/>
    <x v="0"/>
    <x v="0"/>
    <x v="0"/>
    <x v="0"/>
    <m/>
    <m/>
    <m/>
    <m/>
    <m/>
    <m/>
  </r>
  <r>
    <x v="78"/>
    <x v="0"/>
    <x v="36"/>
    <x v="2"/>
    <x v="0"/>
    <x v="8"/>
    <x v="0"/>
    <x v="2"/>
    <x v="3"/>
    <x v="0"/>
    <x v="0"/>
    <x v="0"/>
    <x v="0"/>
    <x v="0"/>
    <x v="0"/>
    <x v="0"/>
    <x v="0"/>
    <x v="0"/>
    <x v="0"/>
    <x v="0"/>
    <x v="0"/>
    <x v="0"/>
    <x v="0"/>
    <x v="0"/>
    <x v="0"/>
    <x v="0"/>
    <m/>
    <m/>
    <m/>
    <m/>
    <m/>
    <m/>
  </r>
  <r>
    <x v="78"/>
    <x v="0"/>
    <x v="36"/>
    <x v="2"/>
    <x v="0"/>
    <x v="9"/>
    <x v="0"/>
    <x v="2"/>
    <x v="3"/>
    <x v="0"/>
    <x v="0"/>
    <x v="0"/>
    <x v="0"/>
    <x v="0"/>
    <x v="0"/>
    <x v="0"/>
    <x v="0"/>
    <x v="0"/>
    <x v="0"/>
    <x v="0"/>
    <x v="0"/>
    <x v="0"/>
    <x v="0"/>
    <x v="0"/>
    <x v="0"/>
    <x v="0"/>
    <m/>
    <m/>
    <m/>
    <m/>
    <m/>
    <m/>
  </r>
  <r>
    <x v="78"/>
    <x v="0"/>
    <x v="36"/>
    <x v="2"/>
    <x v="0"/>
    <x v="10"/>
    <x v="0"/>
    <x v="379"/>
    <x v="424"/>
    <x v="0"/>
    <x v="0"/>
    <x v="0"/>
    <x v="207"/>
    <x v="71"/>
    <x v="0"/>
    <x v="73"/>
    <x v="205"/>
    <x v="0"/>
    <x v="0"/>
    <x v="0"/>
    <x v="0"/>
    <x v="203"/>
    <x v="0"/>
    <x v="0"/>
    <x v="0"/>
    <x v="0"/>
    <m/>
    <m/>
    <m/>
    <m/>
    <m/>
    <m/>
  </r>
  <r>
    <x v="78"/>
    <x v="0"/>
    <x v="36"/>
    <x v="2"/>
    <x v="0"/>
    <x v="11"/>
    <x v="0"/>
    <x v="3"/>
    <x v="425"/>
    <x v="194"/>
    <x v="201"/>
    <x v="202"/>
    <x v="208"/>
    <x v="201"/>
    <x v="202"/>
    <x v="206"/>
    <x v="206"/>
    <x v="209"/>
    <x v="196"/>
    <x v="205"/>
    <x v="201"/>
    <x v="204"/>
    <x v="197"/>
    <x v="183"/>
    <x v="178"/>
    <x v="177"/>
    <n v="-1751"/>
    <n v="-3142"/>
    <n v="-4451"/>
    <n v="-4844"/>
    <n v="-4882"/>
    <n v="-4920"/>
  </r>
  <r>
    <x v="78"/>
    <x v="0"/>
    <x v="36"/>
    <x v="2"/>
    <x v="0"/>
    <x v="12"/>
    <x v="0"/>
    <x v="3"/>
    <x v="2"/>
    <x v="2"/>
    <x v="2"/>
    <x v="2"/>
    <x v="2"/>
    <x v="2"/>
    <x v="2"/>
    <x v="2"/>
    <x v="2"/>
    <x v="2"/>
    <x v="2"/>
    <x v="2"/>
    <x v="2"/>
    <x v="2"/>
    <x v="2"/>
    <x v="2"/>
    <x v="2"/>
    <x v="2"/>
    <n v="0"/>
    <n v="0"/>
    <n v="0"/>
    <n v="0"/>
    <n v="0"/>
    <n v="0"/>
  </r>
  <r>
    <x v="79"/>
    <x v="0"/>
    <x v="37"/>
    <x v="2"/>
    <x v="0"/>
    <x v="0"/>
    <x v="0"/>
    <x v="380"/>
    <x v="426"/>
    <x v="0"/>
    <x v="0"/>
    <x v="0"/>
    <x v="0"/>
    <x v="0"/>
    <x v="0"/>
    <x v="0"/>
    <x v="0"/>
    <x v="0"/>
    <x v="0"/>
    <x v="0"/>
    <x v="0"/>
    <x v="0"/>
    <x v="0"/>
    <x v="0"/>
    <x v="0"/>
    <x v="0"/>
    <m/>
    <m/>
    <m/>
    <m/>
    <m/>
    <m/>
  </r>
  <r>
    <x v="79"/>
    <x v="0"/>
    <x v="37"/>
    <x v="2"/>
    <x v="0"/>
    <x v="1"/>
    <x v="0"/>
    <x v="381"/>
    <x v="427"/>
    <x v="195"/>
    <x v="202"/>
    <x v="203"/>
    <x v="209"/>
    <x v="202"/>
    <x v="203"/>
    <x v="207"/>
    <x v="207"/>
    <x v="210"/>
    <x v="197"/>
    <x v="206"/>
    <x v="202"/>
    <x v="205"/>
    <x v="198"/>
    <x v="184"/>
    <x v="179"/>
    <x v="178"/>
    <n v="215"/>
    <n v="213"/>
    <n v="213"/>
    <n v="214"/>
    <n v="210"/>
    <n v="212"/>
  </r>
  <r>
    <x v="79"/>
    <x v="0"/>
    <x v="37"/>
    <x v="2"/>
    <x v="0"/>
    <x v="2"/>
    <x v="0"/>
    <x v="2"/>
    <x v="2"/>
    <x v="0"/>
    <x v="0"/>
    <x v="0"/>
    <x v="0"/>
    <x v="0"/>
    <x v="0"/>
    <x v="0"/>
    <x v="0"/>
    <x v="0"/>
    <x v="0"/>
    <x v="0"/>
    <x v="0"/>
    <x v="0"/>
    <x v="0"/>
    <x v="0"/>
    <x v="0"/>
    <x v="0"/>
    <m/>
    <m/>
    <m/>
    <m/>
    <m/>
    <m/>
  </r>
  <r>
    <x v="79"/>
    <x v="0"/>
    <x v="37"/>
    <x v="2"/>
    <x v="0"/>
    <x v="3"/>
    <x v="0"/>
    <x v="2"/>
    <x v="2"/>
    <x v="0"/>
    <x v="0"/>
    <x v="0"/>
    <x v="0"/>
    <x v="0"/>
    <x v="0"/>
    <x v="0"/>
    <x v="0"/>
    <x v="0"/>
    <x v="0"/>
    <x v="0"/>
    <x v="0"/>
    <x v="0"/>
    <x v="0"/>
    <x v="0"/>
    <x v="0"/>
    <x v="0"/>
    <m/>
    <m/>
    <m/>
    <m/>
    <m/>
    <m/>
  </r>
  <r>
    <x v="79"/>
    <x v="0"/>
    <x v="37"/>
    <x v="2"/>
    <x v="0"/>
    <x v="4"/>
    <x v="0"/>
    <x v="29"/>
    <x v="30"/>
    <x v="0"/>
    <x v="0"/>
    <x v="0"/>
    <x v="0"/>
    <x v="0"/>
    <x v="0"/>
    <x v="0"/>
    <x v="0"/>
    <x v="0"/>
    <x v="0"/>
    <x v="0"/>
    <x v="0"/>
    <x v="0"/>
    <x v="0"/>
    <x v="0"/>
    <x v="0"/>
    <x v="0"/>
    <m/>
    <m/>
    <m/>
    <m/>
    <m/>
    <m/>
  </r>
  <r>
    <x v="79"/>
    <x v="0"/>
    <x v="37"/>
    <x v="2"/>
    <x v="0"/>
    <x v="5"/>
    <x v="0"/>
    <x v="3"/>
    <x v="3"/>
    <x v="0"/>
    <x v="0"/>
    <x v="0"/>
    <x v="0"/>
    <x v="0"/>
    <x v="0"/>
    <x v="0"/>
    <x v="0"/>
    <x v="0"/>
    <x v="0"/>
    <x v="0"/>
    <x v="0"/>
    <x v="0"/>
    <x v="0"/>
    <x v="0"/>
    <x v="0"/>
    <x v="0"/>
    <m/>
    <m/>
    <m/>
    <m/>
    <m/>
    <m/>
  </r>
  <r>
    <x v="79"/>
    <x v="0"/>
    <x v="37"/>
    <x v="2"/>
    <x v="0"/>
    <x v="6"/>
    <x v="0"/>
    <x v="2"/>
    <x v="2"/>
    <x v="2"/>
    <x v="2"/>
    <x v="2"/>
    <x v="2"/>
    <x v="2"/>
    <x v="2"/>
    <x v="2"/>
    <x v="2"/>
    <x v="2"/>
    <x v="2"/>
    <x v="2"/>
    <x v="2"/>
    <x v="2"/>
    <x v="2"/>
    <x v="2"/>
    <x v="2"/>
    <x v="2"/>
    <n v="0"/>
    <n v="0"/>
    <n v="0"/>
    <n v="0"/>
    <n v="0"/>
    <n v="0"/>
  </r>
  <r>
    <x v="79"/>
    <x v="0"/>
    <x v="37"/>
    <x v="2"/>
    <x v="0"/>
    <x v="7"/>
    <x v="0"/>
    <x v="3"/>
    <x v="3"/>
    <x v="0"/>
    <x v="0"/>
    <x v="0"/>
    <x v="0"/>
    <x v="0"/>
    <x v="0"/>
    <x v="0"/>
    <x v="0"/>
    <x v="0"/>
    <x v="0"/>
    <x v="0"/>
    <x v="0"/>
    <x v="0"/>
    <x v="0"/>
    <x v="0"/>
    <x v="0"/>
    <x v="0"/>
    <m/>
    <m/>
    <m/>
    <m/>
    <m/>
    <m/>
  </r>
  <r>
    <x v="79"/>
    <x v="0"/>
    <x v="37"/>
    <x v="2"/>
    <x v="0"/>
    <x v="8"/>
    <x v="0"/>
    <x v="2"/>
    <x v="3"/>
    <x v="0"/>
    <x v="0"/>
    <x v="0"/>
    <x v="0"/>
    <x v="0"/>
    <x v="0"/>
    <x v="0"/>
    <x v="0"/>
    <x v="0"/>
    <x v="0"/>
    <x v="0"/>
    <x v="0"/>
    <x v="0"/>
    <x v="0"/>
    <x v="0"/>
    <x v="0"/>
    <x v="0"/>
    <m/>
    <m/>
    <m/>
    <m/>
    <m/>
    <m/>
  </r>
  <r>
    <x v="79"/>
    <x v="0"/>
    <x v="37"/>
    <x v="2"/>
    <x v="0"/>
    <x v="9"/>
    <x v="0"/>
    <x v="2"/>
    <x v="3"/>
    <x v="0"/>
    <x v="0"/>
    <x v="0"/>
    <x v="0"/>
    <x v="0"/>
    <x v="0"/>
    <x v="0"/>
    <x v="0"/>
    <x v="0"/>
    <x v="0"/>
    <x v="0"/>
    <x v="0"/>
    <x v="0"/>
    <x v="0"/>
    <x v="0"/>
    <x v="0"/>
    <x v="0"/>
    <m/>
    <m/>
    <m/>
    <m/>
    <m/>
    <m/>
  </r>
  <r>
    <x v="79"/>
    <x v="0"/>
    <x v="37"/>
    <x v="2"/>
    <x v="0"/>
    <x v="10"/>
    <x v="0"/>
    <x v="3"/>
    <x v="3"/>
    <x v="0"/>
    <x v="0"/>
    <x v="0"/>
    <x v="0"/>
    <x v="0"/>
    <x v="0"/>
    <x v="0"/>
    <x v="0"/>
    <x v="0"/>
    <x v="0"/>
    <x v="0"/>
    <x v="0"/>
    <x v="0"/>
    <x v="0"/>
    <x v="0"/>
    <x v="0"/>
    <x v="0"/>
    <m/>
    <m/>
    <m/>
    <m/>
    <m/>
    <m/>
  </r>
  <r>
    <x v="79"/>
    <x v="0"/>
    <x v="37"/>
    <x v="2"/>
    <x v="0"/>
    <x v="11"/>
    <x v="0"/>
    <x v="3"/>
    <x v="428"/>
    <x v="196"/>
    <x v="203"/>
    <x v="204"/>
    <x v="210"/>
    <x v="203"/>
    <x v="204"/>
    <x v="208"/>
    <x v="208"/>
    <x v="211"/>
    <x v="198"/>
    <x v="207"/>
    <x v="203"/>
    <x v="206"/>
    <x v="199"/>
    <x v="185"/>
    <x v="180"/>
    <x v="179"/>
    <n v="-10193"/>
    <n v="-10406"/>
    <n v="-10619"/>
    <n v="-10833"/>
    <n v="-11043"/>
    <n v="-11255"/>
  </r>
  <r>
    <x v="79"/>
    <x v="0"/>
    <x v="37"/>
    <x v="2"/>
    <x v="0"/>
    <x v="12"/>
    <x v="0"/>
    <x v="3"/>
    <x v="2"/>
    <x v="2"/>
    <x v="2"/>
    <x v="2"/>
    <x v="2"/>
    <x v="2"/>
    <x v="2"/>
    <x v="2"/>
    <x v="2"/>
    <x v="2"/>
    <x v="2"/>
    <x v="2"/>
    <x v="2"/>
    <x v="2"/>
    <x v="2"/>
    <x v="2"/>
    <x v="2"/>
    <x v="2"/>
    <n v="0"/>
    <n v="0"/>
    <n v="0"/>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1615C2B-2B16-4A93-959C-13D5D9D306E8}" name="PVtable" cacheId="28" applyNumberFormats="0" applyBorderFormats="0" applyFontFormats="0" applyPatternFormats="0" applyAlignmentFormats="0" applyWidthHeightFormats="1" dataCaption="Values" updatedVersion="8" minRefreshableVersion="3" showCalcMbrs="0" useAutoFormatting="1" rowGrandTotals="0" colGrandTotals="0" itemPrintTitles="1" createdVersion="3" indent="0" compact="0" compactData="0" multipleFieldFilters="0">
  <location ref="A1:AA717" firstHeaderRow="1" firstDataRow="2" firstDataCol="3"/>
  <pivotFields count="32">
    <pivotField compact="0" outline="0" showAll="0" defaultSubtotal="0">
      <items count="8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s>
    </pivotField>
    <pivotField compact="0" outline="0" showAll="0" defaultSubtotal="0">
      <items count="1">
        <item x="0"/>
      </items>
    </pivotField>
    <pivotField axis="axisRow" compact="0" outline="0" showAll="0" defaultSubtotal="0">
      <items count="38">
        <item x="32"/>
        <item x="17"/>
        <item x="1"/>
        <item x="6"/>
        <item x="34"/>
        <item x="24"/>
        <item x="20"/>
        <item x="0"/>
        <item x="22"/>
        <item x="27"/>
        <item x="37"/>
        <item x="25"/>
        <item x="26"/>
        <item x="31"/>
        <item x="29"/>
        <item x="3"/>
        <item x="36"/>
        <item x="5"/>
        <item x="33"/>
        <item x="28"/>
        <item x="21"/>
        <item x="8"/>
        <item x="2"/>
        <item x="11"/>
        <item x="23"/>
        <item x="10"/>
        <item x="15"/>
        <item x="9"/>
        <item x="14"/>
        <item x="30"/>
        <item x="7"/>
        <item x="19"/>
        <item x="12"/>
        <item x="13"/>
        <item x="16"/>
        <item x="4"/>
        <item x="35"/>
        <item x="18"/>
      </items>
    </pivotField>
    <pivotField compact="0" outline="0" showAll="0" defaultSubtotal="0">
      <items count="7">
        <item x="4"/>
        <item x="1"/>
        <item x="0"/>
        <item x="5"/>
        <item x="2"/>
        <item x="6"/>
        <item x="3"/>
      </items>
    </pivotField>
    <pivotField axis="axisRow" compact="0" outline="0" showAll="0" defaultSubtotal="0">
      <items count="3">
        <item x="1"/>
        <item x="0"/>
        <item x="2"/>
      </items>
    </pivotField>
    <pivotField axis="axisRow" compact="0" outline="0" showAll="0" defaultSubtotal="0">
      <items count="13">
        <item x="0"/>
        <item x="1"/>
        <item x="2"/>
        <item x="3"/>
        <item x="4"/>
        <item x="5"/>
        <item x="6"/>
        <item x="7"/>
        <item x="8"/>
        <item x="9"/>
        <item x="10"/>
        <item x="11"/>
        <item x="12"/>
      </items>
    </pivotField>
    <pivotField compact="0" outline="0" showAll="0" defaultSubtotal="0">
      <items count="1">
        <item x="0"/>
      </items>
    </pivotField>
    <pivotField compact="0" outline="0" showAll="0" defaultSubtotal="0">
      <items count="382">
        <item x="2"/>
        <item x="18"/>
        <item x="11"/>
        <item x="302"/>
        <item x="338"/>
        <item x="191"/>
        <item x="21"/>
        <item x="9"/>
        <item x="5"/>
        <item x="59"/>
        <item x="29"/>
        <item x="91"/>
        <item x="20"/>
        <item x="224"/>
        <item x="10"/>
        <item x="13"/>
        <item x="257"/>
        <item x="104"/>
        <item x="107"/>
        <item x="342"/>
        <item x="298"/>
        <item x="7"/>
        <item x="314"/>
        <item x="279"/>
        <item x="164"/>
        <item x="334"/>
        <item x="98"/>
        <item x="175"/>
        <item x="297"/>
        <item x="321"/>
        <item x="199"/>
        <item x="228"/>
        <item x="318"/>
        <item x="160"/>
        <item x="196"/>
        <item x="225"/>
        <item x="144"/>
        <item x="105"/>
        <item x="373"/>
        <item x="66"/>
        <item x="237"/>
        <item x="278"/>
        <item x="186"/>
        <item x="356"/>
        <item x="340"/>
        <item x="380"/>
        <item x="299"/>
        <item x="189"/>
        <item x="172"/>
        <item x="326"/>
        <item x="362"/>
        <item x="335"/>
        <item x="26"/>
        <item x="0"/>
        <item x="183"/>
        <item x="40"/>
        <item x="343"/>
        <item x="359"/>
        <item x="203"/>
        <item x="364"/>
        <item x="53"/>
        <item x="207"/>
        <item x="145"/>
        <item x="288"/>
        <item x="315"/>
        <item x="121"/>
        <item x="143"/>
        <item x="296"/>
        <item x="141"/>
        <item x="200"/>
        <item x="357"/>
        <item x="267"/>
        <item x="258"/>
        <item x="281"/>
        <item x="283"/>
        <item x="115"/>
        <item x="292"/>
        <item x="117"/>
        <item x="108"/>
        <item x="146"/>
        <item x="24"/>
        <item x="370"/>
        <item x="83"/>
        <item x="345"/>
        <item x="367"/>
        <item x="319"/>
        <item x="272"/>
        <item x="202"/>
        <item x="313"/>
        <item x="161"/>
        <item x="102"/>
        <item x="81"/>
        <item x="273"/>
        <item x="124"/>
        <item x="375"/>
        <item x="209"/>
        <item x="372"/>
        <item x="147"/>
        <item x="307"/>
        <item x="177"/>
        <item x="25"/>
        <item x="106"/>
        <item x="311"/>
        <item x="15"/>
        <item x="275"/>
        <item x="206"/>
        <item x="88"/>
        <item x="346"/>
        <item x="14"/>
        <item x="323"/>
        <item x="337"/>
        <item x="110"/>
        <item x="339"/>
        <item x="148"/>
        <item x="336"/>
        <item x="109"/>
        <item x="153"/>
        <item x="113"/>
        <item x="368"/>
        <item x="212"/>
        <item x="304"/>
        <item x="93"/>
        <item x="285"/>
        <item x="165"/>
        <item x="301"/>
        <item x="261"/>
        <item x="129"/>
        <item x="266"/>
        <item x="90"/>
        <item x="250"/>
        <item x="79"/>
        <item x="64"/>
        <item x="231"/>
        <item x="23"/>
        <item x="252"/>
        <item x="322"/>
        <item x="282"/>
        <item x="355"/>
        <item x="259"/>
        <item x="300"/>
        <item x="198"/>
        <item x="162"/>
        <item x="306"/>
        <item x="217"/>
        <item x="220"/>
        <item x="317"/>
        <item x="155"/>
        <item x="239"/>
        <item x="17"/>
        <item x="294"/>
        <item x="276"/>
        <item x="149"/>
        <item x="138"/>
        <item x="197"/>
        <item x="82"/>
        <item x="303"/>
        <item x="361"/>
        <item x="264"/>
        <item x="76"/>
        <item x="112"/>
        <item x="349"/>
        <item x="28"/>
        <item x="236"/>
        <item x="358"/>
        <item x="49"/>
        <item x="142"/>
        <item x="210"/>
        <item x="96"/>
        <item x="195"/>
        <item x="201"/>
        <item x="381"/>
        <item x="22"/>
        <item x="374"/>
        <item x="135"/>
        <item x="352"/>
        <item x="222"/>
        <item x="290"/>
        <item x="208"/>
        <item x="74"/>
        <item x="47"/>
        <item x="347"/>
        <item x="180"/>
        <item x="140"/>
        <item x="60"/>
        <item x="226"/>
        <item x="159"/>
        <item x="37"/>
        <item x="50"/>
        <item x="286"/>
        <item x="8"/>
        <item x="376"/>
        <item x="30"/>
        <item x="125"/>
        <item x="332"/>
        <item x="354"/>
        <item x="187"/>
        <item x="247"/>
        <item x="31"/>
        <item x="360"/>
        <item x="157"/>
        <item x="69"/>
        <item x="170"/>
        <item x="329"/>
        <item x="305"/>
        <item x="1"/>
        <item x="56"/>
        <item x="214"/>
        <item x="94"/>
        <item x="244"/>
        <item x="84"/>
        <item x="341"/>
        <item x="320"/>
        <item x="152"/>
        <item x="156"/>
        <item x="287"/>
        <item x="242"/>
        <item x="12"/>
        <item x="254"/>
        <item x="218"/>
        <item x="344"/>
        <item x="173"/>
        <item x="246"/>
        <item x="333"/>
        <item x="211"/>
        <item x="131"/>
        <item x="350"/>
        <item x="363"/>
        <item x="184"/>
        <item x="248"/>
        <item x="310"/>
        <item x="16"/>
        <item x="293"/>
        <item x="365"/>
        <item x="204"/>
        <item x="34"/>
        <item x="316"/>
        <item x="235"/>
        <item x="378"/>
        <item x="87"/>
        <item x="190"/>
        <item x="213"/>
        <item x="6"/>
        <item x="251"/>
        <item x="216"/>
        <item x="139"/>
        <item x="136"/>
        <item x="262"/>
        <item x="114"/>
        <item x="366"/>
        <item x="268"/>
        <item x="39"/>
        <item x="289"/>
        <item x="255"/>
        <item x="116"/>
        <item x="150"/>
        <item x="122"/>
        <item x="308"/>
        <item x="328"/>
        <item x="371"/>
        <item x="331"/>
        <item x="137"/>
        <item x="126"/>
        <item x="128"/>
        <item x="118"/>
        <item x="63"/>
        <item x="229"/>
        <item x="54"/>
        <item x="221"/>
        <item x="67"/>
        <item x="71"/>
        <item x="256"/>
        <item x="291"/>
        <item x="327"/>
        <item x="35"/>
        <item x="181"/>
        <item x="133"/>
        <item x="240"/>
        <item x="51"/>
        <item x="295"/>
        <item x="111"/>
        <item x="134"/>
        <item x="253"/>
        <item x="19"/>
        <item x="265"/>
        <item x="233"/>
        <item x="194"/>
        <item x="99"/>
        <item x="241"/>
        <item x="178"/>
        <item x="379"/>
        <item x="58"/>
        <item x="4"/>
        <item x="101"/>
        <item x="123"/>
        <item x="97"/>
        <item x="44"/>
        <item x="176"/>
        <item x="223"/>
        <item x="232"/>
        <item x="377"/>
        <item x="27"/>
        <item x="269"/>
        <item x="45"/>
        <item x="353"/>
        <item x="185"/>
        <item x="73"/>
        <item x="38"/>
        <item x="348"/>
        <item x="192"/>
        <item x="369"/>
        <item x="227"/>
        <item x="89"/>
        <item x="119"/>
        <item x="284"/>
        <item x="163"/>
        <item x="277"/>
        <item x="271"/>
        <item x="188"/>
        <item x="95"/>
        <item x="120"/>
        <item x="238"/>
        <item x="130"/>
        <item x="158"/>
        <item x="351"/>
        <item x="325"/>
        <item x="65"/>
        <item x="41"/>
        <item x="324"/>
        <item x="168"/>
        <item x="171"/>
        <item x="260"/>
        <item x="132"/>
        <item x="92"/>
        <item x="78"/>
        <item x="77"/>
        <item x="234"/>
        <item x="103"/>
        <item x="43"/>
        <item x="205"/>
        <item x="249"/>
        <item x="166"/>
        <item x="263"/>
        <item x="179"/>
        <item x="80"/>
        <item x="330"/>
        <item x="169"/>
        <item x="245"/>
        <item x="243"/>
        <item x="312"/>
        <item x="230"/>
        <item x="280"/>
        <item x="68"/>
        <item x="154"/>
        <item x="85"/>
        <item x="127"/>
        <item x="215"/>
        <item x="151"/>
        <item x="55"/>
        <item x="32"/>
        <item x="182"/>
        <item x="274"/>
        <item x="309"/>
        <item x="57"/>
        <item x="174"/>
        <item x="61"/>
        <item x="48"/>
        <item x="75"/>
        <item x="219"/>
        <item x="70"/>
        <item x="100"/>
        <item x="52"/>
        <item x="42"/>
        <item x="72"/>
        <item x="33"/>
        <item x="167"/>
        <item x="86"/>
        <item x="36"/>
        <item x="193"/>
        <item x="270"/>
        <item x="46"/>
        <item x="62"/>
        <item x="3"/>
      </items>
    </pivotField>
    <pivotField dataField="1" compact="0" outline="0" showAll="0" defaultSubtotal="0">
      <items count="429">
        <item x="70"/>
        <item x="98"/>
        <item x="216"/>
        <item x="230"/>
        <item x="256"/>
        <item x="305"/>
        <item x="349"/>
        <item x="7"/>
        <item x="114"/>
        <item x="253"/>
        <item x="108"/>
        <item x="54"/>
        <item x="397"/>
        <item x="11"/>
        <item x="246"/>
        <item x="174"/>
        <item x="328"/>
        <item x="243"/>
        <item x="26"/>
        <item x="177"/>
        <item x="299"/>
        <item x="279"/>
        <item x="325"/>
        <item x="93"/>
        <item x="4"/>
        <item x="90"/>
        <item x="131"/>
        <item x="141"/>
        <item x="385"/>
        <item x="388"/>
        <item x="351"/>
        <item x="404"/>
        <item x="382"/>
        <item x="428"/>
        <item x="184"/>
        <item x="420"/>
        <item x="332"/>
        <item x="338"/>
        <item x="212"/>
        <item x="360"/>
        <item x="164"/>
        <item x="187"/>
        <item x="375"/>
        <item x="288"/>
        <item x="22"/>
        <item x="9"/>
        <item x="367"/>
        <item x="2"/>
        <item x="19"/>
        <item x="8"/>
        <item x="247"/>
        <item x="336"/>
        <item x="377"/>
        <item x="211"/>
        <item x="116"/>
        <item x="330"/>
        <item x="121"/>
        <item x="64"/>
        <item x="30"/>
        <item x="374"/>
        <item x="21"/>
        <item x="12"/>
        <item x="14"/>
        <item x="210"/>
        <item x="286"/>
        <item x="115"/>
        <item x="118"/>
        <item x="381"/>
        <item x="331"/>
        <item x="287"/>
        <item x="310"/>
        <item x="387"/>
        <item x="185"/>
        <item x="28"/>
        <item x="140"/>
        <item x="225"/>
        <item x="359"/>
        <item x="406"/>
        <item x="373"/>
        <item x="107"/>
        <item x="186"/>
        <item x="196"/>
        <item x="166"/>
        <item x="334"/>
        <item x="403"/>
        <item x="313"/>
        <item x="223"/>
        <item x="358"/>
        <item x="220"/>
        <item x="252"/>
        <item x="355"/>
        <item x="181"/>
        <item x="249"/>
        <item x="217"/>
        <item x="248"/>
        <item x="162"/>
        <item x="419"/>
        <item x="71"/>
        <item x="264"/>
        <item x="309"/>
        <item x="206"/>
        <item x="400"/>
        <item x="379"/>
        <item x="307"/>
        <item x="218"/>
        <item x="426"/>
        <item x="289"/>
        <item x="89"/>
        <item x="333"/>
        <item x="209"/>
        <item x="193"/>
        <item x="364"/>
        <item x="408"/>
        <item x="24"/>
        <item x="27"/>
        <item x="0"/>
        <item x="204"/>
        <item x="42"/>
        <item x="383"/>
        <item x="72"/>
        <item x="427"/>
        <item x="405"/>
        <item x="353"/>
        <item x="410"/>
        <item x="58"/>
        <item x="147"/>
        <item x="229"/>
        <item x="163"/>
        <item x="398"/>
        <item x="380"/>
        <item x="319"/>
        <item x="352"/>
        <item x="194"/>
        <item x="135"/>
        <item x="161"/>
        <item x="329"/>
        <item x="317"/>
        <item x="159"/>
        <item x="384"/>
        <item x="222"/>
        <item x="402"/>
        <item x="340"/>
        <item x="298"/>
        <item x="411"/>
        <item x="312"/>
        <item x="314"/>
        <item x="232"/>
        <item x="122"/>
        <item x="128"/>
        <item x="323"/>
        <item x="130"/>
        <item x="262"/>
        <item x="120"/>
        <item x="165"/>
        <item x="25"/>
        <item x="416"/>
        <item x="91"/>
        <item x="386"/>
        <item x="413"/>
        <item x="356"/>
        <item x="303"/>
        <item x="157"/>
        <item x="224"/>
        <item x="350"/>
        <item x="182"/>
        <item x="245"/>
        <item x="112"/>
        <item x="176"/>
        <item x="168"/>
        <item x="1"/>
        <item x="153"/>
        <item x="88"/>
        <item x="304"/>
        <item x="139"/>
        <item x="231"/>
        <item x="17"/>
        <item x="418"/>
        <item x="417"/>
        <item x="322"/>
        <item x="342"/>
        <item x="281"/>
        <item x="198"/>
        <item x="119"/>
        <item x="117"/>
        <item x="347"/>
        <item x="129"/>
        <item x="16"/>
        <item x="306"/>
        <item x="92"/>
        <item x="228"/>
        <item x="278"/>
        <item x="267"/>
        <item x="97"/>
        <item x="378"/>
        <item x="361"/>
        <item x="376"/>
        <item x="123"/>
        <item x="167"/>
        <item x="172"/>
        <item x="124"/>
        <item x="199"/>
        <item x="396"/>
        <item x="343"/>
        <item x="56"/>
        <item x="327"/>
        <item x="337"/>
        <item x="425"/>
        <item x="20"/>
        <item x="126"/>
        <item x="414"/>
        <item x="258"/>
        <item x="234"/>
        <item x="242"/>
        <item x="339"/>
        <item x="265"/>
        <item x="160"/>
        <item x="390"/>
        <item x="101"/>
        <item x="316"/>
        <item x="261"/>
        <item x="401"/>
        <item x="335"/>
        <item x="291"/>
        <item x="145"/>
        <item x="297"/>
        <item x="99"/>
        <item x="296"/>
        <item x="362"/>
        <item x="40"/>
        <item x="33"/>
        <item x="277"/>
        <item x="86"/>
        <item x="324"/>
        <item x="149"/>
        <item x="69"/>
        <item x="257"/>
        <item x="133"/>
        <item x="280"/>
        <item x="221"/>
        <item x="399"/>
        <item x="103"/>
        <item x="179"/>
        <item x="127"/>
        <item x="219"/>
        <item x="183"/>
        <item x="341"/>
        <item x="239"/>
        <item x="241"/>
        <item x="354"/>
        <item x="357"/>
        <item x="175"/>
        <item x="266"/>
        <item x="251"/>
        <item x="18"/>
        <item x="369"/>
        <item x="106"/>
        <item x="326"/>
        <item x="409"/>
        <item x="156"/>
        <item x="272"/>
        <item x="31"/>
        <item x="407"/>
        <item x="295"/>
        <item x="83"/>
        <item x="125"/>
        <item x="391"/>
        <item x="29"/>
        <item x="263"/>
        <item x="393"/>
        <item x="53"/>
        <item x="424"/>
        <item x="105"/>
        <item x="23"/>
        <item x="152"/>
        <item x="395"/>
        <item x="244"/>
        <item x="321"/>
        <item x="255"/>
        <item x="80"/>
        <item x="51"/>
        <item x="84"/>
        <item x="389"/>
        <item x="201"/>
        <item x="52"/>
        <item x="158"/>
        <item x="250"/>
        <item x="180"/>
        <item x="170"/>
        <item x="39"/>
        <item x="55"/>
        <item x="10"/>
        <item x="421"/>
        <item x="320"/>
        <item x="371"/>
        <item x="207"/>
        <item x="274"/>
        <item x="32"/>
        <item x="178"/>
        <item x="74"/>
        <item x="173"/>
        <item x="368"/>
        <item x="61"/>
        <item x="236"/>
        <item x="102"/>
        <item x="271"/>
        <item x="237"/>
        <item x="43"/>
        <item x="171"/>
        <item x="422"/>
        <item x="318"/>
        <item x="113"/>
        <item x="348"/>
        <item x="62"/>
        <item x="269"/>
        <item x="13"/>
        <item x="15"/>
        <item x="75"/>
        <item x="282"/>
        <item x="146"/>
        <item x="240"/>
        <item x="273"/>
        <item x="233"/>
        <item x="148"/>
        <item x="392"/>
        <item x="151"/>
        <item x="65"/>
        <item x="82"/>
        <item x="235"/>
        <item x="275"/>
        <item x="346"/>
        <item x="394"/>
        <item x="143"/>
        <item x="226"/>
        <item x="35"/>
        <item x="423"/>
        <item x="96"/>
        <item x="293"/>
        <item x="81"/>
        <item x="155"/>
        <item x="189"/>
        <item x="6"/>
        <item x="238"/>
        <item x="372"/>
        <item x="292"/>
        <item x="412"/>
        <item x="41"/>
        <item x="283"/>
        <item x="169"/>
        <item x="415"/>
        <item x="136"/>
        <item x="344"/>
        <item x="227"/>
        <item x="365"/>
        <item x="370"/>
        <item x="154"/>
        <item x="142"/>
        <item x="45"/>
        <item x="144"/>
        <item x="132"/>
        <item x="68"/>
        <item x="137"/>
        <item x="254"/>
        <item x="110"/>
        <item x="315"/>
        <item x="59"/>
        <item x="77"/>
        <item x="284"/>
        <item x="36"/>
        <item x="202"/>
        <item x="150"/>
        <item x="276"/>
        <item x="214"/>
        <item x="78"/>
        <item x="259"/>
        <item x="215"/>
        <item x="109"/>
        <item x="268"/>
        <item x="345"/>
        <item x="63"/>
        <item x="5"/>
        <item x="111"/>
        <item x="95"/>
        <item x="270"/>
        <item x="47"/>
        <item x="260"/>
        <item x="300"/>
        <item x="48"/>
        <item x="205"/>
        <item x="79"/>
        <item x="301"/>
        <item x="49"/>
        <item x="213"/>
        <item x="285"/>
        <item x="208"/>
        <item x="37"/>
        <item x="311"/>
        <item x="308"/>
        <item x="302"/>
        <item x="134"/>
        <item x="87"/>
        <item x="363"/>
        <item x="44"/>
        <item x="190"/>
        <item x="290"/>
        <item x="100"/>
        <item x="85"/>
        <item x="192"/>
        <item x="138"/>
        <item x="366"/>
        <item x="46"/>
        <item x="104"/>
        <item x="188"/>
        <item x="200"/>
        <item x="191"/>
        <item x="294"/>
        <item x="67"/>
        <item x="73"/>
        <item x="203"/>
        <item x="50"/>
        <item x="94"/>
        <item x="76"/>
        <item x="197"/>
        <item x="195"/>
        <item x="66"/>
        <item x="57"/>
        <item x="60"/>
        <item x="34"/>
        <item x="38"/>
        <item x="3"/>
      </items>
    </pivotField>
    <pivotField dataField="1" compact="0" outline="0" showAll="0" defaultSubtotal="0">
      <items count="197">
        <item x="30"/>
        <item x="42"/>
        <item x="94"/>
        <item x="136"/>
        <item x="156"/>
        <item x="115"/>
        <item x="101"/>
        <item x="48"/>
        <item x="24"/>
        <item x="4"/>
        <item x="34"/>
        <item x="113"/>
        <item x="46"/>
        <item x="181"/>
        <item x="109"/>
        <item x="107"/>
        <item x="147"/>
        <item x="7"/>
        <item x="134"/>
        <item x="73"/>
        <item x="14"/>
        <item x="75"/>
        <item x="126"/>
        <item x="145"/>
        <item x="61"/>
        <item x="40"/>
        <item x="55"/>
        <item x="3"/>
        <item x="38"/>
        <item x="192"/>
        <item x="175"/>
        <item x="92"/>
        <item x="59"/>
        <item x="173"/>
        <item x="196"/>
        <item x="194"/>
        <item x="185"/>
        <item x="177"/>
        <item x="158"/>
        <item x="152"/>
        <item x="163"/>
        <item x="149"/>
        <item x="78"/>
        <item x="80"/>
        <item x="68"/>
        <item x="98"/>
        <item x="170"/>
        <item x="130"/>
        <item x="12"/>
        <item x="6"/>
        <item x="166"/>
        <item x="2"/>
        <item x="110"/>
        <item x="5"/>
        <item x="129"/>
        <item x="11"/>
        <item x="49"/>
        <item x="148"/>
        <item x="157"/>
        <item x="43"/>
        <item x="169"/>
        <item x="69"/>
        <item x="176"/>
        <item x="58"/>
        <item x="79"/>
        <item x="150"/>
        <item x="139"/>
        <item x="111"/>
        <item x="131"/>
        <item x="186"/>
        <item x="184"/>
        <item x="13"/>
        <item x="162"/>
        <item x="95"/>
        <item x="160"/>
        <item x="102"/>
        <item x="97"/>
        <item x="195"/>
        <item x="141"/>
        <item x="31"/>
        <item x="182"/>
        <item x="100"/>
        <item x="37"/>
        <item x="172"/>
        <item x="39"/>
        <item x="153"/>
        <item x="137"/>
        <item x="84"/>
        <item x="174"/>
        <item x="89"/>
        <item x="66"/>
        <item x="188"/>
        <item x="51"/>
        <item x="118"/>
        <item x="159"/>
        <item x="64"/>
        <item x="1"/>
        <item x="70"/>
        <item x="74"/>
        <item x="9"/>
        <item x="144"/>
        <item x="143"/>
        <item x="191"/>
        <item x="10"/>
        <item x="127"/>
        <item x="125"/>
        <item x="50"/>
        <item x="91"/>
        <item x="53"/>
        <item x="54"/>
        <item x="120"/>
        <item x="154"/>
        <item x="15"/>
        <item x="171"/>
        <item x="119"/>
        <item x="45"/>
        <item x="67"/>
        <item x="25"/>
        <item x="86"/>
        <item x="99"/>
        <item x="151"/>
        <item x="146"/>
        <item x="56"/>
        <item x="183"/>
        <item x="180"/>
        <item x="164"/>
        <item x="106"/>
        <item x="178"/>
        <item x="116"/>
        <item x="52"/>
        <item x="19"/>
        <item x="17"/>
        <item x="35"/>
        <item x="108"/>
        <item x="105"/>
        <item x="96"/>
        <item x="193"/>
        <item x="62"/>
        <item x="16"/>
        <item x="133"/>
        <item x="60"/>
        <item x="76"/>
        <item x="161"/>
        <item x="77"/>
        <item x="28"/>
        <item x="112"/>
        <item x="189"/>
        <item x="187"/>
        <item x="168"/>
        <item x="122"/>
        <item x="123"/>
        <item x="114"/>
        <item x="71"/>
        <item x="20"/>
        <item x="142"/>
        <item x="72"/>
        <item x="27"/>
        <item x="104"/>
        <item x="155"/>
        <item x="63"/>
        <item x="8"/>
        <item x="179"/>
        <item x="103"/>
        <item x="167"/>
        <item x="23"/>
        <item x="65"/>
        <item x="87"/>
        <item x="47"/>
        <item x="82"/>
        <item x="81"/>
        <item x="190"/>
        <item x="140"/>
        <item x="33"/>
        <item x="21"/>
        <item x="41"/>
        <item x="124"/>
        <item x="93"/>
        <item x="121"/>
        <item x="117"/>
        <item x="135"/>
        <item x="128"/>
        <item x="90"/>
        <item x="138"/>
        <item x="36"/>
        <item x="83"/>
        <item x="57"/>
        <item x="165"/>
        <item x="44"/>
        <item x="22"/>
        <item x="132"/>
        <item x="32"/>
        <item x="88"/>
        <item x="29"/>
        <item x="85"/>
        <item x="26"/>
        <item x="18"/>
        <item x="0"/>
      </items>
    </pivotField>
    <pivotField dataField="1" compact="0" outline="0" showAll="0" defaultSubtotal="0">
      <items count="204">
        <item x="32"/>
        <item x="47"/>
        <item x="101"/>
        <item x="143"/>
        <item x="120"/>
        <item x="53"/>
        <item x="107"/>
        <item x="164"/>
        <item x="25"/>
        <item x="38"/>
        <item x="118"/>
        <item x="4"/>
        <item x="50"/>
        <item x="115"/>
        <item x="189"/>
        <item x="113"/>
        <item x="154"/>
        <item x="141"/>
        <item x="7"/>
        <item x="79"/>
        <item x="111"/>
        <item x="81"/>
        <item x="13"/>
        <item x="133"/>
        <item x="152"/>
        <item x="175"/>
        <item x="15"/>
        <item x="30"/>
        <item x="60"/>
        <item x="201"/>
        <item x="3"/>
        <item x="44"/>
        <item x="99"/>
        <item x="199"/>
        <item x="42"/>
        <item x="182"/>
        <item x="180"/>
        <item x="203"/>
        <item x="64"/>
        <item x="193"/>
        <item x="184"/>
        <item x="165"/>
        <item x="159"/>
        <item x="137"/>
        <item x="58"/>
        <item x="170"/>
        <item x="156"/>
        <item x="105"/>
        <item x="86"/>
        <item x="74"/>
        <item x="177"/>
        <item x="11"/>
        <item x="6"/>
        <item x="173"/>
        <item x="2"/>
        <item x="5"/>
        <item x="54"/>
        <item x="155"/>
        <item x="176"/>
        <item x="75"/>
        <item x="169"/>
        <item x="183"/>
        <item x="10"/>
        <item x="63"/>
        <item x="85"/>
        <item x="146"/>
        <item x="157"/>
        <item x="192"/>
        <item x="116"/>
        <item x="138"/>
        <item x="102"/>
        <item x="104"/>
        <item x="108"/>
        <item x="43"/>
        <item x="95"/>
        <item x="12"/>
        <item x="33"/>
        <item x="149"/>
        <item x="202"/>
        <item x="190"/>
        <item x="179"/>
        <item x="84"/>
        <item x="166"/>
        <item x="41"/>
        <item x="90"/>
        <item x="181"/>
        <item x="144"/>
        <item x="160"/>
        <item x="72"/>
        <item x="195"/>
        <item x="136"/>
        <item x="70"/>
        <item x="56"/>
        <item x="124"/>
        <item x="1"/>
        <item x="167"/>
        <item x="76"/>
        <item x="161"/>
        <item x="198"/>
        <item x="80"/>
        <item x="134"/>
        <item x="9"/>
        <item x="132"/>
        <item x="127"/>
        <item x="55"/>
        <item x="73"/>
        <item x="59"/>
        <item x="98"/>
        <item x="178"/>
        <item x="106"/>
        <item x="61"/>
        <item x="92"/>
        <item x="191"/>
        <item x="26"/>
        <item x="158"/>
        <item x="153"/>
        <item x="57"/>
        <item x="151"/>
        <item x="112"/>
        <item x="121"/>
        <item x="188"/>
        <item x="200"/>
        <item x="19"/>
        <item x="140"/>
        <item x="185"/>
        <item x="49"/>
        <item x="125"/>
        <item x="16"/>
        <item x="114"/>
        <item x="39"/>
        <item x="171"/>
        <item x="103"/>
        <item x="82"/>
        <item x="68"/>
        <item x="117"/>
        <item x="126"/>
        <item x="83"/>
        <item x="168"/>
        <item x="194"/>
        <item x="67"/>
        <item x="196"/>
        <item x="96"/>
        <item x="130"/>
        <item x="65"/>
        <item x="128"/>
        <item x="20"/>
        <item x="186"/>
        <item x="78"/>
        <item x="14"/>
        <item x="69"/>
        <item x="77"/>
        <item x="29"/>
        <item x="150"/>
        <item x="119"/>
        <item x="122"/>
        <item x="162"/>
        <item x="174"/>
        <item x="110"/>
        <item x="147"/>
        <item x="46"/>
        <item x="52"/>
        <item x="163"/>
        <item x="8"/>
        <item x="66"/>
        <item x="109"/>
        <item x="27"/>
        <item x="24"/>
        <item x="51"/>
        <item x="71"/>
        <item x="187"/>
        <item x="37"/>
        <item x="87"/>
        <item x="131"/>
        <item x="45"/>
        <item x="93"/>
        <item x="36"/>
        <item x="197"/>
        <item x="21"/>
        <item x="17"/>
        <item x="148"/>
        <item x="142"/>
        <item x="129"/>
        <item x="100"/>
        <item x="123"/>
        <item x="34"/>
        <item x="135"/>
        <item x="88"/>
        <item x="97"/>
        <item x="40"/>
        <item x="145"/>
        <item x="62"/>
        <item x="172"/>
        <item x="48"/>
        <item x="139"/>
        <item x="89"/>
        <item x="94"/>
        <item x="22"/>
        <item x="31"/>
        <item x="91"/>
        <item x="35"/>
        <item x="23"/>
        <item x="28"/>
        <item x="18"/>
        <item x="0"/>
      </items>
    </pivotField>
    <pivotField dataField="1" compact="0" outline="0" showAll="0" defaultSubtotal="0">
      <items count="205">
        <item x="34"/>
        <item x="48"/>
        <item x="100"/>
        <item x="140"/>
        <item x="120"/>
        <item x="26"/>
        <item x="54"/>
        <item x="107"/>
        <item x="162"/>
        <item x="40"/>
        <item x="118"/>
        <item x="174"/>
        <item x="4"/>
        <item x="115"/>
        <item x="51"/>
        <item x="188"/>
        <item x="113"/>
        <item x="151"/>
        <item x="31"/>
        <item x="16"/>
        <item x="7"/>
        <item x="82"/>
        <item x="132"/>
        <item x="98"/>
        <item x="14"/>
        <item x="202"/>
        <item x="149"/>
        <item x="62"/>
        <item x="3"/>
        <item x="138"/>
        <item x="46"/>
        <item x="68"/>
        <item x="80"/>
        <item x="200"/>
        <item x="66"/>
        <item x="181"/>
        <item x="44"/>
        <item x="179"/>
        <item x="204"/>
        <item x="192"/>
        <item x="194"/>
        <item x="183"/>
        <item x="104"/>
        <item x="157"/>
        <item x="164"/>
        <item x="11"/>
        <item x="135"/>
        <item x="169"/>
        <item x="87"/>
        <item x="153"/>
        <item x="75"/>
        <item x="176"/>
        <item x="12"/>
        <item x="6"/>
        <item x="172"/>
        <item x="2"/>
        <item x="5"/>
        <item x="8"/>
        <item x="55"/>
        <item x="152"/>
        <item x="175"/>
        <item x="163"/>
        <item x="76"/>
        <item x="168"/>
        <item x="182"/>
        <item x="86"/>
        <item x="13"/>
        <item x="143"/>
        <item x="141"/>
        <item x="43"/>
        <item x="116"/>
        <item x="101"/>
        <item x="154"/>
        <item x="191"/>
        <item x="45"/>
        <item x="189"/>
        <item x="108"/>
        <item x="35"/>
        <item x="145"/>
        <item x="178"/>
        <item x="159"/>
        <item x="203"/>
        <item x="90"/>
        <item x="180"/>
        <item x="106"/>
        <item x="165"/>
        <item x="158"/>
        <item x="103"/>
        <item x="73"/>
        <item x="124"/>
        <item x="195"/>
        <item x="74"/>
        <item x="57"/>
        <item x="199"/>
        <item x="71"/>
        <item x="198"/>
        <item x="1"/>
        <item x="77"/>
        <item x="166"/>
        <item x="81"/>
        <item x="85"/>
        <item x="10"/>
        <item x="131"/>
        <item x="126"/>
        <item x="133"/>
        <item x="56"/>
        <item x="61"/>
        <item x="65"/>
        <item x="190"/>
        <item x="92"/>
        <item x="187"/>
        <item x="150"/>
        <item x="177"/>
        <item x="111"/>
        <item x="105"/>
        <item x="147"/>
        <item x="112"/>
        <item x="27"/>
        <item x="63"/>
        <item x="121"/>
        <item x="20"/>
        <item x="58"/>
        <item x="137"/>
        <item x="41"/>
        <item x="148"/>
        <item x="184"/>
        <item x="201"/>
        <item x="155"/>
        <item x="17"/>
        <item x="102"/>
        <item x="117"/>
        <item x="95"/>
        <item x="50"/>
        <item x="70"/>
        <item x="83"/>
        <item x="84"/>
        <item x="60"/>
        <item x="156"/>
        <item x="69"/>
        <item x="21"/>
        <item x="167"/>
        <item x="196"/>
        <item x="15"/>
        <item x="97"/>
        <item x="33"/>
        <item x="114"/>
        <item x="128"/>
        <item x="193"/>
        <item x="185"/>
        <item x="59"/>
        <item x="30"/>
        <item x="67"/>
        <item x="146"/>
        <item x="110"/>
        <item x="78"/>
        <item x="122"/>
        <item x="125"/>
        <item x="53"/>
        <item x="161"/>
        <item x="9"/>
        <item x="160"/>
        <item x="79"/>
        <item x="109"/>
        <item x="119"/>
        <item x="28"/>
        <item x="52"/>
        <item x="72"/>
        <item x="129"/>
        <item x="170"/>
        <item x="173"/>
        <item x="39"/>
        <item x="88"/>
        <item x="38"/>
        <item x="25"/>
        <item x="186"/>
        <item x="22"/>
        <item x="47"/>
        <item x="99"/>
        <item x="36"/>
        <item x="93"/>
        <item x="197"/>
        <item x="139"/>
        <item x="144"/>
        <item x="130"/>
        <item x="127"/>
        <item x="134"/>
        <item x="123"/>
        <item x="96"/>
        <item x="42"/>
        <item x="171"/>
        <item x="142"/>
        <item x="18"/>
        <item x="64"/>
        <item x="49"/>
        <item x="23"/>
        <item x="89"/>
        <item x="136"/>
        <item x="32"/>
        <item x="91"/>
        <item x="94"/>
        <item x="37"/>
        <item x="24"/>
        <item x="29"/>
        <item x="19"/>
        <item x="0"/>
      </items>
    </pivotField>
    <pivotField dataField="1" compact="0" outline="0" showAll="0" defaultSubtotal="0">
      <items count="211">
        <item x="37"/>
        <item x="53"/>
        <item x="106"/>
        <item x="147"/>
        <item x="29"/>
        <item x="128"/>
        <item x="60"/>
        <item x="43"/>
        <item x="114"/>
        <item x="168"/>
        <item x="179"/>
        <item x="126"/>
        <item x="123"/>
        <item x="34"/>
        <item x="57"/>
        <item x="5"/>
        <item x="193"/>
        <item x="121"/>
        <item x="159"/>
        <item x="73"/>
        <item x="104"/>
        <item x="19"/>
        <item x="87"/>
        <item x="138"/>
        <item x="9"/>
        <item x="16"/>
        <item x="67"/>
        <item x="157"/>
        <item x="145"/>
        <item x="3"/>
        <item x="50"/>
        <item x="205"/>
        <item x="186"/>
        <item x="71"/>
        <item x="48"/>
        <item x="184"/>
        <item x="210"/>
        <item x="197"/>
        <item x="111"/>
        <item x="199"/>
        <item x="188"/>
        <item x="165"/>
        <item x="75"/>
        <item x="163"/>
        <item x="169"/>
        <item x="208"/>
        <item x="174"/>
        <item x="92"/>
        <item x="141"/>
        <item x="160"/>
        <item x="80"/>
        <item x="181"/>
        <item x="79"/>
        <item x="14"/>
        <item x="7"/>
        <item x="177"/>
        <item x="2"/>
        <item x="8"/>
        <item x="6"/>
        <item x="61"/>
        <item x="4"/>
        <item x="180"/>
        <item x="81"/>
        <item x="142"/>
        <item x="173"/>
        <item x="187"/>
        <item x="150"/>
        <item x="91"/>
        <item x="70"/>
        <item x="148"/>
        <item x="198"/>
        <item x="161"/>
        <item x="47"/>
        <item x="124"/>
        <item x="38"/>
        <item x="196"/>
        <item x="107"/>
        <item x="110"/>
        <item x="15"/>
        <item x="115"/>
        <item x="153"/>
        <item x="209"/>
        <item x="95"/>
        <item x="1"/>
        <item x="113"/>
        <item x="194"/>
        <item x="49"/>
        <item x="183"/>
        <item x="185"/>
        <item x="11"/>
        <item x="170"/>
        <item x="63"/>
        <item x="204"/>
        <item x="24"/>
        <item x="112"/>
        <item x="78"/>
        <item x="200"/>
        <item x="131"/>
        <item x="76"/>
        <item x="82"/>
        <item x="86"/>
        <item x="171"/>
        <item x="85"/>
        <item x="195"/>
        <item x="137"/>
        <item x="203"/>
        <item x="62"/>
        <item x="206"/>
        <item x="90"/>
        <item x="66"/>
        <item x="156"/>
        <item x="30"/>
        <item x="133"/>
        <item x="139"/>
        <item x="13"/>
        <item x="182"/>
        <item x="158"/>
        <item x="164"/>
        <item x="64"/>
        <item x="144"/>
        <item x="155"/>
        <item x="56"/>
        <item x="98"/>
        <item x="120"/>
        <item x="129"/>
        <item x="65"/>
        <item x="192"/>
        <item x="189"/>
        <item x="103"/>
        <item x="20"/>
        <item x="52"/>
        <item x="44"/>
        <item x="12"/>
        <item x="96"/>
        <item x="101"/>
        <item x="125"/>
        <item x="23"/>
        <item x="88"/>
        <item x="122"/>
        <item x="89"/>
        <item x="162"/>
        <item x="116"/>
        <item x="74"/>
        <item x="201"/>
        <item x="172"/>
        <item x="36"/>
        <item x="119"/>
        <item x="18"/>
        <item x="108"/>
        <item x="207"/>
        <item x="135"/>
        <item x="68"/>
        <item x="190"/>
        <item x="17"/>
        <item x="127"/>
        <item x="154"/>
        <item x="109"/>
        <item x="45"/>
        <item x="72"/>
        <item x="175"/>
        <item x="83"/>
        <item x="166"/>
        <item x="118"/>
        <item x="33"/>
        <item x="178"/>
        <item x="59"/>
        <item x="167"/>
        <item x="10"/>
        <item x="84"/>
        <item x="28"/>
        <item x="31"/>
        <item x="77"/>
        <item x="117"/>
        <item x="42"/>
        <item x="58"/>
        <item x="54"/>
        <item x="132"/>
        <item x="93"/>
        <item x="25"/>
        <item x="151"/>
        <item x="191"/>
        <item x="51"/>
        <item x="41"/>
        <item x="39"/>
        <item x="99"/>
        <item x="202"/>
        <item x="105"/>
        <item x="146"/>
        <item x="136"/>
        <item x="134"/>
        <item x="140"/>
        <item x="152"/>
        <item x="130"/>
        <item x="102"/>
        <item x="176"/>
        <item x="46"/>
        <item x="69"/>
        <item x="21"/>
        <item x="94"/>
        <item x="149"/>
        <item x="26"/>
        <item x="55"/>
        <item x="143"/>
        <item x="35"/>
        <item x="97"/>
        <item x="100"/>
        <item x="40"/>
        <item x="27"/>
        <item x="32"/>
        <item x="22"/>
        <item x="0"/>
      </items>
    </pivotField>
    <pivotField dataField="1" compact="0" outline="0" showAll="0" defaultSubtotal="0">
      <items count="204">
        <item x="34"/>
        <item x="50"/>
        <item x="102"/>
        <item x="143"/>
        <item x="26"/>
        <item x="122"/>
        <item x="161"/>
        <item x="56"/>
        <item x="109"/>
        <item x="40"/>
        <item x="173"/>
        <item x="31"/>
        <item x="120"/>
        <item x="117"/>
        <item x="54"/>
        <item x="4"/>
        <item x="187"/>
        <item x="115"/>
        <item x="154"/>
        <item x="16"/>
        <item x="100"/>
        <item x="84"/>
        <item x="133"/>
        <item x="8"/>
        <item x="63"/>
        <item x="152"/>
        <item x="14"/>
        <item x="69"/>
        <item x="3"/>
        <item x="113"/>
        <item x="47"/>
        <item x="199"/>
        <item x="180"/>
        <item x="178"/>
        <item x="21"/>
        <item x="45"/>
        <item x="67"/>
        <item x="203"/>
        <item x="191"/>
        <item x="106"/>
        <item x="193"/>
        <item x="159"/>
        <item x="182"/>
        <item x="157"/>
        <item x="168"/>
        <item x="163"/>
        <item x="89"/>
        <item x="76"/>
        <item x="136"/>
        <item x="155"/>
        <item x="77"/>
        <item x="175"/>
        <item x="12"/>
        <item x="6"/>
        <item x="171"/>
        <item x="2"/>
        <item x="7"/>
        <item x="5"/>
        <item x="57"/>
        <item x="174"/>
        <item x="162"/>
        <item x="78"/>
        <item x="137"/>
        <item x="181"/>
        <item x="146"/>
        <item x="88"/>
        <item x="144"/>
        <item x="66"/>
        <item x="118"/>
        <item x="35"/>
        <item x="13"/>
        <item x="190"/>
        <item x="202"/>
        <item x="167"/>
        <item x="103"/>
        <item x="110"/>
        <item x="148"/>
        <item x="1"/>
        <item x="44"/>
        <item x="92"/>
        <item x="158"/>
        <item x="189"/>
        <item x="192"/>
        <item x="201"/>
        <item x="108"/>
        <item x="188"/>
        <item x="46"/>
        <item x="105"/>
        <item x="177"/>
        <item x="61"/>
        <item x="179"/>
        <item x="59"/>
        <item x="10"/>
        <item x="141"/>
        <item x="198"/>
        <item x="75"/>
        <item x="72"/>
        <item x="164"/>
        <item x="83"/>
        <item x="194"/>
        <item x="132"/>
        <item x="125"/>
        <item x="11"/>
        <item x="165"/>
        <item x="73"/>
        <item x="197"/>
        <item x="58"/>
        <item x="62"/>
        <item x="27"/>
        <item x="176"/>
        <item x="96"/>
        <item x="151"/>
        <item x="153"/>
        <item x="128"/>
        <item x="134"/>
        <item x="60"/>
        <item x="87"/>
        <item x="114"/>
        <item x="53"/>
        <item x="94"/>
        <item x="123"/>
        <item x="139"/>
        <item x="186"/>
        <item x="183"/>
        <item x="126"/>
        <item x="49"/>
        <item x="99"/>
        <item x="17"/>
        <item x="119"/>
        <item x="169"/>
        <item x="85"/>
        <item x="64"/>
        <item x="20"/>
        <item x="156"/>
        <item x="86"/>
        <item x="172"/>
        <item x="70"/>
        <item x="82"/>
        <item x="15"/>
        <item x="195"/>
        <item x="200"/>
        <item x="79"/>
        <item x="97"/>
        <item x="166"/>
        <item x="116"/>
        <item x="80"/>
        <item x="41"/>
        <item x="149"/>
        <item x="71"/>
        <item x="130"/>
        <item x="33"/>
        <item x="68"/>
        <item x="104"/>
        <item x="140"/>
        <item x="81"/>
        <item x="112"/>
        <item x="30"/>
        <item x="121"/>
        <item x="184"/>
        <item x="51"/>
        <item x="9"/>
        <item x="42"/>
        <item x="150"/>
        <item x="74"/>
        <item x="28"/>
        <item x="111"/>
        <item x="39"/>
        <item x="55"/>
        <item x="127"/>
        <item x="107"/>
        <item x="25"/>
        <item x="48"/>
        <item x="36"/>
        <item x="38"/>
        <item x="22"/>
        <item x="160"/>
        <item x="185"/>
        <item x="90"/>
        <item x="101"/>
        <item x="131"/>
        <item x="196"/>
        <item x="142"/>
        <item x="135"/>
        <item x="91"/>
        <item x="147"/>
        <item x="124"/>
        <item x="129"/>
        <item x="170"/>
        <item x="98"/>
        <item x="65"/>
        <item x="43"/>
        <item x="18"/>
        <item x="23"/>
        <item x="145"/>
        <item x="52"/>
        <item x="138"/>
        <item x="32"/>
        <item x="93"/>
        <item x="95"/>
        <item x="37"/>
        <item x="29"/>
        <item x="24"/>
        <item x="19"/>
        <item x="0"/>
      </items>
    </pivotField>
    <pivotField dataField="1" compact="0" outline="0" showAll="0" defaultSubtotal="0">
      <items count="205">
        <item x="34"/>
        <item x="48"/>
        <item x="99"/>
        <item x="141"/>
        <item x="26"/>
        <item x="121"/>
        <item x="53"/>
        <item x="162"/>
        <item x="106"/>
        <item x="39"/>
        <item x="31"/>
        <item x="174"/>
        <item x="119"/>
        <item x="115"/>
        <item x="51"/>
        <item x="188"/>
        <item x="4"/>
        <item x="16"/>
        <item x="113"/>
        <item x="152"/>
        <item x="97"/>
        <item x="111"/>
        <item x="80"/>
        <item x="132"/>
        <item x="61"/>
        <item x="8"/>
        <item x="14"/>
        <item x="150"/>
        <item x="21"/>
        <item x="3"/>
        <item x="46"/>
        <item x="200"/>
        <item x="181"/>
        <item x="179"/>
        <item x="44"/>
        <item x="65"/>
        <item x="204"/>
        <item x="69"/>
        <item x="103"/>
        <item x="192"/>
        <item x="159"/>
        <item x="194"/>
        <item x="73"/>
        <item x="183"/>
        <item x="157"/>
        <item x="169"/>
        <item x="67"/>
        <item x="139"/>
        <item x="164"/>
        <item x="85"/>
        <item x="202"/>
        <item x="135"/>
        <item x="154"/>
        <item x="74"/>
        <item x="176"/>
        <item x="190"/>
        <item x="12"/>
        <item x="6"/>
        <item x="172"/>
        <item x="2"/>
        <item x="7"/>
        <item x="116"/>
        <item x="5"/>
        <item x="163"/>
        <item x="153"/>
        <item x="175"/>
        <item x="54"/>
        <item x="75"/>
        <item x="136"/>
        <item x="182"/>
        <item x="144"/>
        <item x="13"/>
        <item x="155"/>
        <item x="84"/>
        <item x="142"/>
        <item x="64"/>
        <item x="117"/>
        <item x="43"/>
        <item x="191"/>
        <item x="35"/>
        <item x="193"/>
        <item x="168"/>
        <item x="203"/>
        <item x="100"/>
        <item x="107"/>
        <item x="199"/>
        <item x="11"/>
        <item x="146"/>
        <item x="1"/>
        <item x="88"/>
        <item x="102"/>
        <item x="104"/>
        <item x="158"/>
        <item x="189"/>
        <item x="105"/>
        <item x="10"/>
        <item x="45"/>
        <item x="178"/>
        <item x="180"/>
        <item x="56"/>
        <item x="93"/>
        <item x="70"/>
        <item x="72"/>
        <item x="131"/>
        <item x="165"/>
        <item x="79"/>
        <item x="195"/>
        <item x="124"/>
        <item x="166"/>
        <item x="55"/>
        <item x="198"/>
        <item x="201"/>
        <item x="60"/>
        <item x="27"/>
        <item x="126"/>
        <item x="177"/>
        <item x="133"/>
        <item x="151"/>
        <item x="57"/>
        <item x="138"/>
        <item x="112"/>
        <item x="50"/>
        <item x="90"/>
        <item x="148"/>
        <item x="149"/>
        <item x="122"/>
        <item x="96"/>
        <item x="83"/>
        <item x="187"/>
        <item x="184"/>
        <item x="17"/>
        <item x="170"/>
        <item x="118"/>
        <item x="173"/>
        <item x="81"/>
        <item x="40"/>
        <item x="114"/>
        <item x="62"/>
        <item x="68"/>
        <item x="156"/>
        <item x="20"/>
        <item x="82"/>
        <item x="15"/>
        <item x="108"/>
        <item x="196"/>
        <item x="94"/>
        <item x="167"/>
        <item x="59"/>
        <item x="76"/>
        <item x="185"/>
        <item x="58"/>
        <item x="128"/>
        <item x="33"/>
        <item x="129"/>
        <item x="66"/>
        <item x="101"/>
        <item x="77"/>
        <item x="160"/>
        <item x="78"/>
        <item x="120"/>
        <item x="110"/>
        <item x="30"/>
        <item x="161"/>
        <item x="9"/>
        <item x="147"/>
        <item x="41"/>
        <item x="71"/>
        <item x="25"/>
        <item x="28"/>
        <item x="52"/>
        <item x="109"/>
        <item x="37"/>
        <item x="86"/>
        <item x="38"/>
        <item x="47"/>
        <item x="91"/>
        <item x="125"/>
        <item x="22"/>
        <item x="87"/>
        <item x="186"/>
        <item x="98"/>
        <item x="130"/>
        <item x="140"/>
        <item x="197"/>
        <item x="134"/>
        <item x="123"/>
        <item x="18"/>
        <item x="145"/>
        <item x="127"/>
        <item x="171"/>
        <item x="23"/>
        <item x="95"/>
        <item x="63"/>
        <item x="42"/>
        <item x="143"/>
        <item x="49"/>
        <item x="32"/>
        <item x="137"/>
        <item x="89"/>
        <item x="92"/>
        <item x="36"/>
        <item x="29"/>
        <item x="24"/>
        <item x="19"/>
        <item x="0"/>
      </items>
    </pivotField>
    <pivotField dataField="1" compact="0" outline="0" showAll="0" defaultSubtotal="0">
      <items count="209">
        <item x="36"/>
        <item x="52"/>
        <item x="104"/>
        <item x="147"/>
        <item x="28"/>
        <item x="124"/>
        <item x="58"/>
        <item x="111"/>
        <item x="167"/>
        <item x="42"/>
        <item x="33"/>
        <item x="178"/>
        <item x="122"/>
        <item x="119"/>
        <item x="55"/>
        <item x="192"/>
        <item x="117"/>
        <item x="4"/>
        <item x="158"/>
        <item x="18"/>
        <item x="102"/>
        <item x="85"/>
        <item x="138"/>
        <item x="115"/>
        <item x="23"/>
        <item x="65"/>
        <item x="156"/>
        <item x="8"/>
        <item x="71"/>
        <item x="15"/>
        <item x="3"/>
        <item x="204"/>
        <item x="49"/>
        <item x="185"/>
        <item x="183"/>
        <item x="69"/>
        <item x="47"/>
        <item x="208"/>
        <item x="145"/>
        <item x="108"/>
        <item x="196"/>
        <item x="164"/>
        <item x="198"/>
        <item x="78"/>
        <item x="162"/>
        <item x="173"/>
        <item x="187"/>
        <item x="90"/>
        <item x="168"/>
        <item x="141"/>
        <item x="159"/>
        <item x="194"/>
        <item x="79"/>
        <item x="180"/>
        <item x="11"/>
        <item x="74"/>
        <item x="12"/>
        <item x="6"/>
        <item x="2"/>
        <item x="7"/>
        <item x="5"/>
        <item x="59"/>
        <item x="179"/>
        <item x="80"/>
        <item x="142"/>
        <item x="186"/>
        <item x="150"/>
        <item x="89"/>
        <item x="148"/>
        <item x="120"/>
        <item x="37"/>
        <item x="160"/>
        <item x="172"/>
        <item x="46"/>
        <item x="112"/>
        <item x="197"/>
        <item x="207"/>
        <item x="105"/>
        <item x="203"/>
        <item x="153"/>
        <item x="1"/>
        <item x="195"/>
        <item x="93"/>
        <item x="109"/>
        <item x="101"/>
        <item x="193"/>
        <item x="110"/>
        <item x="10"/>
        <item x="163"/>
        <item x="107"/>
        <item x="48"/>
        <item x="182"/>
        <item x="184"/>
        <item x="61"/>
        <item x="68"/>
        <item x="75"/>
        <item x="77"/>
        <item x="169"/>
        <item x="84"/>
        <item x="137"/>
        <item x="199"/>
        <item x="128"/>
        <item x="170"/>
        <item x="13"/>
        <item x="60"/>
        <item x="202"/>
        <item x="205"/>
        <item x="14"/>
        <item x="64"/>
        <item x="29"/>
        <item x="131"/>
        <item x="181"/>
        <item x="139"/>
        <item x="157"/>
        <item x="155"/>
        <item x="62"/>
        <item x="98"/>
        <item x="144"/>
        <item x="118"/>
        <item x="54"/>
        <item x="95"/>
        <item x="116"/>
        <item x="16"/>
        <item x="191"/>
        <item x="188"/>
        <item x="129"/>
        <item x="19"/>
        <item x="88"/>
        <item x="125"/>
        <item x="43"/>
        <item x="121"/>
        <item x="17"/>
        <item x="72"/>
        <item x="174"/>
        <item x="86"/>
        <item x="66"/>
        <item x="161"/>
        <item x="63"/>
        <item x="22"/>
        <item x="87"/>
        <item x="177"/>
        <item x="206"/>
        <item x="200"/>
        <item x="99"/>
        <item x="171"/>
        <item x="51"/>
        <item x="81"/>
        <item x="176"/>
        <item x="132"/>
        <item x="73"/>
        <item x="189"/>
        <item x="123"/>
        <item x="35"/>
        <item x="134"/>
        <item x="135"/>
        <item x="165"/>
        <item x="70"/>
        <item x="106"/>
        <item x="27"/>
        <item x="126"/>
        <item x="82"/>
        <item x="114"/>
        <item x="92"/>
        <item x="32"/>
        <item x="151"/>
        <item x="57"/>
        <item x="166"/>
        <item x="76"/>
        <item x="9"/>
        <item x="154"/>
        <item x="44"/>
        <item x="83"/>
        <item x="30"/>
        <item x="41"/>
        <item x="56"/>
        <item x="40"/>
        <item x="113"/>
        <item x="91"/>
        <item x="24"/>
        <item x="50"/>
        <item x="38"/>
        <item x="96"/>
        <item x="130"/>
        <item x="103"/>
        <item x="190"/>
        <item x="136"/>
        <item x="146"/>
        <item x="201"/>
        <item x="140"/>
        <item x="20"/>
        <item x="175"/>
        <item x="127"/>
        <item x="133"/>
        <item x="25"/>
        <item x="152"/>
        <item x="67"/>
        <item x="100"/>
        <item x="45"/>
        <item x="53"/>
        <item x="149"/>
        <item x="34"/>
        <item x="143"/>
        <item x="94"/>
        <item x="97"/>
        <item x="39"/>
        <item x="31"/>
        <item x="26"/>
        <item x="21"/>
        <item x="0"/>
      </items>
    </pivotField>
    <pivotField dataField="1" compact="0" outline="0" showAll="0" defaultSubtotal="0">
      <items count="209">
        <item x="35"/>
        <item x="50"/>
        <item x="100"/>
        <item x="143"/>
        <item x="27"/>
        <item x="121"/>
        <item x="56"/>
        <item x="107"/>
        <item x="32"/>
        <item x="40"/>
        <item x="165"/>
        <item x="178"/>
        <item x="119"/>
        <item x="115"/>
        <item x="54"/>
        <item x="192"/>
        <item x="113"/>
        <item x="111"/>
        <item x="155"/>
        <item x="17"/>
        <item x="4"/>
        <item x="98"/>
        <item x="69"/>
        <item x="22"/>
        <item x="133"/>
        <item x="81"/>
        <item x="63"/>
        <item x="88"/>
        <item x="8"/>
        <item x="15"/>
        <item x="153"/>
        <item x="203"/>
        <item x="3"/>
        <item x="47"/>
        <item x="185"/>
        <item x="183"/>
        <item x="141"/>
        <item x="45"/>
        <item x="67"/>
        <item x="70"/>
        <item x="208"/>
        <item x="104"/>
        <item x="74"/>
        <item x="162"/>
        <item x="196"/>
        <item x="198"/>
        <item x="171"/>
        <item x="160"/>
        <item x="187"/>
        <item x="86"/>
        <item x="166"/>
        <item x="194"/>
        <item x="136"/>
        <item x="157"/>
        <item x="75"/>
        <item x="180"/>
        <item x="13"/>
        <item x="6"/>
        <item x="2"/>
        <item x="7"/>
        <item x="5"/>
        <item x="116"/>
        <item x="57"/>
        <item x="156"/>
        <item x="179"/>
        <item x="76"/>
        <item x="186"/>
        <item x="146"/>
        <item x="85"/>
        <item x="158"/>
        <item x="144"/>
        <item x="66"/>
        <item x="36"/>
        <item x="117"/>
        <item x="170"/>
        <item x="108"/>
        <item x="14"/>
        <item x="197"/>
        <item x="195"/>
        <item x="148"/>
        <item x="97"/>
        <item x="1"/>
        <item x="202"/>
        <item x="89"/>
        <item x="101"/>
        <item x="161"/>
        <item x="103"/>
        <item x="193"/>
        <item x="105"/>
        <item x="46"/>
        <item x="182"/>
        <item x="80"/>
        <item x="59"/>
        <item x="207"/>
        <item x="184"/>
        <item x="44"/>
        <item x="10"/>
        <item x="94"/>
        <item x="125"/>
        <item x="199"/>
        <item x="73"/>
        <item x="71"/>
        <item x="168"/>
        <item x="106"/>
        <item x="177"/>
        <item x="132"/>
        <item x="62"/>
        <item x="137"/>
        <item x="204"/>
        <item x="58"/>
        <item x="167"/>
        <item x="149"/>
        <item x="201"/>
        <item x="60"/>
        <item x="28"/>
        <item x="114"/>
        <item x="127"/>
        <item x="181"/>
        <item x="134"/>
        <item x="154"/>
        <item x="112"/>
        <item x="140"/>
        <item x="53"/>
        <item x="151"/>
        <item x="91"/>
        <item x="16"/>
        <item x="61"/>
        <item x="188"/>
        <item x="191"/>
        <item x="18"/>
        <item x="118"/>
        <item x="64"/>
        <item x="159"/>
        <item x="21"/>
        <item x="82"/>
        <item x="122"/>
        <item x="152"/>
        <item x="12"/>
        <item x="172"/>
        <item x="11"/>
        <item x="169"/>
        <item x="95"/>
        <item x="49"/>
        <item x="77"/>
        <item x="174"/>
        <item x="84"/>
        <item x="205"/>
        <item x="176"/>
        <item x="189"/>
        <item x="83"/>
        <item x="68"/>
        <item x="41"/>
        <item x="34"/>
        <item x="129"/>
        <item x="130"/>
        <item x="120"/>
        <item x="102"/>
        <item x="123"/>
        <item x="163"/>
        <item x="206"/>
        <item x="110"/>
        <item x="31"/>
        <item x="78"/>
        <item x="72"/>
        <item x="175"/>
        <item x="51"/>
        <item x="164"/>
        <item x="9"/>
        <item x="42"/>
        <item x="26"/>
        <item x="150"/>
        <item x="29"/>
        <item x="79"/>
        <item x="39"/>
        <item x="87"/>
        <item x="55"/>
        <item x="23"/>
        <item x="109"/>
        <item x="38"/>
        <item x="48"/>
        <item x="138"/>
        <item x="92"/>
        <item x="99"/>
        <item x="131"/>
        <item x="190"/>
        <item x="142"/>
        <item x="126"/>
        <item x="135"/>
        <item x="200"/>
        <item x="173"/>
        <item x="24"/>
        <item x="124"/>
        <item x="147"/>
        <item x="65"/>
        <item x="128"/>
        <item x="96"/>
        <item x="19"/>
        <item x="43"/>
        <item x="52"/>
        <item x="33"/>
        <item x="145"/>
        <item x="139"/>
        <item x="90"/>
        <item x="93"/>
        <item x="37"/>
        <item x="30"/>
        <item x="25"/>
        <item x="20"/>
        <item x="0"/>
      </items>
    </pivotField>
    <pivotField dataField="1" compact="0" outline="0" showAll="0" defaultSubtotal="0">
      <items count="212">
        <item x="34"/>
        <item x="50"/>
        <item x="103"/>
        <item x="148"/>
        <item x="26"/>
        <item x="56"/>
        <item x="125"/>
        <item x="110"/>
        <item x="31"/>
        <item x="168"/>
        <item x="40"/>
        <item x="180"/>
        <item x="123"/>
        <item x="92"/>
        <item x="119"/>
        <item x="194"/>
        <item x="115"/>
        <item x="54"/>
        <item x="117"/>
        <item x="16"/>
        <item x="159"/>
        <item x="4"/>
        <item x="21"/>
        <item x="101"/>
        <item x="138"/>
        <item x="85"/>
        <item x="64"/>
        <item x="157"/>
        <item x="8"/>
        <item x="14"/>
        <item x="70"/>
        <item x="207"/>
        <item x="145"/>
        <item x="47"/>
        <item x="3"/>
        <item x="187"/>
        <item x="185"/>
        <item x="45"/>
        <item x="211"/>
        <item x="68"/>
        <item x="107"/>
        <item x="166"/>
        <item x="198"/>
        <item x="174"/>
        <item x="164"/>
        <item x="189"/>
        <item x="196"/>
        <item x="90"/>
        <item x="169"/>
        <item x="73"/>
        <item x="141"/>
        <item x="161"/>
        <item x="79"/>
        <item x="182"/>
        <item x="12"/>
        <item x="6"/>
        <item x="2"/>
        <item x="7"/>
        <item x="5"/>
        <item x="120"/>
        <item x="57"/>
        <item x="160"/>
        <item x="181"/>
        <item x="80"/>
        <item x="188"/>
        <item x="142"/>
        <item x="151"/>
        <item x="89"/>
        <item x="67"/>
        <item x="149"/>
        <item x="162"/>
        <item x="35"/>
        <item x="121"/>
        <item x="13"/>
        <item x="111"/>
        <item x="1"/>
        <item x="173"/>
        <item x="199"/>
        <item x="154"/>
        <item x="100"/>
        <item x="93"/>
        <item x="197"/>
        <item x="165"/>
        <item x="104"/>
        <item x="210"/>
        <item x="84"/>
        <item x="106"/>
        <item x="195"/>
        <item x="46"/>
        <item x="184"/>
        <item x="186"/>
        <item x="44"/>
        <item x="129"/>
        <item x="206"/>
        <item x="63"/>
        <item x="202"/>
        <item x="137"/>
        <item x="76"/>
        <item x="10"/>
        <item x="74"/>
        <item x="171"/>
        <item x="109"/>
        <item x="118"/>
        <item x="61"/>
        <item x="170"/>
        <item x="58"/>
        <item x="132"/>
        <item x="205"/>
        <item x="62"/>
        <item x="27"/>
        <item x="139"/>
        <item x="116"/>
        <item x="183"/>
        <item x="158"/>
        <item x="97"/>
        <item x="156"/>
        <item x="53"/>
        <item x="95"/>
        <item x="59"/>
        <item x="209"/>
        <item x="144"/>
        <item x="78"/>
        <item x="15"/>
        <item x="60"/>
        <item x="122"/>
        <item x="190"/>
        <item x="17"/>
        <item x="193"/>
        <item x="179"/>
        <item x="11"/>
        <item x="20"/>
        <item x="71"/>
        <item x="163"/>
        <item x="65"/>
        <item x="126"/>
        <item x="201"/>
        <item x="86"/>
        <item x="130"/>
        <item x="112"/>
        <item x="172"/>
        <item x="203"/>
        <item x="69"/>
        <item x="98"/>
        <item x="175"/>
        <item x="81"/>
        <item x="77"/>
        <item x="72"/>
        <item x="191"/>
        <item x="49"/>
        <item x="200"/>
        <item x="87"/>
        <item x="134"/>
        <item x="105"/>
        <item x="178"/>
        <item x="124"/>
        <item x="33"/>
        <item x="208"/>
        <item x="82"/>
        <item x="88"/>
        <item x="114"/>
        <item x="30"/>
        <item x="135"/>
        <item x="167"/>
        <item x="75"/>
        <item x="25"/>
        <item x="51"/>
        <item x="9"/>
        <item x="42"/>
        <item x="28"/>
        <item x="41"/>
        <item x="55"/>
        <item x="127"/>
        <item x="177"/>
        <item x="108"/>
        <item x="155"/>
        <item x="83"/>
        <item x="22"/>
        <item x="38"/>
        <item x="152"/>
        <item x="113"/>
        <item x="39"/>
        <item x="102"/>
        <item x="91"/>
        <item x="48"/>
        <item x="36"/>
        <item x="147"/>
        <item x="136"/>
        <item x="192"/>
        <item x="140"/>
        <item x="146"/>
        <item x="131"/>
        <item x="176"/>
        <item x="204"/>
        <item x="23"/>
        <item x="66"/>
        <item x="128"/>
        <item x="99"/>
        <item x="133"/>
        <item x="18"/>
        <item x="153"/>
        <item x="43"/>
        <item x="52"/>
        <item x="32"/>
        <item x="150"/>
        <item x="143"/>
        <item x="94"/>
        <item x="96"/>
        <item x="37"/>
        <item x="29"/>
        <item x="24"/>
        <item x="19"/>
        <item x="0"/>
      </items>
    </pivotField>
    <pivotField dataField="1" compact="0" outline="0" showAll="0" defaultSubtotal="0">
      <items count="199">
        <item x="32"/>
        <item x="47"/>
        <item x="96"/>
        <item x="137"/>
        <item x="24"/>
        <item x="52"/>
        <item x="117"/>
        <item x="29"/>
        <item x="104"/>
        <item x="157"/>
        <item x="85"/>
        <item x="169"/>
        <item x="37"/>
        <item x="115"/>
        <item x="112"/>
        <item x="182"/>
        <item x="50"/>
        <item x="108"/>
        <item x="110"/>
        <item x="16"/>
        <item x="147"/>
        <item x="20"/>
        <item x="4"/>
        <item x="94"/>
        <item x="128"/>
        <item x="78"/>
        <item x="59"/>
        <item x="65"/>
        <item x="145"/>
        <item x="8"/>
        <item x="135"/>
        <item x="14"/>
        <item x="194"/>
        <item x="175"/>
        <item x="44"/>
        <item x="3"/>
        <item x="173"/>
        <item x="42"/>
        <item x="63"/>
        <item x="198"/>
        <item x="67"/>
        <item x="154"/>
        <item x="186"/>
        <item x="101"/>
        <item x="163"/>
        <item x="152"/>
        <item x="184"/>
        <item x="177"/>
        <item x="83"/>
        <item x="158"/>
        <item x="131"/>
        <item x="149"/>
        <item x="171"/>
        <item x="72"/>
        <item x="12"/>
        <item x="6"/>
        <item x="2"/>
        <item x="7"/>
        <item x="5"/>
        <item x="53"/>
        <item x="148"/>
        <item x="170"/>
        <item x="13"/>
        <item x="73"/>
        <item x="132"/>
        <item x="176"/>
        <item x="140"/>
        <item x="82"/>
        <item x="138"/>
        <item x="33"/>
        <item x="150"/>
        <item x="113"/>
        <item x="99"/>
        <item x="162"/>
        <item x="57"/>
        <item x="187"/>
        <item x="93"/>
        <item x="197"/>
        <item x="105"/>
        <item x="41"/>
        <item x="1"/>
        <item x="185"/>
        <item x="142"/>
        <item x="97"/>
        <item x="86"/>
        <item x="153"/>
        <item x="100"/>
        <item x="77"/>
        <item x="183"/>
        <item x="43"/>
        <item x="102"/>
        <item x="62"/>
        <item x="127"/>
        <item x="90"/>
        <item x="174"/>
        <item x="120"/>
        <item x="193"/>
        <item x="58"/>
        <item x="189"/>
        <item x="159"/>
        <item x="70"/>
        <item x="10"/>
        <item x="68"/>
        <item x="160"/>
        <item x="103"/>
        <item x="195"/>
        <item x="196"/>
        <item x="56"/>
        <item x="54"/>
        <item x="122"/>
        <item x="192"/>
        <item x="144"/>
        <item x="25"/>
        <item x="71"/>
        <item x="15"/>
        <item x="129"/>
        <item x="109"/>
        <item x="172"/>
        <item x="146"/>
        <item x="134"/>
        <item x="49"/>
        <item x="88"/>
        <item x="168"/>
        <item x="11"/>
        <item x="55"/>
        <item x="114"/>
        <item x="17"/>
        <item x="181"/>
        <item x="111"/>
        <item x="178"/>
        <item x="151"/>
        <item x="19"/>
        <item x="188"/>
        <item x="60"/>
        <item x="79"/>
        <item x="118"/>
        <item x="38"/>
        <item x="66"/>
        <item x="164"/>
        <item x="167"/>
        <item x="190"/>
        <item x="161"/>
        <item x="91"/>
        <item x="64"/>
        <item x="74"/>
        <item x="46"/>
        <item x="179"/>
        <item x="98"/>
        <item x="80"/>
        <item x="124"/>
        <item x="31"/>
        <item x="125"/>
        <item x="116"/>
        <item x="75"/>
        <item x="107"/>
        <item x="28"/>
        <item x="69"/>
        <item x="155"/>
        <item x="156"/>
        <item x="81"/>
        <item x="9"/>
        <item x="39"/>
        <item x="26"/>
        <item x="36"/>
        <item x="35"/>
        <item x="51"/>
        <item x="166"/>
        <item x="143"/>
        <item x="21"/>
        <item x="84"/>
        <item x="23"/>
        <item x="106"/>
        <item x="76"/>
        <item x="95"/>
        <item x="45"/>
        <item x="126"/>
        <item x="130"/>
        <item x="136"/>
        <item x="180"/>
        <item x="165"/>
        <item x="121"/>
        <item x="191"/>
        <item x="61"/>
        <item x="119"/>
        <item x="123"/>
        <item x="92"/>
        <item x="141"/>
        <item x="40"/>
        <item x="30"/>
        <item x="48"/>
        <item x="139"/>
        <item x="133"/>
        <item x="87"/>
        <item x="89"/>
        <item x="34"/>
        <item x="27"/>
        <item x="22"/>
        <item x="18"/>
        <item x="0"/>
      </items>
    </pivotField>
    <pivotField dataField="1" compact="0" outline="0" showAll="0" defaultSubtotal="0">
      <items count="208">
        <item x="33"/>
        <item x="48"/>
        <item x="100"/>
        <item x="144"/>
        <item x="24"/>
        <item x="54"/>
        <item x="121"/>
        <item x="30"/>
        <item x="107"/>
        <item x="89"/>
        <item x="166"/>
        <item x="178"/>
        <item x="38"/>
        <item x="119"/>
        <item x="115"/>
        <item x="192"/>
        <item x="111"/>
        <item x="51"/>
        <item x="113"/>
        <item x="15"/>
        <item x="155"/>
        <item x="19"/>
        <item x="4"/>
        <item x="98"/>
        <item x="134"/>
        <item x="62"/>
        <item x="83"/>
        <item x="142"/>
        <item x="153"/>
        <item x="7"/>
        <item x="203"/>
        <item x="13"/>
        <item x="185"/>
        <item x="45"/>
        <item x="183"/>
        <item x="3"/>
        <item x="69"/>
        <item x="43"/>
        <item x="66"/>
        <item x="207"/>
        <item x="163"/>
        <item x="195"/>
        <item x="104"/>
        <item x="172"/>
        <item x="193"/>
        <item x="161"/>
        <item x="187"/>
        <item x="87"/>
        <item x="72"/>
        <item x="167"/>
        <item x="138"/>
        <item x="157"/>
        <item x="180"/>
        <item x="77"/>
        <item x="11"/>
        <item x="6"/>
        <item x="2"/>
        <item x="116"/>
        <item x="5"/>
        <item x="55"/>
        <item x="156"/>
        <item x="94"/>
        <item x="179"/>
        <item x="12"/>
        <item x="78"/>
        <item x="139"/>
        <item x="186"/>
        <item x="205"/>
        <item x="97"/>
        <item x="147"/>
        <item x="86"/>
        <item x="145"/>
        <item x="158"/>
        <item x="34"/>
        <item x="117"/>
        <item x="103"/>
        <item x="196"/>
        <item x="194"/>
        <item x="108"/>
        <item x="1"/>
        <item x="171"/>
        <item x="206"/>
        <item x="42"/>
        <item x="149"/>
        <item x="101"/>
        <item x="90"/>
        <item x="162"/>
        <item x="105"/>
        <item x="106"/>
        <item x="82"/>
        <item x="44"/>
        <item x="65"/>
        <item x="76"/>
        <item x="168"/>
        <item x="133"/>
        <item x="182"/>
        <item x="184"/>
        <item x="124"/>
        <item x="202"/>
        <item x="198"/>
        <item x="75"/>
        <item x="9"/>
        <item x="73"/>
        <item x="61"/>
        <item x="169"/>
        <item x="204"/>
        <item x="56"/>
        <item x="127"/>
        <item x="58"/>
        <item x="201"/>
        <item x="25"/>
        <item x="10"/>
        <item x="135"/>
        <item x="151"/>
        <item x="112"/>
        <item x="181"/>
        <item x="154"/>
        <item x="141"/>
        <item x="50"/>
        <item x="92"/>
        <item x="14"/>
        <item x="177"/>
        <item x="29"/>
        <item x="152"/>
        <item x="114"/>
        <item x="57"/>
        <item x="159"/>
        <item x="118"/>
        <item x="16"/>
        <item x="39"/>
        <item x="191"/>
        <item x="188"/>
        <item x="197"/>
        <item x="70"/>
        <item x="18"/>
        <item x="122"/>
        <item x="84"/>
        <item x="63"/>
        <item x="136"/>
        <item x="173"/>
        <item x="176"/>
        <item x="199"/>
        <item x="125"/>
        <item x="170"/>
        <item x="79"/>
        <item x="47"/>
        <item x="160"/>
        <item x="60"/>
        <item x="102"/>
        <item x="128"/>
        <item x="71"/>
        <item x="189"/>
        <item x="59"/>
        <item x="130"/>
        <item x="120"/>
        <item x="67"/>
        <item x="32"/>
        <item x="131"/>
        <item x="23"/>
        <item x="80"/>
        <item x="40"/>
        <item x="74"/>
        <item x="110"/>
        <item x="28"/>
        <item x="95"/>
        <item x="164"/>
        <item x="53"/>
        <item x="165"/>
        <item x="8"/>
        <item x="68"/>
        <item x="26"/>
        <item x="85"/>
        <item x="37"/>
        <item x="52"/>
        <item x="175"/>
        <item x="20"/>
        <item x="36"/>
        <item x="150"/>
        <item x="88"/>
        <item x="109"/>
        <item x="99"/>
        <item x="46"/>
        <item x="81"/>
        <item x="132"/>
        <item x="143"/>
        <item x="137"/>
        <item x="174"/>
        <item x="190"/>
        <item x="126"/>
        <item x="200"/>
        <item x="21"/>
        <item x="64"/>
        <item x="123"/>
        <item x="129"/>
        <item x="148"/>
        <item x="96"/>
        <item x="41"/>
        <item x="31"/>
        <item x="49"/>
        <item x="146"/>
        <item x="140"/>
        <item x="91"/>
        <item x="93"/>
        <item x="35"/>
        <item x="27"/>
        <item x="22"/>
        <item x="17"/>
        <item x="0"/>
      </items>
    </pivotField>
    <pivotField dataField="1" compact="0" outline="0" showAll="0" defaultSubtotal="0">
      <items count="204">
        <item x="34"/>
        <item x="98"/>
        <item x="49"/>
        <item x="142"/>
        <item x="25"/>
        <item x="55"/>
        <item x="119"/>
        <item x="87"/>
        <item x="31"/>
        <item x="104"/>
        <item x="162"/>
        <item x="174"/>
        <item x="39"/>
        <item x="117"/>
        <item x="109"/>
        <item x="113"/>
        <item x="187"/>
        <item x="53"/>
        <item x="111"/>
        <item x="15"/>
        <item x="20"/>
        <item x="153"/>
        <item x="4"/>
        <item x="96"/>
        <item x="132"/>
        <item x="62"/>
        <item x="80"/>
        <item x="151"/>
        <item x="67"/>
        <item x="199"/>
        <item x="7"/>
        <item x="181"/>
        <item x="13"/>
        <item x="46"/>
        <item x="179"/>
        <item x="140"/>
        <item x="3"/>
        <item x="44"/>
        <item x="203"/>
        <item x="159"/>
        <item x="69"/>
        <item x="191"/>
        <item x="102"/>
        <item x="168"/>
        <item x="189"/>
        <item x="157"/>
        <item x="183"/>
        <item x="85"/>
        <item x="163"/>
        <item x="201"/>
        <item x="136"/>
        <item x="154"/>
        <item x="176"/>
        <item x="74"/>
        <item x="73"/>
        <item x="11"/>
        <item x="6"/>
        <item x="2"/>
        <item x="114"/>
        <item x="5"/>
        <item x="56"/>
        <item x="175"/>
        <item x="12"/>
        <item x="75"/>
        <item x="182"/>
        <item x="137"/>
        <item x="92"/>
        <item x="84"/>
        <item x="145"/>
        <item x="143"/>
        <item x="35"/>
        <item x="95"/>
        <item x="115"/>
        <item x="167"/>
        <item x="43"/>
        <item x="99"/>
        <item x="192"/>
        <item x="202"/>
        <item x="105"/>
        <item x="1"/>
        <item x="190"/>
        <item x="147"/>
        <item x="155"/>
        <item x="198"/>
        <item x="101"/>
        <item x="88"/>
        <item x="158"/>
        <item x="79"/>
        <item x="188"/>
        <item x="45"/>
        <item x="103"/>
        <item x="65"/>
        <item x="178"/>
        <item x="164"/>
        <item x="10"/>
        <item x="180"/>
        <item x="122"/>
        <item x="194"/>
        <item x="9"/>
        <item x="72"/>
        <item x="70"/>
        <item x="165"/>
        <item x="61"/>
        <item x="200"/>
        <item x="57"/>
        <item x="197"/>
        <item x="59"/>
        <item x="131"/>
        <item x="26"/>
        <item x="150"/>
        <item x="110"/>
        <item x="152"/>
        <item x="177"/>
        <item x="139"/>
        <item x="52"/>
        <item x="90"/>
        <item x="14"/>
        <item x="120"/>
        <item x="125"/>
        <item x="112"/>
        <item x="173"/>
        <item x="133"/>
        <item x="30"/>
        <item x="116"/>
        <item x="58"/>
        <item x="184"/>
        <item x="16"/>
        <item x="193"/>
        <item x="186"/>
        <item x="40"/>
        <item x="19"/>
        <item x="68"/>
        <item x="169"/>
        <item x="63"/>
        <item x="81"/>
        <item x="134"/>
        <item x="172"/>
        <item x="106"/>
        <item x="60"/>
        <item x="195"/>
        <item x="123"/>
        <item x="156"/>
        <item x="166"/>
        <item x="76"/>
        <item x="48"/>
        <item x="66"/>
        <item x="100"/>
        <item x="33"/>
        <item x="148"/>
        <item x="128"/>
        <item x="82"/>
        <item x="118"/>
        <item x="24"/>
        <item x="129"/>
        <item x="71"/>
        <item x="41"/>
        <item x="29"/>
        <item x="108"/>
        <item x="77"/>
        <item x="93"/>
        <item x="160"/>
        <item x="50"/>
        <item x="161"/>
        <item x="8"/>
        <item x="27"/>
        <item x="21"/>
        <item x="37"/>
        <item x="38"/>
        <item x="86"/>
        <item x="126"/>
        <item x="54"/>
        <item x="83"/>
        <item x="78"/>
        <item x="171"/>
        <item x="149"/>
        <item x="47"/>
        <item x="107"/>
        <item x="97"/>
        <item x="17"/>
        <item x="130"/>
        <item x="141"/>
        <item x="170"/>
        <item x="135"/>
        <item x="185"/>
        <item x="124"/>
        <item x="196"/>
        <item x="64"/>
        <item x="121"/>
        <item x="146"/>
        <item x="127"/>
        <item x="94"/>
        <item x="42"/>
        <item x="22"/>
        <item x="32"/>
        <item x="51"/>
        <item x="144"/>
        <item x="138"/>
        <item x="89"/>
        <item x="91"/>
        <item x="36"/>
        <item x="28"/>
        <item x="23"/>
        <item x="18"/>
        <item x="0"/>
      </items>
    </pivotField>
    <pivotField dataField="1" compact="0" outline="0" showAll="0" defaultSubtotal="0">
      <items count="207">
        <item x="33"/>
        <item x="102"/>
        <item x="48"/>
        <item x="145"/>
        <item x="24"/>
        <item x="55"/>
        <item x="123"/>
        <item x="90"/>
        <item x="30"/>
        <item x="109"/>
        <item x="177"/>
        <item x="38"/>
        <item x="165"/>
        <item x="113"/>
        <item x="121"/>
        <item x="117"/>
        <item x="190"/>
        <item x="52"/>
        <item x="15"/>
        <item x="115"/>
        <item x="20"/>
        <item x="156"/>
        <item x="4"/>
        <item x="100"/>
        <item x="68"/>
        <item x="135"/>
        <item x="62"/>
        <item x="83"/>
        <item x="154"/>
        <item x="201"/>
        <item x="183"/>
        <item x="7"/>
        <item x="45"/>
        <item x="143"/>
        <item x="13"/>
        <item x="182"/>
        <item x="3"/>
        <item x="66"/>
        <item x="43"/>
        <item x="206"/>
        <item x="162"/>
        <item x="194"/>
        <item x="106"/>
        <item x="192"/>
        <item x="171"/>
        <item x="71"/>
        <item x="160"/>
        <item x="185"/>
        <item x="88"/>
        <item x="75"/>
        <item x="166"/>
        <item x="139"/>
        <item x="157"/>
        <item x="179"/>
        <item x="76"/>
        <item x="6"/>
        <item x="11"/>
        <item x="2"/>
        <item x="118"/>
        <item x="5"/>
        <item x="96"/>
        <item x="56"/>
        <item x="178"/>
        <item x="12"/>
        <item x="77"/>
        <item x="184"/>
        <item x="99"/>
        <item x="140"/>
        <item x="42"/>
        <item x="87"/>
        <item x="34"/>
        <item x="158"/>
        <item x="170"/>
        <item x="103"/>
        <item x="148"/>
        <item x="105"/>
        <item x="195"/>
        <item x="119"/>
        <item x="146"/>
        <item x="110"/>
        <item x="1"/>
        <item x="193"/>
        <item x="205"/>
        <item x="10"/>
        <item x="181"/>
        <item x="82"/>
        <item x="9"/>
        <item x="191"/>
        <item x="150"/>
        <item x="44"/>
        <item x="200"/>
        <item x="91"/>
        <item x="161"/>
        <item x="108"/>
        <item x="65"/>
        <item x="114"/>
        <item x="134"/>
        <item x="126"/>
        <item x="74"/>
        <item x="199"/>
        <item x="142"/>
        <item x="61"/>
        <item x="168"/>
        <item x="94"/>
        <item x="72"/>
        <item x="29"/>
        <item x="51"/>
        <item x="155"/>
        <item x="202"/>
        <item x="57"/>
        <item x="59"/>
        <item x="25"/>
        <item x="129"/>
        <item x="116"/>
        <item x="153"/>
        <item x="14"/>
        <item x="180"/>
        <item x="124"/>
        <item x="136"/>
        <item x="137"/>
        <item x="120"/>
        <item x="19"/>
        <item x="176"/>
        <item x="189"/>
        <item x="16"/>
        <item x="172"/>
        <item x="197"/>
        <item x="186"/>
        <item x="196"/>
        <item x="58"/>
        <item x="169"/>
        <item x="69"/>
        <item x="151"/>
        <item x="175"/>
        <item x="60"/>
        <item x="167"/>
        <item x="84"/>
        <item x="204"/>
        <item x="63"/>
        <item x="127"/>
        <item x="23"/>
        <item x="70"/>
        <item x="97"/>
        <item x="159"/>
        <item x="67"/>
        <item x="122"/>
        <item x="78"/>
        <item x="104"/>
        <item x="203"/>
        <item x="131"/>
        <item x="32"/>
        <item x="49"/>
        <item x="187"/>
        <item x="28"/>
        <item x="85"/>
        <item x="163"/>
        <item x="112"/>
        <item x="132"/>
        <item x="47"/>
        <item x="73"/>
        <item x="79"/>
        <item x="39"/>
        <item x="40"/>
        <item x="54"/>
        <item x="164"/>
        <item x="8"/>
        <item x="80"/>
        <item x="53"/>
        <item x="107"/>
        <item x="21"/>
        <item x="37"/>
        <item x="36"/>
        <item x="92"/>
        <item x="89"/>
        <item x="46"/>
        <item x="26"/>
        <item x="86"/>
        <item x="174"/>
        <item x="152"/>
        <item x="81"/>
        <item x="111"/>
        <item x="17"/>
        <item x="101"/>
        <item x="144"/>
        <item x="173"/>
        <item x="133"/>
        <item x="138"/>
        <item x="188"/>
        <item x="128"/>
        <item x="64"/>
        <item x="198"/>
        <item x="125"/>
        <item x="149"/>
        <item x="31"/>
        <item x="98"/>
        <item x="130"/>
        <item x="41"/>
        <item x="50"/>
        <item x="147"/>
        <item x="141"/>
        <item x="93"/>
        <item x="95"/>
        <item x="35"/>
        <item x="27"/>
        <item x="22"/>
        <item x="18"/>
        <item x="0"/>
      </items>
    </pivotField>
    <pivotField dataField="1" compact="0" outline="0" showAll="0" defaultSubtotal="0">
      <items count="200">
        <item x="34"/>
        <item x="98"/>
        <item x="48"/>
        <item x="140"/>
        <item x="25"/>
        <item x="53"/>
        <item x="119"/>
        <item x="87"/>
        <item x="31"/>
        <item x="105"/>
        <item x="38"/>
        <item x="170"/>
        <item x="158"/>
        <item x="117"/>
        <item x="114"/>
        <item x="184"/>
        <item x="51"/>
        <item x="16"/>
        <item x="20"/>
        <item x="112"/>
        <item x="150"/>
        <item x="66"/>
        <item x="4"/>
        <item x="96"/>
        <item x="130"/>
        <item x="60"/>
        <item x="80"/>
        <item x="148"/>
        <item x="138"/>
        <item x="195"/>
        <item x="178"/>
        <item x="7"/>
        <item x="45"/>
        <item x="176"/>
        <item x="14"/>
        <item x="3"/>
        <item x="64"/>
        <item x="43"/>
        <item x="199"/>
        <item x="156"/>
        <item x="188"/>
        <item x="102"/>
        <item x="186"/>
        <item x="164"/>
        <item x="154"/>
        <item x="69"/>
        <item x="180"/>
        <item x="85"/>
        <item x="73"/>
        <item x="159"/>
        <item x="134"/>
        <item x="151"/>
        <item x="74"/>
        <item x="6"/>
        <item x="13"/>
        <item x="2"/>
        <item x="5"/>
        <item x="92"/>
        <item x="54"/>
        <item x="171"/>
        <item x="75"/>
        <item x="42"/>
        <item x="179"/>
        <item x="95"/>
        <item x="163"/>
        <item x="84"/>
        <item x="35"/>
        <item x="135"/>
        <item x="152"/>
        <item x="99"/>
        <item x="143"/>
        <item x="198"/>
        <item x="189"/>
        <item x="115"/>
        <item x="141"/>
        <item x="106"/>
        <item x="1"/>
        <item x="101"/>
        <item x="187"/>
        <item x="79"/>
        <item x="10"/>
        <item x="185"/>
        <item x="145"/>
        <item x="44"/>
        <item x="160"/>
        <item x="88"/>
        <item x="177"/>
        <item x="155"/>
        <item x="104"/>
        <item x="63"/>
        <item x="103"/>
        <item x="111"/>
        <item x="129"/>
        <item x="194"/>
        <item x="122"/>
        <item x="72"/>
        <item x="193"/>
        <item x="161"/>
        <item x="90"/>
        <item x="59"/>
        <item x="70"/>
        <item x="169"/>
        <item x="30"/>
        <item x="196"/>
        <item x="50"/>
        <item x="149"/>
        <item x="55"/>
        <item x="26"/>
        <item x="57"/>
        <item x="125"/>
        <item x="147"/>
        <item x="137"/>
        <item x="120"/>
        <item x="131"/>
        <item x="173"/>
        <item x="132"/>
        <item x="8"/>
        <item x="174"/>
        <item x="15"/>
        <item x="19"/>
        <item x="172"/>
        <item x="183"/>
        <item x="116"/>
        <item x="113"/>
        <item x="58"/>
        <item x="165"/>
        <item x="190"/>
        <item x="191"/>
        <item x="181"/>
        <item x="56"/>
        <item x="39"/>
        <item x="123"/>
        <item x="197"/>
        <item x="168"/>
        <item x="175"/>
        <item x="162"/>
        <item x="81"/>
        <item x="24"/>
        <item x="61"/>
        <item x="82"/>
        <item x="67"/>
        <item x="68"/>
        <item x="153"/>
        <item x="93"/>
        <item x="76"/>
        <item x="118"/>
        <item x="47"/>
        <item x="100"/>
        <item x="127"/>
        <item x="33"/>
        <item x="71"/>
        <item x="29"/>
        <item x="157"/>
        <item x="108"/>
        <item x="77"/>
        <item x="40"/>
        <item x="65"/>
        <item x="52"/>
        <item x="21"/>
        <item x="9"/>
        <item x="37"/>
        <item x="17"/>
        <item x="86"/>
        <item x="46"/>
        <item x="78"/>
        <item x="27"/>
        <item x="83"/>
        <item x="167"/>
        <item x="12"/>
        <item x="146"/>
        <item x="11"/>
        <item x="107"/>
        <item x="97"/>
        <item x="139"/>
        <item x="128"/>
        <item x="166"/>
        <item x="133"/>
        <item x="182"/>
        <item x="62"/>
        <item x="22"/>
        <item x="124"/>
        <item x="192"/>
        <item x="121"/>
        <item x="144"/>
        <item x="32"/>
        <item x="126"/>
        <item x="94"/>
        <item x="41"/>
        <item x="110"/>
        <item x="49"/>
        <item x="109"/>
        <item x="142"/>
        <item x="136"/>
        <item x="89"/>
        <item x="91"/>
        <item x="36"/>
        <item x="28"/>
        <item x="23"/>
        <item x="18"/>
        <item x="0"/>
      </items>
    </pivotField>
    <pivotField dataField="1" compact="0" outline="0" showAll="0" defaultSubtotal="0">
      <items count="186">
        <item x="30"/>
        <item x="91"/>
        <item x="43"/>
        <item x="130"/>
        <item x="22"/>
        <item x="48"/>
        <item x="110"/>
        <item x="80"/>
        <item x="27"/>
        <item x="97"/>
        <item x="34"/>
        <item x="147"/>
        <item x="158"/>
        <item x="108"/>
        <item x="105"/>
        <item x="171"/>
        <item x="46"/>
        <item x="61"/>
        <item x="14"/>
        <item x="18"/>
        <item x="103"/>
        <item x="140"/>
        <item x="4"/>
        <item x="88"/>
        <item x="55"/>
        <item x="121"/>
        <item x="138"/>
        <item x="74"/>
        <item x="128"/>
        <item x="181"/>
        <item x="165"/>
        <item x="40"/>
        <item x="7"/>
        <item x="163"/>
        <item x="12"/>
        <item x="3"/>
        <item x="59"/>
        <item x="63"/>
        <item x="146"/>
        <item x="38"/>
        <item x="185"/>
        <item x="175"/>
        <item x="95"/>
        <item x="173"/>
        <item x="152"/>
        <item x="144"/>
        <item x="67"/>
        <item x="167"/>
        <item x="78"/>
        <item x="148"/>
        <item x="124"/>
        <item x="141"/>
        <item x="68"/>
        <item x="6"/>
        <item x="11"/>
        <item x="2"/>
        <item x="5"/>
        <item x="85"/>
        <item x="49"/>
        <item x="159"/>
        <item x="69"/>
        <item x="37"/>
        <item x="166"/>
        <item x="87"/>
        <item x="151"/>
        <item x="77"/>
        <item x="31"/>
        <item x="142"/>
        <item x="94"/>
        <item x="92"/>
        <item x="184"/>
        <item x="133"/>
        <item x="131"/>
        <item x="106"/>
        <item x="176"/>
        <item x="98"/>
        <item x="1"/>
        <item x="174"/>
        <item x="125"/>
        <item x="149"/>
        <item x="162"/>
        <item x="73"/>
        <item x="9"/>
        <item x="172"/>
        <item x="135"/>
        <item x="39"/>
        <item x="164"/>
        <item x="81"/>
        <item x="145"/>
        <item x="178"/>
        <item x="58"/>
        <item x="96"/>
        <item x="102"/>
        <item x="120"/>
        <item x="113"/>
        <item x="54"/>
        <item x="66"/>
        <item x="127"/>
        <item x="180"/>
        <item x="83"/>
        <item x="137"/>
        <item x="64"/>
        <item x="157"/>
        <item x="182"/>
        <item x="45"/>
        <item x="139"/>
        <item x="53"/>
        <item x="52"/>
        <item x="50"/>
        <item x="23"/>
        <item x="104"/>
        <item x="115"/>
        <item x="111"/>
        <item x="13"/>
        <item x="122"/>
        <item x="160"/>
        <item x="183"/>
        <item x="107"/>
        <item x="17"/>
        <item x="26"/>
        <item x="170"/>
        <item x="177"/>
        <item x="153"/>
        <item x="168"/>
        <item x="51"/>
        <item x="35"/>
        <item x="156"/>
        <item x="150"/>
        <item x="161"/>
        <item x="21"/>
        <item x="75"/>
        <item x="56"/>
        <item x="62"/>
        <item x="143"/>
        <item x="109"/>
        <item x="70"/>
        <item x="93"/>
        <item x="42"/>
        <item x="65"/>
        <item x="118"/>
        <item x="29"/>
        <item x="90"/>
        <item x="25"/>
        <item x="100"/>
        <item x="71"/>
        <item x="60"/>
        <item x="72"/>
        <item x="19"/>
        <item x="47"/>
        <item x="8"/>
        <item x="15"/>
        <item x="33"/>
        <item x="79"/>
        <item x="41"/>
        <item x="76"/>
        <item x="155"/>
        <item x="10"/>
        <item x="136"/>
        <item x="99"/>
        <item x="89"/>
        <item x="119"/>
        <item x="129"/>
        <item x="116"/>
        <item x="154"/>
        <item x="123"/>
        <item x="169"/>
        <item x="57"/>
        <item x="114"/>
        <item x="179"/>
        <item x="112"/>
        <item x="134"/>
        <item x="28"/>
        <item x="86"/>
        <item x="101"/>
        <item x="36"/>
        <item x="117"/>
        <item x="44"/>
        <item x="132"/>
        <item x="126"/>
        <item x="82"/>
        <item x="84"/>
        <item x="32"/>
        <item x="24"/>
        <item x="20"/>
        <item x="16"/>
        <item x="0"/>
      </items>
    </pivotField>
    <pivotField dataField="1" compact="0" outline="0" showAll="0" defaultSubtotal="0">
      <items count="181">
        <item x="28"/>
        <item x="87"/>
        <item x="40"/>
        <item x="125"/>
        <item x="22"/>
        <item x="45"/>
        <item x="77"/>
        <item x="106"/>
        <item x="26"/>
        <item x="32"/>
        <item x="93"/>
        <item x="143"/>
        <item x="153"/>
        <item x="104"/>
        <item x="101"/>
        <item x="166"/>
        <item x="58"/>
        <item x="43"/>
        <item x="18"/>
        <item x="14"/>
        <item x="135"/>
        <item x="99"/>
        <item x="4"/>
        <item x="52"/>
        <item x="116"/>
        <item x="85"/>
        <item x="133"/>
        <item x="71"/>
        <item x="123"/>
        <item x="176"/>
        <item x="60"/>
        <item x="160"/>
        <item x="38"/>
        <item x="158"/>
        <item x="7"/>
        <item x="3"/>
        <item x="12"/>
        <item x="56"/>
        <item x="141"/>
        <item x="180"/>
        <item x="36"/>
        <item x="170"/>
        <item x="91"/>
        <item x="168"/>
        <item x="64"/>
        <item x="148"/>
        <item x="139"/>
        <item x="162"/>
        <item x="75"/>
        <item x="144"/>
        <item x="119"/>
        <item x="136"/>
        <item x="65"/>
        <item x="6"/>
        <item x="11"/>
        <item x="2"/>
        <item x="5"/>
        <item x="82"/>
        <item x="46"/>
        <item x="50"/>
        <item x="154"/>
        <item x="66"/>
        <item x="35"/>
        <item x="161"/>
        <item x="84"/>
        <item x="147"/>
        <item x="120"/>
        <item x="74"/>
        <item x="29"/>
        <item x="90"/>
        <item x="128"/>
        <item x="179"/>
        <item x="171"/>
        <item x="88"/>
        <item x="102"/>
        <item x="126"/>
        <item x="94"/>
        <item x="1"/>
        <item x="137"/>
        <item x="169"/>
        <item x="157"/>
        <item x="70"/>
        <item x="9"/>
        <item x="145"/>
        <item x="130"/>
        <item x="167"/>
        <item x="37"/>
        <item x="159"/>
        <item x="78"/>
        <item x="140"/>
        <item x="173"/>
        <item x="55"/>
        <item x="92"/>
        <item x="98"/>
        <item x="115"/>
        <item x="109"/>
        <item x="178"/>
        <item x="51"/>
        <item x="63"/>
        <item x="122"/>
        <item x="175"/>
        <item x="80"/>
        <item x="132"/>
        <item x="69"/>
        <item x="61"/>
        <item x="13"/>
        <item x="42"/>
        <item x="177"/>
        <item x="49"/>
        <item x="134"/>
        <item x="47"/>
        <item x="23"/>
        <item x="111"/>
        <item x="117"/>
        <item x="107"/>
        <item x="100"/>
        <item x="155"/>
        <item x="103"/>
        <item x="17"/>
        <item x="172"/>
        <item x="165"/>
        <item x="149"/>
        <item x="163"/>
        <item x="48"/>
        <item x="33"/>
        <item x="146"/>
        <item x="152"/>
        <item x="21"/>
        <item x="156"/>
        <item x="72"/>
        <item x="53"/>
        <item x="59"/>
        <item x="138"/>
        <item x="62"/>
        <item x="105"/>
        <item x="67"/>
        <item x="89"/>
        <item x="113"/>
        <item x="25"/>
        <item x="142"/>
        <item x="96"/>
        <item x="57"/>
        <item x="68"/>
        <item x="19"/>
        <item x="44"/>
        <item x="8"/>
        <item x="31"/>
        <item x="15"/>
        <item x="73"/>
        <item x="76"/>
        <item x="39"/>
        <item x="151"/>
        <item x="10"/>
        <item x="131"/>
        <item x="95"/>
        <item x="114"/>
        <item x="86"/>
        <item x="124"/>
        <item x="150"/>
        <item x="118"/>
        <item x="164"/>
        <item x="54"/>
        <item x="110"/>
        <item x="174"/>
        <item x="108"/>
        <item x="129"/>
        <item x="27"/>
        <item x="83"/>
        <item x="97"/>
        <item x="34"/>
        <item x="112"/>
        <item x="41"/>
        <item x="127"/>
        <item x="121"/>
        <item x="79"/>
        <item x="81"/>
        <item x="30"/>
        <item x="24"/>
        <item x="20"/>
        <item x="16"/>
        <item x="0"/>
      </items>
    </pivotField>
    <pivotField dataField="1" compact="0" outline="0" showAll="0" defaultSubtotal="0">
      <items count="180">
        <item x="28"/>
        <item x="87"/>
        <item x="124"/>
        <item x="40"/>
        <item x="45"/>
        <item x="22"/>
        <item x="77"/>
        <item x="105"/>
        <item x="26"/>
        <item x="32"/>
        <item x="92"/>
        <item x="142"/>
        <item x="152"/>
        <item x="103"/>
        <item x="58"/>
        <item x="100"/>
        <item x="165"/>
        <item x="43"/>
        <item x="18"/>
        <item x="14"/>
        <item x="134"/>
        <item x="98"/>
        <item x="4"/>
        <item x="52"/>
        <item x="115"/>
        <item x="85"/>
        <item x="132"/>
        <item x="71"/>
        <item x="60"/>
        <item x="175"/>
        <item x="122"/>
        <item x="159"/>
        <item x="38"/>
        <item x="157"/>
        <item x="7"/>
        <item x="3"/>
        <item x="56"/>
        <item x="12"/>
        <item x="69"/>
        <item x="140"/>
        <item x="179"/>
        <item x="36"/>
        <item x="169"/>
        <item x="90"/>
        <item x="167"/>
        <item x="64"/>
        <item x="147"/>
        <item x="138"/>
        <item x="161"/>
        <item x="75"/>
        <item x="50"/>
        <item x="143"/>
        <item x="118"/>
        <item x="135"/>
        <item x="65"/>
        <item x="177"/>
        <item x="6"/>
        <item x="11"/>
        <item x="2"/>
        <item x="5"/>
        <item x="82"/>
        <item x="46"/>
        <item x="153"/>
        <item x="35"/>
        <item x="66"/>
        <item x="160"/>
        <item x="119"/>
        <item x="29"/>
        <item x="84"/>
        <item x="146"/>
        <item x="74"/>
        <item x="136"/>
        <item x="178"/>
        <item x="127"/>
        <item x="170"/>
        <item x="125"/>
        <item x="101"/>
        <item x="70"/>
        <item x="89"/>
        <item x="93"/>
        <item x="168"/>
        <item x="139"/>
        <item x="129"/>
        <item x="156"/>
        <item x="166"/>
        <item x="144"/>
        <item x="37"/>
        <item x="1"/>
        <item x="9"/>
        <item x="114"/>
        <item x="158"/>
        <item x="55"/>
        <item x="97"/>
        <item x="91"/>
        <item x="108"/>
        <item x="172"/>
        <item x="78"/>
        <item x="99"/>
        <item x="51"/>
        <item x="131"/>
        <item x="61"/>
        <item x="121"/>
        <item x="63"/>
        <item x="176"/>
        <item x="13"/>
        <item x="174"/>
        <item x="80"/>
        <item x="49"/>
        <item x="47"/>
        <item x="133"/>
        <item x="23"/>
        <item x="42"/>
        <item x="110"/>
        <item x="116"/>
        <item x="106"/>
        <item x="154"/>
        <item x="148"/>
        <item x="171"/>
        <item x="17"/>
        <item x="164"/>
        <item x="53"/>
        <item x="162"/>
        <item x="102"/>
        <item x="33"/>
        <item x="145"/>
        <item x="48"/>
        <item x="141"/>
        <item x="151"/>
        <item x="104"/>
        <item x="155"/>
        <item x="72"/>
        <item x="62"/>
        <item x="59"/>
        <item x="137"/>
        <item x="21"/>
        <item x="112"/>
        <item x="88"/>
        <item x="67"/>
        <item x="95"/>
        <item x="44"/>
        <item x="68"/>
        <item x="57"/>
        <item x="25"/>
        <item x="19"/>
        <item x="73"/>
        <item x="31"/>
        <item x="8"/>
        <item x="15"/>
        <item x="39"/>
        <item x="76"/>
        <item x="150"/>
        <item x="113"/>
        <item x="10"/>
        <item x="130"/>
        <item x="94"/>
        <item x="86"/>
        <item x="123"/>
        <item x="149"/>
        <item x="163"/>
        <item x="117"/>
        <item x="54"/>
        <item x="27"/>
        <item x="109"/>
        <item x="173"/>
        <item x="107"/>
        <item x="128"/>
        <item x="96"/>
        <item x="83"/>
        <item x="34"/>
        <item x="111"/>
        <item x="41"/>
        <item x="126"/>
        <item x="120"/>
        <item x="79"/>
        <item x="81"/>
        <item x="30"/>
        <item x="24"/>
        <item x="20"/>
        <item x="16"/>
        <item x="0"/>
      </items>
    </pivotField>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s>
  <rowFields count="3">
    <field x="2"/>
    <field x="4"/>
    <field x="5"/>
  </rowFields>
  <rowItems count="715">
    <i>
      <x/>
      <x v="1"/>
      <x/>
    </i>
    <i r="2">
      <x v="1"/>
    </i>
    <i r="2">
      <x v="2"/>
    </i>
    <i r="2">
      <x v="3"/>
    </i>
    <i r="2">
      <x v="4"/>
    </i>
    <i r="2">
      <x v="5"/>
    </i>
    <i r="2">
      <x v="6"/>
    </i>
    <i r="2">
      <x v="7"/>
    </i>
    <i r="2">
      <x v="8"/>
    </i>
    <i r="2">
      <x v="9"/>
    </i>
    <i r="2">
      <x v="10"/>
    </i>
    <i r="2">
      <x v="11"/>
    </i>
    <i r="2">
      <x v="12"/>
    </i>
    <i>
      <x v="1"/>
      <x/>
      <x/>
    </i>
    <i r="2">
      <x v="1"/>
    </i>
    <i r="2">
      <x v="2"/>
    </i>
    <i r="2">
      <x v="3"/>
    </i>
    <i r="2">
      <x v="4"/>
    </i>
    <i r="2">
      <x v="5"/>
    </i>
    <i r="2">
      <x v="6"/>
    </i>
    <i r="2">
      <x v="7"/>
    </i>
    <i r="2">
      <x v="8"/>
    </i>
    <i r="2">
      <x v="9"/>
    </i>
    <i r="2">
      <x v="10"/>
    </i>
    <i r="2">
      <x v="11"/>
    </i>
    <i r="2">
      <x v="12"/>
    </i>
    <i r="1">
      <x v="1"/>
      <x/>
    </i>
    <i r="2">
      <x v="1"/>
    </i>
    <i r="2">
      <x v="2"/>
    </i>
    <i r="2">
      <x v="3"/>
    </i>
    <i r="2">
      <x v="4"/>
    </i>
    <i r="2">
      <x v="5"/>
    </i>
    <i r="2">
      <x v="6"/>
    </i>
    <i r="2">
      <x v="7"/>
    </i>
    <i r="2">
      <x v="8"/>
    </i>
    <i r="2">
      <x v="9"/>
    </i>
    <i r="2">
      <x v="10"/>
    </i>
    <i r="2">
      <x v="11"/>
    </i>
    <i r="2">
      <x v="12"/>
    </i>
    <i>
      <x v="2"/>
      <x v="1"/>
      <x/>
    </i>
    <i r="2">
      <x v="1"/>
    </i>
    <i r="2">
      <x v="2"/>
    </i>
    <i r="2">
      <x v="3"/>
    </i>
    <i r="2">
      <x v="4"/>
    </i>
    <i r="2">
      <x v="5"/>
    </i>
    <i r="2">
      <x v="6"/>
    </i>
    <i r="2">
      <x v="7"/>
    </i>
    <i r="2">
      <x v="8"/>
    </i>
    <i r="2">
      <x v="9"/>
    </i>
    <i r="2">
      <x v="10"/>
    </i>
    <i r="2">
      <x v="11"/>
    </i>
    <i r="2">
      <x v="12"/>
    </i>
    <i>
      <x v="3"/>
      <x v="1"/>
      <x/>
    </i>
    <i r="2">
      <x v="1"/>
    </i>
    <i r="2">
      <x v="2"/>
    </i>
    <i r="2">
      <x v="3"/>
    </i>
    <i r="2">
      <x v="4"/>
    </i>
    <i r="2">
      <x v="5"/>
    </i>
    <i r="2">
      <x v="6"/>
    </i>
    <i r="2">
      <x v="7"/>
    </i>
    <i r="2">
      <x v="8"/>
    </i>
    <i r="2">
      <x v="9"/>
    </i>
    <i r="2">
      <x v="10"/>
    </i>
    <i r="2">
      <x v="11"/>
    </i>
    <i r="2">
      <x v="12"/>
    </i>
    <i>
      <x v="4"/>
      <x/>
      <x/>
    </i>
    <i r="2">
      <x v="1"/>
    </i>
    <i r="2">
      <x v="2"/>
    </i>
    <i r="2">
      <x v="3"/>
    </i>
    <i r="2">
      <x v="4"/>
    </i>
    <i r="2">
      <x v="5"/>
    </i>
    <i r="2">
      <x v="6"/>
    </i>
    <i r="2">
      <x v="7"/>
    </i>
    <i r="2">
      <x v="8"/>
    </i>
    <i r="2">
      <x v="9"/>
    </i>
    <i r="2">
      <x v="10"/>
    </i>
    <i r="2">
      <x v="11"/>
    </i>
    <i r="2">
      <x v="12"/>
    </i>
    <i>
      <x v="5"/>
      <x v="1"/>
      <x/>
    </i>
    <i r="2">
      <x v="1"/>
    </i>
    <i r="2">
      <x v="2"/>
    </i>
    <i r="2">
      <x v="3"/>
    </i>
    <i r="2">
      <x v="4"/>
    </i>
    <i r="2">
      <x v="5"/>
    </i>
    <i r="2">
      <x v="6"/>
    </i>
    <i r="2">
      <x v="7"/>
    </i>
    <i r="2">
      <x v="8"/>
    </i>
    <i r="2">
      <x v="9"/>
    </i>
    <i r="2">
      <x v="10"/>
    </i>
    <i r="2">
      <x v="11"/>
    </i>
    <i r="2">
      <x v="12"/>
    </i>
    <i>
      <x v="6"/>
      <x/>
      <x/>
    </i>
    <i r="2">
      <x v="1"/>
    </i>
    <i r="2">
      <x v="2"/>
    </i>
    <i r="2">
      <x v="3"/>
    </i>
    <i r="2">
      <x v="4"/>
    </i>
    <i r="2">
      <x v="5"/>
    </i>
    <i r="2">
      <x v="6"/>
    </i>
    <i r="2">
      <x v="7"/>
    </i>
    <i r="2">
      <x v="8"/>
    </i>
    <i r="2">
      <x v="9"/>
    </i>
    <i r="2">
      <x v="10"/>
    </i>
    <i r="2">
      <x v="11"/>
    </i>
    <i r="2">
      <x v="12"/>
    </i>
    <i r="1">
      <x v="1"/>
      <x/>
    </i>
    <i r="2">
      <x v="1"/>
    </i>
    <i r="2">
      <x v="2"/>
    </i>
    <i r="2">
      <x v="3"/>
    </i>
    <i r="2">
      <x v="4"/>
    </i>
    <i r="2">
      <x v="5"/>
    </i>
    <i r="2">
      <x v="6"/>
    </i>
    <i r="2">
      <x v="7"/>
    </i>
    <i r="2">
      <x v="8"/>
    </i>
    <i r="2">
      <x v="9"/>
    </i>
    <i r="2">
      <x v="10"/>
    </i>
    <i r="2">
      <x v="11"/>
    </i>
    <i r="2">
      <x v="12"/>
    </i>
    <i>
      <x v="7"/>
      <x v="1"/>
      <x/>
    </i>
    <i r="2">
      <x v="1"/>
    </i>
    <i r="2">
      <x v="2"/>
    </i>
    <i r="2">
      <x v="3"/>
    </i>
    <i r="2">
      <x v="4"/>
    </i>
    <i r="2">
      <x v="5"/>
    </i>
    <i r="2">
      <x v="6"/>
    </i>
    <i r="2">
      <x v="7"/>
    </i>
    <i r="2">
      <x v="8"/>
    </i>
    <i r="2">
      <x v="9"/>
    </i>
    <i r="2">
      <x v="10"/>
    </i>
    <i r="2">
      <x v="11"/>
    </i>
    <i r="2">
      <x v="12"/>
    </i>
    <i>
      <x v="8"/>
      <x v="1"/>
      <x/>
    </i>
    <i r="2">
      <x v="1"/>
    </i>
    <i r="2">
      <x v="2"/>
    </i>
    <i r="2">
      <x v="3"/>
    </i>
    <i r="2">
      <x v="4"/>
    </i>
    <i r="2">
      <x v="5"/>
    </i>
    <i r="2">
      <x v="6"/>
    </i>
    <i r="2">
      <x v="7"/>
    </i>
    <i r="2">
      <x v="8"/>
    </i>
    <i r="2">
      <x v="9"/>
    </i>
    <i r="2">
      <x v="10"/>
    </i>
    <i r="2">
      <x v="11"/>
    </i>
    <i r="2">
      <x v="12"/>
    </i>
    <i>
      <x v="9"/>
      <x/>
      <x/>
    </i>
    <i r="2">
      <x v="1"/>
    </i>
    <i r="2">
      <x v="2"/>
    </i>
    <i r="2">
      <x v="3"/>
    </i>
    <i r="2">
      <x v="4"/>
    </i>
    <i r="2">
      <x v="5"/>
    </i>
    <i r="2">
      <x v="6"/>
    </i>
    <i r="2">
      <x v="7"/>
    </i>
    <i r="2">
      <x v="8"/>
    </i>
    <i r="2">
      <x v="9"/>
    </i>
    <i r="2">
      <x v="10"/>
    </i>
    <i r="2">
      <x v="11"/>
    </i>
    <i r="2">
      <x v="12"/>
    </i>
    <i r="1">
      <x v="1"/>
      <x/>
    </i>
    <i r="2">
      <x v="1"/>
    </i>
    <i r="2">
      <x v="2"/>
    </i>
    <i r="2">
      <x v="3"/>
    </i>
    <i r="2">
      <x v="4"/>
    </i>
    <i r="2">
      <x v="5"/>
    </i>
    <i r="2">
      <x v="6"/>
    </i>
    <i r="2">
      <x v="7"/>
    </i>
    <i r="2">
      <x v="8"/>
    </i>
    <i r="2">
      <x v="9"/>
    </i>
    <i r="2">
      <x v="10"/>
    </i>
    <i r="2">
      <x v="11"/>
    </i>
    <i r="2">
      <x v="12"/>
    </i>
    <i>
      <x v="10"/>
      <x v="1"/>
      <x/>
    </i>
    <i r="2">
      <x v="1"/>
    </i>
    <i r="2">
      <x v="2"/>
    </i>
    <i r="2">
      <x v="3"/>
    </i>
    <i r="2">
      <x v="4"/>
    </i>
    <i r="2">
      <x v="5"/>
    </i>
    <i r="2">
      <x v="6"/>
    </i>
    <i r="2">
      <x v="7"/>
    </i>
    <i r="2">
      <x v="8"/>
    </i>
    <i r="2">
      <x v="9"/>
    </i>
    <i r="2">
      <x v="10"/>
    </i>
    <i r="2">
      <x v="11"/>
    </i>
    <i r="2">
      <x v="12"/>
    </i>
    <i>
      <x v="11"/>
      <x/>
      <x/>
    </i>
    <i r="2">
      <x v="1"/>
    </i>
    <i r="2">
      <x v="2"/>
    </i>
    <i r="2">
      <x v="3"/>
    </i>
    <i r="2">
      <x v="4"/>
    </i>
    <i r="2">
      <x v="5"/>
    </i>
    <i r="2">
      <x v="6"/>
    </i>
    <i r="2">
      <x v="7"/>
    </i>
    <i r="2">
      <x v="8"/>
    </i>
    <i r="2">
      <x v="9"/>
    </i>
    <i r="2">
      <x v="10"/>
    </i>
    <i r="2">
      <x v="11"/>
    </i>
    <i r="2">
      <x v="12"/>
    </i>
    <i r="1">
      <x v="1"/>
      <x/>
    </i>
    <i r="2">
      <x v="1"/>
    </i>
    <i r="2">
      <x v="2"/>
    </i>
    <i r="2">
      <x v="3"/>
    </i>
    <i r="2">
      <x v="4"/>
    </i>
    <i r="2">
      <x v="5"/>
    </i>
    <i r="2">
      <x v="6"/>
    </i>
    <i r="2">
      <x v="7"/>
    </i>
    <i r="2">
      <x v="8"/>
    </i>
    <i r="2">
      <x v="9"/>
    </i>
    <i r="2">
      <x v="10"/>
    </i>
    <i r="2">
      <x v="11"/>
    </i>
    <i r="2">
      <x v="12"/>
    </i>
    <i>
      <x v="12"/>
      <x v="1"/>
      <x/>
    </i>
    <i r="2">
      <x v="1"/>
    </i>
    <i r="2">
      <x v="2"/>
    </i>
    <i r="2">
      <x v="3"/>
    </i>
    <i r="2">
      <x v="4"/>
    </i>
    <i r="2">
      <x v="5"/>
    </i>
    <i r="2">
      <x v="6"/>
    </i>
    <i r="2">
      <x v="7"/>
    </i>
    <i r="2">
      <x v="8"/>
    </i>
    <i r="2">
      <x v="9"/>
    </i>
    <i r="2">
      <x v="10"/>
    </i>
    <i r="2">
      <x v="11"/>
    </i>
    <i r="2">
      <x v="12"/>
    </i>
    <i>
      <x v="13"/>
      <x v="1"/>
      <x/>
    </i>
    <i r="2">
      <x v="1"/>
    </i>
    <i r="2">
      <x v="2"/>
    </i>
    <i r="2">
      <x v="3"/>
    </i>
    <i r="2">
      <x v="4"/>
    </i>
    <i r="2">
      <x v="5"/>
    </i>
    <i r="2">
      <x v="6"/>
    </i>
    <i r="2">
      <x v="7"/>
    </i>
    <i r="2">
      <x v="8"/>
    </i>
    <i r="2">
      <x v="9"/>
    </i>
    <i r="2">
      <x v="10"/>
    </i>
    <i r="2">
      <x v="11"/>
    </i>
    <i r="2">
      <x v="12"/>
    </i>
    <i>
      <x v="14"/>
      <x v="1"/>
      <x/>
    </i>
    <i r="2">
      <x v="1"/>
    </i>
    <i r="2">
      <x v="2"/>
    </i>
    <i r="2">
      <x v="3"/>
    </i>
    <i r="2">
      <x v="4"/>
    </i>
    <i r="2">
      <x v="5"/>
    </i>
    <i r="2">
      <x v="6"/>
    </i>
    <i r="2">
      <x v="7"/>
    </i>
    <i r="2">
      <x v="8"/>
    </i>
    <i r="2">
      <x v="9"/>
    </i>
    <i r="2">
      <x v="10"/>
    </i>
    <i r="2">
      <x v="11"/>
    </i>
    <i r="2">
      <x v="12"/>
    </i>
    <i>
      <x v="15"/>
      <x v="1"/>
      <x/>
    </i>
    <i r="2">
      <x v="1"/>
    </i>
    <i r="2">
      <x v="2"/>
    </i>
    <i r="2">
      <x v="3"/>
    </i>
    <i r="2">
      <x v="4"/>
    </i>
    <i r="2">
      <x v="5"/>
    </i>
    <i r="2">
      <x v="6"/>
    </i>
    <i r="2">
      <x v="7"/>
    </i>
    <i r="2">
      <x v="8"/>
    </i>
    <i r="2">
      <x v="9"/>
    </i>
    <i r="2">
      <x v="10"/>
    </i>
    <i r="2">
      <x v="11"/>
    </i>
    <i r="2">
      <x v="12"/>
    </i>
    <i>
      <x v="16"/>
      <x/>
      <x/>
    </i>
    <i r="2">
      <x v="1"/>
    </i>
    <i r="2">
      <x v="2"/>
    </i>
    <i r="2">
      <x v="3"/>
    </i>
    <i r="2">
      <x v="4"/>
    </i>
    <i r="2">
      <x v="5"/>
    </i>
    <i r="2">
      <x v="6"/>
    </i>
    <i r="2">
      <x v="7"/>
    </i>
    <i r="2">
      <x v="8"/>
    </i>
    <i r="2">
      <x v="9"/>
    </i>
    <i r="2">
      <x v="10"/>
    </i>
    <i r="2">
      <x v="11"/>
    </i>
    <i r="2">
      <x v="12"/>
    </i>
    <i r="1">
      <x v="1"/>
      <x/>
    </i>
    <i r="2">
      <x v="1"/>
    </i>
    <i r="2">
      <x v="2"/>
    </i>
    <i r="2">
      <x v="3"/>
    </i>
    <i r="2">
      <x v="4"/>
    </i>
    <i r="2">
      <x v="5"/>
    </i>
    <i r="2">
      <x v="6"/>
    </i>
    <i r="2">
      <x v="7"/>
    </i>
    <i r="2">
      <x v="8"/>
    </i>
    <i r="2">
      <x v="9"/>
    </i>
    <i r="2">
      <x v="10"/>
    </i>
    <i r="2">
      <x v="11"/>
    </i>
    <i r="2">
      <x v="12"/>
    </i>
    <i>
      <x v="17"/>
      <x v="1"/>
      <x/>
    </i>
    <i r="2">
      <x v="1"/>
    </i>
    <i r="2">
      <x v="2"/>
    </i>
    <i r="2">
      <x v="3"/>
    </i>
    <i r="2">
      <x v="4"/>
    </i>
    <i r="2">
      <x v="5"/>
    </i>
    <i r="2">
      <x v="6"/>
    </i>
    <i r="2">
      <x v="7"/>
    </i>
    <i r="2">
      <x v="8"/>
    </i>
    <i r="2">
      <x v="9"/>
    </i>
    <i r="2">
      <x v="10"/>
    </i>
    <i r="2">
      <x v="11"/>
    </i>
    <i r="2">
      <x v="12"/>
    </i>
    <i>
      <x v="18"/>
      <x/>
      <x/>
    </i>
    <i r="2">
      <x v="1"/>
    </i>
    <i r="2">
      <x v="2"/>
    </i>
    <i r="2">
      <x v="3"/>
    </i>
    <i r="2">
      <x v="4"/>
    </i>
    <i r="2">
      <x v="5"/>
    </i>
    <i r="2">
      <x v="6"/>
    </i>
    <i r="2">
      <x v="7"/>
    </i>
    <i r="2">
      <x v="8"/>
    </i>
    <i r="2">
      <x v="9"/>
    </i>
    <i r="2">
      <x v="10"/>
    </i>
    <i r="2">
      <x v="11"/>
    </i>
    <i r="2">
      <x v="12"/>
    </i>
    <i r="1">
      <x v="1"/>
      <x/>
    </i>
    <i r="2">
      <x v="1"/>
    </i>
    <i r="2">
      <x v="2"/>
    </i>
    <i r="2">
      <x v="3"/>
    </i>
    <i r="2">
      <x v="4"/>
    </i>
    <i r="2">
      <x v="5"/>
    </i>
    <i r="2">
      <x v="6"/>
    </i>
    <i r="2">
      <x v="7"/>
    </i>
    <i r="2">
      <x v="8"/>
    </i>
    <i r="2">
      <x v="9"/>
    </i>
    <i r="2">
      <x v="10"/>
    </i>
    <i r="2">
      <x v="11"/>
    </i>
    <i r="2">
      <x v="12"/>
    </i>
    <i>
      <x v="19"/>
      <x v="1"/>
      <x/>
    </i>
    <i r="2">
      <x v="1"/>
    </i>
    <i r="2">
      <x v="2"/>
    </i>
    <i r="2">
      <x v="3"/>
    </i>
    <i r="2">
      <x v="4"/>
    </i>
    <i r="2">
      <x v="5"/>
    </i>
    <i r="2">
      <x v="6"/>
    </i>
    <i r="2">
      <x v="7"/>
    </i>
    <i r="2">
      <x v="8"/>
    </i>
    <i r="2">
      <x v="9"/>
    </i>
    <i r="2">
      <x v="10"/>
    </i>
    <i r="2">
      <x v="11"/>
    </i>
    <i r="2">
      <x v="12"/>
    </i>
    <i>
      <x v="20"/>
      <x v="1"/>
      <x/>
    </i>
    <i r="2">
      <x v="1"/>
    </i>
    <i r="2">
      <x v="2"/>
    </i>
    <i r="2">
      <x v="3"/>
    </i>
    <i r="2">
      <x v="4"/>
    </i>
    <i r="2">
      <x v="5"/>
    </i>
    <i r="2">
      <x v="6"/>
    </i>
    <i r="2">
      <x v="7"/>
    </i>
    <i r="2">
      <x v="8"/>
    </i>
    <i r="2">
      <x v="9"/>
    </i>
    <i r="2">
      <x v="10"/>
    </i>
    <i r="2">
      <x v="11"/>
    </i>
    <i r="2">
      <x v="12"/>
    </i>
    <i>
      <x v="21"/>
      <x/>
      <x/>
    </i>
    <i r="2">
      <x v="1"/>
    </i>
    <i r="2">
      <x v="2"/>
    </i>
    <i r="2">
      <x v="3"/>
    </i>
    <i r="2">
      <x v="4"/>
    </i>
    <i r="2">
      <x v="5"/>
    </i>
    <i r="2">
      <x v="6"/>
    </i>
    <i r="2">
      <x v="7"/>
    </i>
    <i r="2">
      <x v="8"/>
    </i>
    <i r="2">
      <x v="9"/>
    </i>
    <i r="2">
      <x v="10"/>
    </i>
    <i r="2">
      <x v="11"/>
    </i>
    <i r="2">
      <x v="12"/>
    </i>
    <i r="1">
      <x v="1"/>
      <x/>
    </i>
    <i r="2">
      <x v="1"/>
    </i>
    <i r="2">
      <x v="2"/>
    </i>
    <i r="2">
      <x v="3"/>
    </i>
    <i r="2">
      <x v="4"/>
    </i>
    <i r="2">
      <x v="5"/>
    </i>
    <i r="2">
      <x v="6"/>
    </i>
    <i r="2">
      <x v="7"/>
    </i>
    <i r="2">
      <x v="8"/>
    </i>
    <i r="2">
      <x v="9"/>
    </i>
    <i r="2">
      <x v="10"/>
    </i>
    <i r="2">
      <x v="11"/>
    </i>
    <i r="2">
      <x v="12"/>
    </i>
    <i>
      <x v="22"/>
      <x/>
      <x/>
    </i>
    <i r="2">
      <x v="1"/>
    </i>
    <i r="2">
      <x v="2"/>
    </i>
    <i r="2">
      <x v="3"/>
    </i>
    <i r="2">
      <x v="4"/>
    </i>
    <i r="2">
      <x v="5"/>
    </i>
    <i r="2">
      <x v="6"/>
    </i>
    <i r="2">
      <x v="7"/>
    </i>
    <i r="2">
      <x v="8"/>
    </i>
    <i r="2">
      <x v="9"/>
    </i>
    <i r="2">
      <x v="10"/>
    </i>
    <i r="2">
      <x v="11"/>
    </i>
    <i r="2">
      <x v="12"/>
    </i>
    <i r="1">
      <x v="1"/>
      <x/>
    </i>
    <i r="2">
      <x v="1"/>
    </i>
    <i r="2">
      <x v="2"/>
    </i>
    <i r="2">
      <x v="3"/>
    </i>
    <i r="2">
      <x v="4"/>
    </i>
    <i r="2">
      <x v="5"/>
    </i>
    <i r="2">
      <x v="6"/>
    </i>
    <i r="2">
      <x v="7"/>
    </i>
    <i r="2">
      <x v="8"/>
    </i>
    <i r="2">
      <x v="9"/>
    </i>
    <i r="2">
      <x v="10"/>
    </i>
    <i r="2">
      <x v="11"/>
    </i>
    <i r="2">
      <x v="12"/>
    </i>
    <i>
      <x v="23"/>
      <x v="1"/>
      <x/>
    </i>
    <i r="2">
      <x v="1"/>
    </i>
    <i r="2">
      <x v="2"/>
    </i>
    <i r="2">
      <x v="3"/>
    </i>
    <i r="2">
      <x v="4"/>
    </i>
    <i r="2">
      <x v="5"/>
    </i>
    <i r="2">
      <x v="6"/>
    </i>
    <i r="2">
      <x v="7"/>
    </i>
    <i r="2">
      <x v="8"/>
    </i>
    <i r="2">
      <x v="9"/>
    </i>
    <i r="2">
      <x v="10"/>
    </i>
    <i r="2">
      <x v="11"/>
    </i>
    <i r="2">
      <x v="12"/>
    </i>
    <i>
      <x v="24"/>
      <x/>
      <x/>
    </i>
    <i r="2">
      <x v="1"/>
    </i>
    <i r="2">
      <x v="2"/>
    </i>
    <i r="2">
      <x v="3"/>
    </i>
    <i r="2">
      <x v="4"/>
    </i>
    <i r="2">
      <x v="5"/>
    </i>
    <i r="2">
      <x v="6"/>
    </i>
    <i r="2">
      <x v="7"/>
    </i>
    <i r="2">
      <x v="8"/>
    </i>
    <i r="2">
      <x v="9"/>
    </i>
    <i r="2">
      <x v="10"/>
    </i>
    <i r="2">
      <x v="11"/>
    </i>
    <i r="2">
      <x v="12"/>
    </i>
    <i r="1">
      <x v="1"/>
      <x/>
    </i>
    <i r="2">
      <x v="1"/>
    </i>
    <i r="2">
      <x v="2"/>
    </i>
    <i r="2">
      <x v="3"/>
    </i>
    <i r="2">
      <x v="4"/>
    </i>
    <i r="2">
      <x v="5"/>
    </i>
    <i r="2">
      <x v="6"/>
    </i>
    <i r="2">
      <x v="7"/>
    </i>
    <i r="2">
      <x v="8"/>
    </i>
    <i r="2">
      <x v="9"/>
    </i>
    <i r="2">
      <x v="10"/>
    </i>
    <i r="2">
      <x v="11"/>
    </i>
    <i r="2">
      <x v="12"/>
    </i>
    <i>
      <x v="25"/>
      <x/>
      <x/>
    </i>
    <i r="2">
      <x v="1"/>
    </i>
    <i r="2">
      <x v="2"/>
    </i>
    <i r="2">
      <x v="3"/>
    </i>
    <i r="2">
      <x v="4"/>
    </i>
    <i r="2">
      <x v="5"/>
    </i>
    <i r="2">
      <x v="6"/>
    </i>
    <i r="2">
      <x v="7"/>
    </i>
    <i r="2">
      <x v="8"/>
    </i>
    <i r="2">
      <x v="9"/>
    </i>
    <i r="2">
      <x v="10"/>
    </i>
    <i r="2">
      <x v="11"/>
    </i>
    <i r="2">
      <x v="12"/>
    </i>
    <i r="1">
      <x v="1"/>
      <x/>
    </i>
    <i r="2">
      <x v="1"/>
    </i>
    <i r="2">
      <x v="2"/>
    </i>
    <i r="2">
      <x v="3"/>
    </i>
    <i r="2">
      <x v="4"/>
    </i>
    <i r="2">
      <x v="5"/>
    </i>
    <i r="2">
      <x v="6"/>
    </i>
    <i r="2">
      <x v="7"/>
    </i>
    <i r="2">
      <x v="8"/>
    </i>
    <i r="2">
      <x v="9"/>
    </i>
    <i r="2">
      <x v="10"/>
    </i>
    <i r="2">
      <x v="11"/>
    </i>
    <i r="2">
      <x v="12"/>
    </i>
    <i>
      <x v="26"/>
      <x v="1"/>
      <x/>
    </i>
    <i r="2">
      <x v="1"/>
    </i>
    <i r="2">
      <x v="2"/>
    </i>
    <i r="2">
      <x v="3"/>
    </i>
    <i r="2">
      <x v="4"/>
    </i>
    <i r="2">
      <x v="5"/>
    </i>
    <i r="2">
      <x v="6"/>
    </i>
    <i r="2">
      <x v="7"/>
    </i>
    <i r="2">
      <x v="8"/>
    </i>
    <i r="2">
      <x v="9"/>
    </i>
    <i r="2">
      <x v="10"/>
    </i>
    <i r="2">
      <x v="11"/>
    </i>
    <i r="2">
      <x v="12"/>
    </i>
    <i r="1">
      <x v="2"/>
      <x/>
    </i>
    <i r="2">
      <x v="1"/>
    </i>
    <i r="2">
      <x v="2"/>
    </i>
    <i r="2">
      <x v="3"/>
    </i>
    <i r="2">
      <x v="4"/>
    </i>
    <i r="2">
      <x v="5"/>
    </i>
    <i r="2">
      <x v="6"/>
    </i>
    <i r="2">
      <x v="7"/>
    </i>
    <i r="2">
      <x v="8"/>
    </i>
    <i r="2">
      <x v="9"/>
    </i>
    <i r="2">
      <x v="10"/>
    </i>
    <i r="2">
      <x v="11"/>
    </i>
    <i r="2">
      <x v="12"/>
    </i>
    <i>
      <x v="27"/>
      <x/>
      <x/>
    </i>
    <i r="2">
      <x v="1"/>
    </i>
    <i r="2">
      <x v="2"/>
    </i>
    <i r="2">
      <x v="3"/>
    </i>
    <i r="2">
      <x v="4"/>
    </i>
    <i r="2">
      <x v="5"/>
    </i>
    <i r="2">
      <x v="6"/>
    </i>
    <i r="2">
      <x v="7"/>
    </i>
    <i r="2">
      <x v="8"/>
    </i>
    <i r="2">
      <x v="9"/>
    </i>
    <i r="2">
      <x v="10"/>
    </i>
    <i r="2">
      <x v="11"/>
    </i>
    <i r="2">
      <x v="12"/>
    </i>
    <i r="1">
      <x v="1"/>
      <x/>
    </i>
    <i r="2">
      <x v="1"/>
    </i>
    <i r="2">
      <x v="2"/>
    </i>
    <i r="2">
      <x v="3"/>
    </i>
    <i r="2">
      <x v="4"/>
    </i>
    <i r="2">
      <x v="5"/>
    </i>
    <i r="2">
      <x v="6"/>
    </i>
    <i r="2">
      <x v="7"/>
    </i>
    <i r="2">
      <x v="8"/>
    </i>
    <i r="2">
      <x v="9"/>
    </i>
    <i r="2">
      <x v="10"/>
    </i>
    <i r="2">
      <x v="11"/>
    </i>
    <i r="2">
      <x v="12"/>
    </i>
    <i>
      <x v="28"/>
      <x v="1"/>
      <x/>
    </i>
    <i r="2">
      <x v="1"/>
    </i>
    <i r="2">
      <x v="2"/>
    </i>
    <i r="2">
      <x v="3"/>
    </i>
    <i r="2">
      <x v="4"/>
    </i>
    <i r="2">
      <x v="5"/>
    </i>
    <i r="2">
      <x v="6"/>
    </i>
    <i r="2">
      <x v="7"/>
    </i>
    <i r="2">
      <x v="8"/>
    </i>
    <i r="2">
      <x v="9"/>
    </i>
    <i r="2">
      <x v="10"/>
    </i>
    <i r="2">
      <x v="11"/>
    </i>
    <i r="2">
      <x v="12"/>
    </i>
    <i r="1">
      <x v="2"/>
      <x/>
    </i>
    <i r="2">
      <x v="1"/>
    </i>
    <i r="2">
      <x v="2"/>
    </i>
    <i r="2">
      <x v="3"/>
    </i>
    <i r="2">
      <x v="4"/>
    </i>
    <i r="2">
      <x v="5"/>
    </i>
    <i r="2">
      <x v="6"/>
    </i>
    <i r="2">
      <x v="7"/>
    </i>
    <i r="2">
      <x v="8"/>
    </i>
    <i r="2">
      <x v="9"/>
    </i>
    <i r="2">
      <x v="10"/>
    </i>
    <i r="2">
      <x v="11"/>
    </i>
    <i r="2">
      <x v="12"/>
    </i>
    <i>
      <x v="29"/>
      <x/>
      <x/>
    </i>
    <i r="2">
      <x v="1"/>
    </i>
    <i r="2">
      <x v="2"/>
    </i>
    <i r="2">
      <x v="3"/>
    </i>
    <i r="2">
      <x v="4"/>
    </i>
    <i r="2">
      <x v="5"/>
    </i>
    <i r="2">
      <x v="6"/>
    </i>
    <i r="2">
      <x v="7"/>
    </i>
    <i r="2">
      <x v="8"/>
    </i>
    <i r="2">
      <x v="9"/>
    </i>
    <i r="2">
      <x v="10"/>
    </i>
    <i r="2">
      <x v="11"/>
    </i>
    <i r="2">
      <x v="12"/>
    </i>
    <i r="1">
      <x v="1"/>
      <x/>
    </i>
    <i r="2">
      <x v="1"/>
    </i>
    <i r="2">
      <x v="2"/>
    </i>
    <i r="2">
      <x v="3"/>
    </i>
    <i r="2">
      <x v="4"/>
    </i>
    <i r="2">
      <x v="5"/>
    </i>
    <i r="2">
      <x v="6"/>
    </i>
    <i r="2">
      <x v="7"/>
    </i>
    <i r="2">
      <x v="8"/>
    </i>
    <i r="2">
      <x v="9"/>
    </i>
    <i r="2">
      <x v="10"/>
    </i>
    <i r="2">
      <x v="11"/>
    </i>
    <i r="2">
      <x v="12"/>
    </i>
    <i>
      <x v="30"/>
      <x/>
      <x/>
    </i>
    <i r="2">
      <x v="1"/>
    </i>
    <i r="2">
      <x v="2"/>
    </i>
    <i r="2">
      <x v="3"/>
    </i>
    <i r="2">
      <x v="4"/>
    </i>
    <i r="2">
      <x v="5"/>
    </i>
    <i r="2">
      <x v="6"/>
    </i>
    <i r="2">
      <x v="7"/>
    </i>
    <i r="2">
      <x v="8"/>
    </i>
    <i r="2">
      <x v="9"/>
    </i>
    <i r="2">
      <x v="10"/>
    </i>
    <i r="2">
      <x v="11"/>
    </i>
    <i r="2">
      <x v="12"/>
    </i>
    <i r="1">
      <x v="1"/>
      <x/>
    </i>
    <i r="2">
      <x v="1"/>
    </i>
    <i r="2">
      <x v="2"/>
    </i>
    <i r="2">
      <x v="3"/>
    </i>
    <i r="2">
      <x v="4"/>
    </i>
    <i r="2">
      <x v="5"/>
    </i>
    <i r="2">
      <x v="6"/>
    </i>
    <i r="2">
      <x v="7"/>
    </i>
    <i r="2">
      <x v="8"/>
    </i>
    <i r="2">
      <x v="9"/>
    </i>
    <i r="2">
      <x v="10"/>
    </i>
    <i r="2">
      <x v="11"/>
    </i>
    <i r="2">
      <x v="12"/>
    </i>
    <i>
      <x v="31"/>
      <x/>
      <x/>
    </i>
    <i r="2">
      <x v="1"/>
    </i>
    <i r="2">
      <x v="2"/>
    </i>
    <i r="2">
      <x v="3"/>
    </i>
    <i r="2">
      <x v="4"/>
    </i>
    <i r="2">
      <x v="5"/>
    </i>
    <i r="2">
      <x v="6"/>
    </i>
    <i r="2">
      <x v="7"/>
    </i>
    <i r="2">
      <x v="8"/>
    </i>
    <i r="2">
      <x v="9"/>
    </i>
    <i r="2">
      <x v="10"/>
    </i>
    <i r="2">
      <x v="11"/>
    </i>
    <i r="2">
      <x v="12"/>
    </i>
    <i r="1">
      <x v="1"/>
      <x/>
    </i>
    <i r="2">
      <x v="1"/>
    </i>
    <i r="2">
      <x v="2"/>
    </i>
    <i r="2">
      <x v="3"/>
    </i>
    <i r="2">
      <x v="4"/>
    </i>
    <i r="2">
      <x v="5"/>
    </i>
    <i r="2">
      <x v="6"/>
    </i>
    <i r="2">
      <x v="7"/>
    </i>
    <i r="2">
      <x v="8"/>
    </i>
    <i r="2">
      <x v="9"/>
    </i>
    <i r="2">
      <x v="10"/>
    </i>
    <i r="2">
      <x v="11"/>
    </i>
    <i r="2">
      <x v="12"/>
    </i>
    <i>
      <x v="32"/>
      <x v="1"/>
      <x/>
    </i>
    <i r="2">
      <x v="1"/>
    </i>
    <i r="2">
      <x v="2"/>
    </i>
    <i r="2">
      <x v="3"/>
    </i>
    <i r="2">
      <x v="4"/>
    </i>
    <i r="2">
      <x v="5"/>
    </i>
    <i r="2">
      <x v="6"/>
    </i>
    <i r="2">
      <x v="7"/>
    </i>
    <i r="2">
      <x v="8"/>
    </i>
    <i r="2">
      <x v="9"/>
    </i>
    <i r="2">
      <x v="10"/>
    </i>
    <i r="2">
      <x v="11"/>
    </i>
    <i r="2">
      <x v="12"/>
    </i>
    <i>
      <x v="33"/>
      <x v="1"/>
      <x/>
    </i>
    <i r="2">
      <x v="1"/>
    </i>
    <i r="2">
      <x v="2"/>
    </i>
    <i r="2">
      <x v="3"/>
    </i>
    <i r="2">
      <x v="4"/>
    </i>
    <i r="2">
      <x v="5"/>
    </i>
    <i r="2">
      <x v="6"/>
    </i>
    <i r="2">
      <x v="7"/>
    </i>
    <i r="2">
      <x v="8"/>
    </i>
    <i r="2">
      <x v="9"/>
    </i>
    <i r="2">
      <x v="10"/>
    </i>
    <i r="2">
      <x v="11"/>
    </i>
    <i r="2">
      <x v="12"/>
    </i>
    <i>
      <x v="34"/>
      <x v="1"/>
      <x/>
    </i>
    <i r="2">
      <x v="1"/>
    </i>
    <i r="2">
      <x v="2"/>
    </i>
    <i r="2">
      <x v="3"/>
    </i>
    <i r="2">
      <x v="4"/>
    </i>
    <i r="2">
      <x v="5"/>
    </i>
    <i r="2">
      <x v="6"/>
    </i>
    <i r="2">
      <x v="7"/>
    </i>
    <i r="2">
      <x v="8"/>
    </i>
    <i r="2">
      <x v="9"/>
    </i>
    <i r="2">
      <x v="10"/>
    </i>
    <i r="2">
      <x v="11"/>
    </i>
    <i r="2">
      <x v="12"/>
    </i>
    <i>
      <x v="35"/>
      <x v="1"/>
      <x/>
    </i>
    <i r="2">
      <x v="1"/>
    </i>
    <i r="2">
      <x v="2"/>
    </i>
    <i r="2">
      <x v="3"/>
    </i>
    <i r="2">
      <x v="4"/>
    </i>
    <i r="2">
      <x v="5"/>
    </i>
    <i r="2">
      <x v="6"/>
    </i>
    <i r="2">
      <x v="7"/>
    </i>
    <i r="2">
      <x v="8"/>
    </i>
    <i r="2">
      <x v="9"/>
    </i>
    <i r="2">
      <x v="10"/>
    </i>
    <i r="2">
      <x v="11"/>
    </i>
    <i r="2">
      <x v="12"/>
    </i>
    <i>
      <x v="36"/>
      <x/>
      <x/>
    </i>
    <i r="2">
      <x v="1"/>
    </i>
    <i r="2">
      <x v="2"/>
    </i>
    <i r="2">
      <x v="3"/>
    </i>
    <i r="2">
      <x v="4"/>
    </i>
    <i r="2">
      <x v="5"/>
    </i>
    <i r="2">
      <x v="6"/>
    </i>
    <i r="2">
      <x v="7"/>
    </i>
    <i r="2">
      <x v="8"/>
    </i>
    <i r="2">
      <x v="9"/>
    </i>
    <i r="2">
      <x v="10"/>
    </i>
    <i r="2">
      <x v="11"/>
    </i>
    <i r="2">
      <x v="12"/>
    </i>
    <i>
      <x v="37"/>
      <x/>
      <x/>
    </i>
    <i r="2">
      <x v="1"/>
    </i>
    <i r="2">
      <x v="2"/>
    </i>
    <i r="2">
      <x v="3"/>
    </i>
    <i r="2">
      <x v="4"/>
    </i>
    <i r="2">
      <x v="5"/>
    </i>
    <i r="2">
      <x v="6"/>
    </i>
    <i r="2">
      <x v="7"/>
    </i>
    <i r="2">
      <x v="8"/>
    </i>
    <i r="2">
      <x v="9"/>
    </i>
    <i r="2">
      <x v="10"/>
    </i>
    <i r="2">
      <x v="11"/>
    </i>
    <i r="2">
      <x v="12"/>
    </i>
    <i r="1">
      <x v="1"/>
      <x/>
    </i>
    <i r="2">
      <x v="1"/>
    </i>
    <i r="2">
      <x v="2"/>
    </i>
    <i r="2">
      <x v="3"/>
    </i>
    <i r="2">
      <x v="4"/>
    </i>
    <i r="2">
      <x v="5"/>
    </i>
    <i r="2">
      <x v="6"/>
    </i>
    <i r="2">
      <x v="7"/>
    </i>
    <i r="2">
      <x v="8"/>
    </i>
    <i r="2">
      <x v="9"/>
    </i>
    <i r="2">
      <x v="10"/>
    </i>
    <i r="2">
      <x v="11"/>
    </i>
    <i r="2">
      <x v="12"/>
    </i>
  </rowItems>
  <colFields count="1">
    <field x="-2"/>
  </colFields>
  <colItems count="24">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i i="22">
      <x v="22"/>
    </i>
    <i i="23">
      <x v="23"/>
    </i>
  </colItems>
  <dataFields count="24">
    <dataField name="9/26/2022 " fld="8" baseField="0" baseItem="0" numFmtId="3"/>
    <dataField name="10/3/2022 " fld="9" baseField="0" baseItem="0" numFmtId="3"/>
    <dataField name="10/10/2022 " fld="10" baseField="0" baseItem="0" numFmtId="3"/>
    <dataField name="10/17/2022 " fld="11" baseField="0" baseItem="0" numFmtId="3"/>
    <dataField name="10/24/2022 " fld="12" baseField="0" baseItem="0" numFmtId="3"/>
    <dataField name="10/31/2022 " fld="13" baseField="0" baseItem="0" numFmtId="3"/>
    <dataField name="11/7/2022 " fld="14" baseField="0" baseItem="0" numFmtId="3"/>
    <dataField name="11/14/2022 " fld="15" baseField="0" baseItem="0" numFmtId="3"/>
    <dataField name="11/21/2022 " fld="16" baseField="0" baseItem="0" numFmtId="3"/>
    <dataField name="11/28/2022 " fld="17" baseField="0" baseItem="0" numFmtId="3"/>
    <dataField name="12/5/2022 " fld="18" baseField="0" baseItem="0" numFmtId="3"/>
    <dataField name="12/12/2022 " fld="19" baseField="0" baseItem="0" numFmtId="3"/>
    <dataField name="12/19/2022 " fld="20" baseField="0" baseItem="0" numFmtId="3"/>
    <dataField name="12/26/2022 " fld="21" baseField="0" baseItem="0" numFmtId="3"/>
    <dataField name="1/2/2023 " fld="22" baseField="0" baseItem="0" numFmtId="3"/>
    <dataField name="1/9/2023 " fld="23" baseField="0" baseItem="0" numFmtId="3"/>
    <dataField name="1/16/2023 " fld="24" baseField="0" baseItem="0" numFmtId="3"/>
    <dataField name="1/23/2023 " fld="25" baseField="0" baseItem="0" numFmtId="3"/>
    <dataField name="1/30/2023 " fld="26" baseField="0" baseItem="0" numFmtId="3"/>
    <dataField name="2/6/2023 " fld="27" baseField="0" baseItem="0" numFmtId="3"/>
    <dataField name="2/13/2023 " fld="28" baseField="0" baseItem="0" numFmtId="3"/>
    <dataField name="2/20/2023 " fld="29" baseField="0" baseItem="0" numFmtId="3"/>
    <dataField name="2/27/2023 " fld="30" baseField="0" baseItem="0" numFmtId="3"/>
    <dataField name="3/6/2023 " fld="31" baseField="0" baseItem="0" numFmtId="3"/>
  </dataFields>
  <conditionalFormats count="4">
    <conditionalFormat priority="4">
      <pivotAreas count="1">
        <pivotArea type="data" outline="0" collapsedLevelsAreSubtotals="1" fieldPosition="0"/>
      </pivotAreas>
    </conditionalFormat>
    <conditionalFormat priority="3">
      <pivotAreas count="1">
        <pivotArea type="data" outline="0" collapsedLevelsAreSubtotals="1" fieldPosition="0"/>
      </pivotAreas>
    </conditionalFormat>
    <conditionalFormat priority="2">
      <pivotAreas count="1">
        <pivotArea type="data" outline="0" collapsedLevelsAreSubtotals="1" fieldPosition="0"/>
      </pivotAreas>
    </conditionalFormat>
    <conditionalFormat priority="1">
      <pivotAreas count="1">
        <pivotArea type="data" outline="0" collapsedLevelsAreSubtotals="1" fieldPosition="0"/>
      </pivotAreas>
    </conditionalFormat>
  </conditional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46E5E6F-E06F-4756-9F18-CDBD223ACBAA}" name="Table1" displayName="Table1" ref="A2:E12" totalsRowShown="0">
  <autoFilter ref="A2:E12" xr:uid="{F8874B5A-DBC8-427A-9DB2-5D73AF0F5082}"/>
  <tableColumns count="5">
    <tableColumn id="1" xr3:uid="{8824A64C-83E6-4D2E-AEF7-639F8BDA23F4}" name="Mode"/>
    <tableColumn id="2" xr3:uid="{A1A4598A-40C3-4EB8-8FBA-2659B6DDEA75}" name="Modifier"/>
    <tableColumn id="3" xr3:uid="{72958684-CB57-41F5-93C2-F2A5AE26B14A}" name="Upload" dataDxfId="11"/>
    <tableColumn id="4" xr3:uid="{263ECA6B-A4D5-4C10-9013-ED4785F0F158}" name="Format" dataDxfId="10"/>
    <tableColumn id="5" xr3:uid="{13657EEF-1559-494F-9B7C-A93A6E2F52E3}" name="Instruction and Q/A" dataDxfId="9"/>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customProperty" Target="../customProperty2.bin"/><Relationship Id="rId7" Type="http://schemas.openxmlformats.org/officeDocument/2006/relationships/ctrlProp" Target="../ctrlProps/ctrlProp2.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1" Type="http://schemas.openxmlformats.org/officeDocument/2006/relationships/customProperty" Target="../customProperty3.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customProperty" Target="../customProperty4.bin"/></Relationships>
</file>

<file path=xl/worksheets/_rels/sheet4.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5.xml.rels><?xml version="1.0" encoding="UTF-8" standalone="yes"?>
<Relationships xmlns="http://schemas.openxmlformats.org/package/2006/relationships"><Relationship Id="rId1" Type="http://schemas.openxmlformats.org/officeDocument/2006/relationships/customProperty" Target="../customProperty6.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customProperty" Target="../customProperty7.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8.xml.rels><?xml version="1.0" encoding="UTF-8" standalone="yes"?>
<Relationships xmlns="http://schemas.openxmlformats.org/package/2006/relationships"><Relationship Id="rId2" Type="http://schemas.openxmlformats.org/officeDocument/2006/relationships/customProperty" Target="../customProperty9.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D0C6A2-7D82-48A7-B21D-46900F2961E7}">
  <sheetPr codeName="Sheet1">
    <outlinePr showOutlineSymbols="0"/>
  </sheetPr>
  <dimension ref="A1:M46"/>
  <sheetViews>
    <sheetView tabSelected="1" showOutlineSymbols="0" zoomScale="145" zoomScaleNormal="145" workbookViewId="0">
      <selection activeCell="G20" sqref="G20"/>
    </sheetView>
  </sheetViews>
  <sheetFormatPr defaultRowHeight="14.4" outlineLevelRow="1" x14ac:dyDescent="0.3"/>
  <cols>
    <col min="2" max="2" width="9.5546875" customWidth="1"/>
    <col min="3" max="3" width="55" customWidth="1"/>
    <col min="7" max="7" width="15.77734375" customWidth="1"/>
    <col min="8" max="8" width="30" customWidth="1"/>
    <col min="9" max="9" width="10.5546875" customWidth="1"/>
  </cols>
  <sheetData>
    <row r="1" spans="1:13" x14ac:dyDescent="0.3">
      <c r="A1" s="64" t="s">
        <v>0</v>
      </c>
      <c r="B1" s="65"/>
      <c r="C1" s="65"/>
      <c r="D1" s="65"/>
      <c r="E1" s="65"/>
      <c r="F1" s="65"/>
      <c r="G1" s="65"/>
      <c r="H1" s="65"/>
      <c r="I1" s="65"/>
      <c r="J1" s="65"/>
      <c r="K1" s="65"/>
      <c r="L1" s="65"/>
      <c r="M1" s="66"/>
    </row>
    <row r="2" spans="1:13" ht="15" thickBot="1" x14ac:dyDescent="0.35">
      <c r="A2" s="67"/>
      <c r="B2" s="68"/>
      <c r="C2" s="68"/>
      <c r="D2" s="68"/>
      <c r="E2" s="68"/>
      <c r="F2" s="68"/>
      <c r="G2" s="68"/>
      <c r="H2" s="68"/>
      <c r="I2" s="68"/>
      <c r="J2" s="68"/>
      <c r="K2" s="68"/>
      <c r="L2" s="68"/>
      <c r="M2" s="69"/>
    </row>
    <row r="3" spans="1:13" ht="15" thickBot="1" x14ac:dyDescent="0.35">
      <c r="A3" s="8"/>
    </row>
    <row r="4" spans="1:13" ht="15" customHeight="1" x14ac:dyDescent="0.3">
      <c r="B4" s="59" t="s">
        <v>1</v>
      </c>
      <c r="C4" s="60"/>
      <c r="G4" s="63" t="s">
        <v>8</v>
      </c>
      <c r="H4" s="70"/>
      <c r="I4" s="60"/>
    </row>
    <row r="5" spans="1:13" ht="15.75" customHeight="1" thickBot="1" x14ac:dyDescent="0.35">
      <c r="B5" s="61"/>
      <c r="C5" s="62"/>
      <c r="G5" s="61"/>
      <c r="H5" s="71"/>
      <c r="I5" s="62"/>
    </row>
    <row r="7" spans="1:13" ht="25.05" customHeight="1" x14ac:dyDescent="0.3">
      <c r="B7" s="3" t="s">
        <v>2</v>
      </c>
      <c r="C7" s="2" t="s">
        <v>6</v>
      </c>
      <c r="G7" s="3" t="s">
        <v>115</v>
      </c>
      <c r="H7" s="7" t="s">
        <v>117</v>
      </c>
    </row>
    <row r="8" spans="1:13" ht="15" thickBot="1" x14ac:dyDescent="0.35"/>
    <row r="9" spans="1:13" x14ac:dyDescent="0.3">
      <c r="B9" s="63" t="s">
        <v>82</v>
      </c>
      <c r="C9" s="60"/>
      <c r="G9" s="63" t="s">
        <v>18</v>
      </c>
      <c r="H9" s="70"/>
      <c r="I9" s="60"/>
    </row>
    <row r="10" spans="1:13" ht="15" thickBot="1" x14ac:dyDescent="0.35">
      <c r="B10" s="61"/>
      <c r="C10" s="62"/>
      <c r="G10" s="61"/>
      <c r="H10" s="71"/>
      <c r="I10" s="62"/>
    </row>
    <row r="12" spans="1:13" ht="25.05" customHeight="1" x14ac:dyDescent="0.3">
      <c r="B12" s="4" t="s">
        <v>3</v>
      </c>
      <c r="C12" s="5" t="s">
        <v>171</v>
      </c>
      <c r="G12" s="3" t="s">
        <v>20</v>
      </c>
      <c r="H12" s="7" t="s">
        <v>19</v>
      </c>
    </row>
    <row r="13" spans="1:13" ht="15" thickBot="1" x14ac:dyDescent="0.35"/>
    <row r="14" spans="1:13" x14ac:dyDescent="0.3">
      <c r="B14" s="63" t="s">
        <v>85</v>
      </c>
      <c r="C14" s="60"/>
    </row>
    <row r="15" spans="1:13" ht="15" thickBot="1" x14ac:dyDescent="0.35">
      <c r="B15" s="61"/>
      <c r="C15" s="62"/>
    </row>
    <row r="17" spans="1:8" ht="25.05" customHeight="1" x14ac:dyDescent="0.3">
      <c r="B17" s="4" t="s">
        <v>4</v>
      </c>
      <c r="C17" s="6" t="s">
        <v>95</v>
      </c>
      <c r="H17" s="9"/>
    </row>
    <row r="19" spans="1:8" ht="13.05" customHeight="1" x14ac:dyDescent="0.3"/>
    <row r="20" spans="1:8" ht="13.05" customHeight="1" x14ac:dyDescent="0.3"/>
    <row r="21" spans="1:8" ht="13.05" customHeight="1" x14ac:dyDescent="0.3"/>
    <row r="23" spans="1:8" outlineLevel="1" x14ac:dyDescent="0.3">
      <c r="A23" s="58" t="s">
        <v>7</v>
      </c>
      <c r="B23" s="58"/>
    </row>
    <row r="24" spans="1:8" outlineLevel="1" x14ac:dyDescent="0.3">
      <c r="A24" s="58"/>
      <c r="B24" s="58"/>
    </row>
    <row r="25" spans="1:8" outlineLevel="1" x14ac:dyDescent="0.3">
      <c r="B25" s="1"/>
      <c r="C25" s="1"/>
      <c r="D25" s="1"/>
      <c r="E25" s="1"/>
    </row>
    <row r="26" spans="1:8" outlineLevel="1" x14ac:dyDescent="0.3">
      <c r="B26" s="1"/>
      <c r="C26" s="1"/>
      <c r="D26" s="1"/>
      <c r="E26" s="1"/>
    </row>
    <row r="27" spans="1:8" outlineLevel="1" x14ac:dyDescent="0.3">
      <c r="B27" s="1"/>
    </row>
    <row r="28" spans="1:8" outlineLevel="1" x14ac:dyDescent="0.3">
      <c r="B28" s="1"/>
    </row>
    <row r="29" spans="1:8" outlineLevel="1" x14ac:dyDescent="0.3">
      <c r="B29" s="1"/>
    </row>
    <row r="30" spans="1:8" outlineLevel="1" x14ac:dyDescent="0.3">
      <c r="B30" s="1"/>
    </row>
    <row r="31" spans="1:8" outlineLevel="1" x14ac:dyDescent="0.3">
      <c r="B31" s="1"/>
    </row>
    <row r="32" spans="1:8" outlineLevel="1" x14ac:dyDescent="0.3">
      <c r="B32" s="1"/>
    </row>
    <row r="33" spans="2:7" outlineLevel="1" x14ac:dyDescent="0.3">
      <c r="B33" s="1"/>
    </row>
    <row r="34" spans="2:7" outlineLevel="1" x14ac:dyDescent="0.3">
      <c r="B34" s="1"/>
    </row>
    <row r="35" spans="2:7" outlineLevel="1" x14ac:dyDescent="0.3">
      <c r="B35" s="1"/>
    </row>
    <row r="36" spans="2:7" outlineLevel="1" x14ac:dyDescent="0.3">
      <c r="B36" s="1"/>
    </row>
    <row r="37" spans="2:7" outlineLevel="1" x14ac:dyDescent="0.3">
      <c r="B37" s="1"/>
    </row>
    <row r="38" spans="2:7" outlineLevel="1" x14ac:dyDescent="0.3">
      <c r="B38" s="1"/>
      <c r="F38" s="1"/>
      <c r="G38" s="1"/>
    </row>
    <row r="39" spans="2:7" outlineLevel="1" x14ac:dyDescent="0.3">
      <c r="B39" s="1"/>
      <c r="F39" s="1"/>
      <c r="G39" s="1"/>
    </row>
    <row r="40" spans="2:7" outlineLevel="1" x14ac:dyDescent="0.3"/>
    <row r="41" spans="2:7" outlineLevel="1" x14ac:dyDescent="0.3"/>
    <row r="42" spans="2:7" outlineLevel="1" x14ac:dyDescent="0.3"/>
    <row r="43" spans="2:7" outlineLevel="1" x14ac:dyDescent="0.3"/>
    <row r="44" spans="2:7" outlineLevel="1" x14ac:dyDescent="0.3"/>
    <row r="45" spans="2:7" outlineLevel="1" x14ac:dyDescent="0.3"/>
    <row r="46" spans="2:7" outlineLevel="1" x14ac:dyDescent="0.3"/>
  </sheetData>
  <mergeCells count="7">
    <mergeCell ref="A23:B24"/>
    <mergeCell ref="B4:C5"/>
    <mergeCell ref="B9:C10"/>
    <mergeCell ref="B14:C15"/>
    <mergeCell ref="A1:M2"/>
    <mergeCell ref="G4:I5"/>
    <mergeCell ref="G9:I10"/>
  </mergeCells>
  <pageMargins left="0.7" right="0.7" top="0.75" bottom="0.75" header="0.3" footer="0.3"/>
  <pageSetup paperSize="9" orientation="portrait" horizontalDpi="200" verticalDpi="200" r:id="rId1"/>
  <customProperties>
    <customPr name="FPMExcelClientCellBasedFunctionStatus" r:id="rId2"/>
    <customPr name="IbpWorksheetKeyString_GUID"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6388" r:id="rId6" name="Button 4">
              <controlPr defaultSize="0" print="0" autoFill="0" autoPict="0" macro="[0]!Mode_Selector">
                <anchor moveWithCells="1" sizeWithCells="1">
                  <from>
                    <xdr:col>4</xdr:col>
                    <xdr:colOff>0</xdr:colOff>
                    <xdr:row>6</xdr:row>
                    <xdr:rowOff>15240</xdr:rowOff>
                  </from>
                  <to>
                    <xdr:col>5</xdr:col>
                    <xdr:colOff>0</xdr:colOff>
                    <xdr:row>7</xdr:row>
                    <xdr:rowOff>0</xdr:rowOff>
                  </to>
                </anchor>
              </controlPr>
            </control>
          </mc:Choice>
        </mc:AlternateContent>
        <mc:AlternateContent xmlns:mc="http://schemas.openxmlformats.org/markup-compatibility/2006">
          <mc:Choice Requires="x14">
            <control shapeId="16395" r:id="rId7" name="Button 11">
              <controlPr defaultSize="0" print="0" autoFill="0" autoPict="0" macro="[0]!Modifier_Selector">
                <anchor moveWithCells="1" sizeWithCells="1">
                  <from>
                    <xdr:col>4</xdr:col>
                    <xdr:colOff>15240</xdr:colOff>
                    <xdr:row>11</xdr:row>
                    <xdr:rowOff>0</xdr:rowOff>
                  </from>
                  <to>
                    <xdr:col>5</xdr:col>
                    <xdr:colOff>0</xdr:colOff>
                    <xdr:row>12</xdr:row>
                    <xdr:rowOff>15240</xdr:rowOff>
                  </to>
                </anchor>
              </controlPr>
            </control>
          </mc:Choice>
        </mc:AlternateContent>
        <mc:AlternateContent xmlns:mc="http://schemas.openxmlformats.org/markup-compatibility/2006">
          <mc:Choice Requires="x14">
            <control shapeId="16398" r:id="rId8" name="Button 14">
              <controlPr defaultSize="0" print="0" autoFill="0" autoPict="0" macro="[0]!Upload_Selector">
                <anchor moveWithCells="1" sizeWithCells="1">
                  <from>
                    <xdr:col>4</xdr:col>
                    <xdr:colOff>15240</xdr:colOff>
                    <xdr:row>16</xdr:row>
                    <xdr:rowOff>0</xdr:rowOff>
                  </from>
                  <to>
                    <xdr:col>5</xdr:col>
                    <xdr:colOff>15240</xdr:colOff>
                    <xdr:row>17</xdr:row>
                    <xdr:rowOff>15240</xdr:rowOff>
                  </to>
                </anchor>
              </controlPr>
            </control>
          </mc:Choice>
        </mc:AlternateContent>
        <mc:AlternateContent xmlns:mc="http://schemas.openxmlformats.org/markup-compatibility/2006">
          <mc:Choice Requires="x14">
            <control shapeId="16411" r:id="rId9" name="Button 27">
              <controlPr defaultSize="0" print="0" autoFill="0" autoPict="0" macro="[0]!Instruction_Selector">
                <anchor moveWithCells="1" sizeWithCells="1">
                  <from>
                    <xdr:col>8</xdr:col>
                    <xdr:colOff>739140</xdr:colOff>
                    <xdr:row>10</xdr:row>
                    <xdr:rowOff>175260</xdr:rowOff>
                  </from>
                  <to>
                    <xdr:col>9</xdr:col>
                    <xdr:colOff>601980</xdr:colOff>
                    <xdr:row>11</xdr:row>
                    <xdr:rowOff>320040</xdr:rowOff>
                  </to>
                </anchor>
              </controlPr>
            </control>
          </mc:Choice>
        </mc:AlternateContent>
        <mc:AlternateContent xmlns:mc="http://schemas.openxmlformats.org/markup-compatibility/2006">
          <mc:Choice Requires="x14">
            <control shapeId="16413" r:id="rId10" name="Button 29">
              <controlPr defaultSize="0" print="0" autoFill="0" autoPict="0" macro="[0]!Function_Selector">
                <anchor moveWithCells="1" sizeWithCells="1">
                  <from>
                    <xdr:col>9</xdr:col>
                    <xdr:colOff>0</xdr:colOff>
                    <xdr:row>5</xdr:row>
                    <xdr:rowOff>175260</xdr:rowOff>
                  </from>
                  <to>
                    <xdr:col>9</xdr:col>
                    <xdr:colOff>601980</xdr:colOff>
                    <xdr:row>7</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C5156CBC-8998-4C95-A55A-EE3AA933CA77}">
          <x14:formula1>
            <xm:f>Developer!$B$3:$B$12</xm:f>
          </x14:formula1>
          <xm:sqref>C12</xm:sqref>
        </x14:dataValidation>
        <x14:dataValidation type="list" allowBlank="1" showInputMessage="1" showErrorMessage="1" xr:uid="{BCC656C6-3E62-4524-A821-7891733EF390}">
          <x14:formula1>
            <xm:f>Developer!$A$3:$A$12</xm:f>
          </x14:formula1>
          <xm:sqref>C7</xm:sqref>
        </x14:dataValidation>
        <x14:dataValidation type="list" allowBlank="1" showInputMessage="1" showErrorMessage="1" xr:uid="{B6982ABF-5AA9-41B4-932D-338EDA577317}">
          <x14:formula1>
            <xm:f>Developer!$C$3:$C$12</xm:f>
          </x14:formula1>
          <xm:sqref>C17</xm:sqref>
        </x14:dataValidation>
        <x14:dataValidation type="list" allowBlank="1" showInputMessage="1" showErrorMessage="1" xr:uid="{C95756CC-D1A0-4260-B26D-E7374BF2E84A}">
          <x14:formula1>
            <xm:f>Developer!$D$3:$D$12</xm:f>
          </x14:formula1>
          <xm:sqref>H7</xm:sqref>
        </x14:dataValidation>
        <x14:dataValidation type="list" allowBlank="1" showInputMessage="1" showErrorMessage="1" xr:uid="{94C159FD-523E-402F-B092-79526DD9062F}">
          <x14:formula1>
            <xm:f>Developer!$E$3:$E$12</xm:f>
          </x14:formula1>
          <xm:sqref>H12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B8B874-1AFC-4F74-97D3-56A8ECA7000B}">
  <sheetPr codeName="Sheet4">
    <tabColor rgb="FFFFFF99"/>
  </sheetPr>
  <dimension ref="A1:F6"/>
  <sheetViews>
    <sheetView topLeftCell="C1" zoomScale="145" zoomScaleNormal="145" workbookViewId="0">
      <selection activeCell="D10" sqref="D10"/>
    </sheetView>
  </sheetViews>
  <sheetFormatPr defaultRowHeight="49.95" customHeight="1" x14ac:dyDescent="0.35"/>
  <cols>
    <col min="1" max="1" width="43.5546875" style="24" customWidth="1"/>
    <col min="2" max="2" width="76.44140625" style="17" customWidth="1"/>
    <col min="3" max="3" width="47.6640625" style="24" customWidth="1"/>
    <col min="4" max="4" width="83.44140625" customWidth="1"/>
    <col min="5" max="5" width="62.33203125" style="24" customWidth="1"/>
    <col min="6" max="6" width="111.21875" customWidth="1"/>
  </cols>
  <sheetData>
    <row r="1" spans="1:6" ht="27.45" customHeight="1" x14ac:dyDescent="0.3">
      <c r="A1" s="21" t="s">
        <v>2</v>
      </c>
      <c r="B1" s="15" t="s">
        <v>16</v>
      </c>
      <c r="C1" s="25" t="s">
        <v>3</v>
      </c>
      <c r="D1" s="16" t="s">
        <v>16</v>
      </c>
      <c r="E1" s="26" t="s">
        <v>4</v>
      </c>
      <c r="F1" s="18" t="s">
        <v>16</v>
      </c>
    </row>
    <row r="2" spans="1:6" ht="49.95" customHeight="1" x14ac:dyDescent="0.3">
      <c r="A2" s="22" t="s">
        <v>6</v>
      </c>
      <c r="B2" s="19" t="s">
        <v>86</v>
      </c>
      <c r="C2" s="22" t="s">
        <v>83</v>
      </c>
      <c r="D2" s="19" t="s">
        <v>78</v>
      </c>
      <c r="E2" s="22" t="s">
        <v>94</v>
      </c>
      <c r="F2" s="19" t="s">
        <v>96</v>
      </c>
    </row>
    <row r="3" spans="1:6" ht="49.95" customHeight="1" x14ac:dyDescent="0.3">
      <c r="A3" s="23" t="s">
        <v>81</v>
      </c>
      <c r="B3" s="20" t="s">
        <v>87</v>
      </c>
      <c r="C3" s="23" t="s">
        <v>79</v>
      </c>
      <c r="D3" s="20" t="s">
        <v>89</v>
      </c>
      <c r="E3" s="23" t="s">
        <v>95</v>
      </c>
      <c r="F3" s="20" t="s">
        <v>97</v>
      </c>
    </row>
    <row r="4" spans="1:6" ht="49.95" customHeight="1" x14ac:dyDescent="0.3">
      <c r="A4" s="22" t="s">
        <v>80</v>
      </c>
      <c r="B4" s="19" t="s">
        <v>88</v>
      </c>
      <c r="C4" s="22" t="s">
        <v>84</v>
      </c>
      <c r="D4" s="19" t="s">
        <v>90</v>
      </c>
      <c r="E4" s="22" t="s">
        <v>92</v>
      </c>
      <c r="F4" s="19" t="s">
        <v>100</v>
      </c>
    </row>
    <row r="5" spans="1:6" ht="49.95" customHeight="1" x14ac:dyDescent="0.3">
      <c r="A5" s="23"/>
      <c r="B5" s="13"/>
      <c r="C5" s="23" t="s">
        <v>9</v>
      </c>
      <c r="D5" s="13" t="s">
        <v>22</v>
      </c>
      <c r="E5" s="23" t="s">
        <v>91</v>
      </c>
      <c r="F5" s="20" t="s">
        <v>99</v>
      </c>
    </row>
    <row r="6" spans="1:6" ht="49.95" customHeight="1" x14ac:dyDescent="0.35">
      <c r="E6" s="23" t="s">
        <v>93</v>
      </c>
      <c r="F6" s="30" t="s">
        <v>98</v>
      </c>
    </row>
  </sheetData>
  <pageMargins left="0.7" right="0.7" top="0.75" bottom="0.75" header="0.3" footer="0.3"/>
  <customProperties>
    <customPr name="IbpWorksheetKeyString_GUID" r:id="rId1"/>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93E914-0A56-417D-B2EA-385EA837E6E0}">
  <sheetPr codeName="Sheet2">
    <tabColor rgb="FFFFFF99"/>
  </sheetPr>
  <dimension ref="A1:I20"/>
  <sheetViews>
    <sheetView zoomScale="115" zoomScaleNormal="115" workbookViewId="0">
      <selection activeCell="D14" sqref="D14"/>
    </sheetView>
  </sheetViews>
  <sheetFormatPr defaultRowHeight="14.4" x14ac:dyDescent="0.3"/>
  <cols>
    <col min="1" max="1" width="29.77734375" customWidth="1"/>
    <col min="2" max="2" width="37.77734375" customWidth="1"/>
    <col min="3" max="3" width="57.21875" style="14" customWidth="1"/>
    <col min="4" max="4" width="46.77734375" style="10" customWidth="1"/>
    <col min="5" max="5" width="23.5546875" style="14" customWidth="1"/>
    <col min="7" max="7" width="8.77734375" style="32"/>
    <col min="8" max="8" width="13.5546875" style="11" customWidth="1"/>
    <col min="9" max="9" width="71.77734375" style="10" customWidth="1"/>
  </cols>
  <sheetData>
    <row r="1" spans="1:9" ht="15" thickBot="1" x14ac:dyDescent="0.35">
      <c r="A1" s="72" t="s">
        <v>10</v>
      </c>
      <c r="B1" s="73"/>
      <c r="C1" s="73"/>
      <c r="D1" s="74"/>
      <c r="G1" s="72" t="s">
        <v>11</v>
      </c>
      <c r="H1" s="73"/>
      <c r="I1" s="74"/>
    </row>
    <row r="2" spans="1:9" ht="15.6" x14ac:dyDescent="0.3">
      <c r="A2" s="2" t="s">
        <v>2</v>
      </c>
      <c r="B2" s="5" t="s">
        <v>3</v>
      </c>
      <c r="C2" s="6" t="s">
        <v>4</v>
      </c>
      <c r="D2" s="31" t="s">
        <v>5</v>
      </c>
      <c r="E2" s="7" t="s">
        <v>17</v>
      </c>
      <c r="G2" s="32" t="s">
        <v>12</v>
      </c>
      <c r="H2" s="10" t="s">
        <v>13</v>
      </c>
      <c r="I2" s="10" t="s">
        <v>14</v>
      </c>
    </row>
    <row r="3" spans="1:9" ht="45" customHeight="1" x14ac:dyDescent="0.3">
      <c r="A3" s="13" t="s">
        <v>6</v>
      </c>
      <c r="B3" s="13" t="s">
        <v>83</v>
      </c>
      <c r="C3" s="13" t="s">
        <v>94</v>
      </c>
      <c r="D3" s="13" t="s">
        <v>117</v>
      </c>
      <c r="E3" s="10" t="s">
        <v>21</v>
      </c>
      <c r="G3" s="32">
        <v>1.3</v>
      </c>
      <c r="H3" s="11">
        <v>44575</v>
      </c>
      <c r="I3" s="12" t="s">
        <v>15</v>
      </c>
    </row>
    <row r="4" spans="1:9" ht="45" customHeight="1" x14ac:dyDescent="0.3">
      <c r="A4" s="13" t="s">
        <v>81</v>
      </c>
      <c r="B4" s="13" t="s">
        <v>79</v>
      </c>
      <c r="C4" s="13" t="s">
        <v>95</v>
      </c>
      <c r="D4" s="13" t="s">
        <v>116</v>
      </c>
      <c r="E4" s="14" t="s">
        <v>19</v>
      </c>
      <c r="G4" s="32">
        <v>1.4</v>
      </c>
      <c r="H4" s="11">
        <v>44579</v>
      </c>
      <c r="I4" s="12" t="s">
        <v>77</v>
      </c>
    </row>
    <row r="5" spans="1:9" ht="45" customHeight="1" x14ac:dyDescent="0.3">
      <c r="A5" s="13" t="s">
        <v>80</v>
      </c>
      <c r="B5" s="13" t="s">
        <v>84</v>
      </c>
      <c r="C5" s="13" t="s">
        <v>92</v>
      </c>
      <c r="D5" s="13"/>
      <c r="G5" s="32">
        <v>1.5</v>
      </c>
      <c r="H5" s="11">
        <v>44599</v>
      </c>
      <c r="I5" s="12" t="s">
        <v>102</v>
      </c>
    </row>
    <row r="6" spans="1:9" ht="45" customHeight="1" x14ac:dyDescent="0.3">
      <c r="A6" s="13" t="s">
        <v>107</v>
      </c>
      <c r="B6" s="13" t="s">
        <v>118</v>
      </c>
      <c r="C6" s="13" t="s">
        <v>91</v>
      </c>
      <c r="D6" s="13"/>
      <c r="G6" s="32">
        <v>1.6</v>
      </c>
      <c r="H6" s="11">
        <v>44603</v>
      </c>
      <c r="I6" s="12" t="s">
        <v>101</v>
      </c>
    </row>
    <row r="7" spans="1:9" ht="45" customHeight="1" x14ac:dyDescent="0.3">
      <c r="B7" s="10" t="s">
        <v>105</v>
      </c>
      <c r="C7" s="10" t="s">
        <v>93</v>
      </c>
      <c r="G7" s="32">
        <v>1.7</v>
      </c>
      <c r="H7" s="11">
        <v>44614</v>
      </c>
      <c r="I7" s="10" t="s">
        <v>103</v>
      </c>
    </row>
    <row r="8" spans="1:9" ht="45" customHeight="1" x14ac:dyDescent="0.3">
      <c r="B8" s="10" t="s">
        <v>106</v>
      </c>
      <c r="C8" s="14" t="s">
        <v>109</v>
      </c>
      <c r="G8" s="32">
        <v>1.8</v>
      </c>
      <c r="H8" s="11">
        <v>44621</v>
      </c>
      <c r="I8" s="10" t="s">
        <v>104</v>
      </c>
    </row>
    <row r="9" spans="1:9" ht="45" customHeight="1" x14ac:dyDescent="0.3">
      <c r="B9" s="10" t="s">
        <v>108</v>
      </c>
      <c r="G9" s="32">
        <v>2</v>
      </c>
      <c r="H9" s="11">
        <v>44655</v>
      </c>
      <c r="I9" s="10" t="s">
        <v>110</v>
      </c>
    </row>
    <row r="10" spans="1:9" ht="45" customHeight="1" x14ac:dyDescent="0.3">
      <c r="B10" s="14" t="s">
        <v>171</v>
      </c>
      <c r="G10" s="32">
        <v>2.1</v>
      </c>
      <c r="H10" s="11">
        <v>44669</v>
      </c>
      <c r="I10" s="10" t="s">
        <v>111</v>
      </c>
    </row>
    <row r="11" spans="1:9" ht="45" customHeight="1" x14ac:dyDescent="0.3">
      <c r="G11" s="32">
        <v>2.2000000000000002</v>
      </c>
      <c r="H11" s="11">
        <v>44678</v>
      </c>
      <c r="I11" s="12" t="s">
        <v>112</v>
      </c>
    </row>
    <row r="12" spans="1:9" ht="45" customHeight="1" x14ac:dyDescent="0.3">
      <c r="G12" s="32">
        <v>2.8</v>
      </c>
      <c r="H12" s="11">
        <v>44776</v>
      </c>
      <c r="I12" s="12" t="s">
        <v>120</v>
      </c>
    </row>
    <row r="13" spans="1:9" ht="45" customHeight="1" x14ac:dyDescent="0.3">
      <c r="G13" s="32">
        <v>3</v>
      </c>
      <c r="H13" s="11">
        <v>44830</v>
      </c>
      <c r="I13" s="12" t="s">
        <v>169</v>
      </c>
    </row>
    <row r="14" spans="1:9" ht="45" customHeight="1" x14ac:dyDescent="0.3">
      <c r="G14" s="32">
        <v>3.1</v>
      </c>
      <c r="H14" s="11">
        <v>44847</v>
      </c>
      <c r="I14" s="10" t="s">
        <v>170</v>
      </c>
    </row>
    <row r="15" spans="1:9" ht="45" customHeight="1" x14ac:dyDescent="0.3">
      <c r="G15" s="32">
        <v>3.2</v>
      </c>
      <c r="H15" s="11">
        <v>44859</v>
      </c>
      <c r="I15" s="12" t="s">
        <v>172</v>
      </c>
    </row>
    <row r="16" spans="1:9" ht="45" customHeight="1" x14ac:dyDescent="0.3"/>
    <row r="17" ht="45" customHeight="1" x14ac:dyDescent="0.3"/>
    <row r="18" ht="45" customHeight="1" x14ac:dyDescent="0.3"/>
    <row r="19" ht="45" customHeight="1" x14ac:dyDescent="0.3"/>
    <row r="20" ht="45" customHeight="1" x14ac:dyDescent="0.3"/>
  </sheetData>
  <mergeCells count="2">
    <mergeCell ref="A1:D1"/>
    <mergeCell ref="G1:I1"/>
  </mergeCells>
  <pageMargins left="0.7" right="0.7" top="0.75" bottom="0.75" header="0.3" footer="0.3"/>
  <customProperties>
    <customPr name="IbpWorksheetKeyString_GUID" r:id="rId1"/>
  </customProperties>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E737EE-3B5E-4E12-B5F3-E0AE422D6F65}">
  <sheetPr codeName="Sheet11"/>
  <dimension ref="A1:B58"/>
  <sheetViews>
    <sheetView workbookViewId="0">
      <selection activeCell="B13" sqref="B13"/>
    </sheetView>
  </sheetViews>
  <sheetFormatPr defaultRowHeight="14.4" x14ac:dyDescent="0.3"/>
  <cols>
    <col min="1" max="1" width="15.21875" customWidth="1"/>
    <col min="2" max="2" width="19.21875" customWidth="1"/>
  </cols>
  <sheetData>
    <row r="1" spans="1:2" x14ac:dyDescent="0.3">
      <c r="A1" s="27" t="s">
        <v>23</v>
      </c>
      <c r="B1" t="s">
        <v>121</v>
      </c>
    </row>
    <row r="2" spans="1:2" x14ac:dyDescent="0.3">
      <c r="A2" s="28" t="s">
        <v>47</v>
      </c>
      <c r="B2" s="33" t="s">
        <v>119</v>
      </c>
    </row>
    <row r="3" spans="1:2" x14ac:dyDescent="0.3">
      <c r="A3" s="28" t="s">
        <v>30</v>
      </c>
    </row>
    <row r="4" spans="1:2" x14ac:dyDescent="0.3">
      <c r="A4" s="28" t="s">
        <v>32</v>
      </c>
    </row>
    <row r="5" spans="1:2" x14ac:dyDescent="0.3">
      <c r="A5" s="28" t="s">
        <v>35</v>
      </c>
    </row>
    <row r="6" spans="1:2" x14ac:dyDescent="0.3">
      <c r="A6" s="28" t="s">
        <v>36</v>
      </c>
    </row>
    <row r="7" spans="1:2" x14ac:dyDescent="0.3">
      <c r="A7" s="28" t="s">
        <v>41</v>
      </c>
    </row>
    <row r="8" spans="1:2" x14ac:dyDescent="0.3">
      <c r="A8" s="28" t="s">
        <v>48</v>
      </c>
    </row>
    <row r="9" spans="1:2" x14ac:dyDescent="0.3">
      <c r="A9" s="28" t="s">
        <v>49</v>
      </c>
    </row>
    <row r="10" spans="1:2" x14ac:dyDescent="0.3">
      <c r="A10" s="28" t="s">
        <v>44</v>
      </c>
    </row>
    <row r="11" spans="1:2" x14ac:dyDescent="0.3">
      <c r="A11" s="28" t="s">
        <v>46</v>
      </c>
    </row>
    <row r="12" spans="1:2" x14ac:dyDescent="0.3">
      <c r="A12" s="28" t="s">
        <v>24</v>
      </c>
    </row>
    <row r="13" spans="1:2" x14ac:dyDescent="0.3">
      <c r="A13" s="28" t="s">
        <v>25</v>
      </c>
    </row>
    <row r="14" spans="1:2" x14ac:dyDescent="0.3">
      <c r="A14" s="28" t="s">
        <v>42</v>
      </c>
    </row>
    <row r="15" spans="1:2" x14ac:dyDescent="0.3">
      <c r="A15" s="28" t="s">
        <v>43</v>
      </c>
    </row>
    <row r="16" spans="1:2" x14ac:dyDescent="0.3">
      <c r="A16" s="28" t="s">
        <v>32</v>
      </c>
    </row>
    <row r="17" spans="1:1" x14ac:dyDescent="0.3">
      <c r="A17" s="28" t="s">
        <v>31</v>
      </c>
    </row>
    <row r="18" spans="1:1" x14ac:dyDescent="0.3">
      <c r="A18" s="28" t="s">
        <v>39</v>
      </c>
    </row>
    <row r="19" spans="1:1" x14ac:dyDescent="0.3">
      <c r="A19" s="28" t="s">
        <v>40</v>
      </c>
    </row>
    <row r="20" spans="1:1" x14ac:dyDescent="0.3">
      <c r="A20" s="28" t="s">
        <v>26</v>
      </c>
    </row>
    <row r="21" spans="1:1" x14ac:dyDescent="0.3">
      <c r="A21" s="28" t="s">
        <v>27</v>
      </c>
    </row>
    <row r="22" spans="1:1" x14ac:dyDescent="0.3">
      <c r="A22" s="28" t="s">
        <v>50</v>
      </c>
    </row>
    <row r="23" spans="1:1" x14ac:dyDescent="0.3">
      <c r="A23" s="28" t="s">
        <v>51</v>
      </c>
    </row>
    <row r="24" spans="1:1" x14ac:dyDescent="0.3">
      <c r="A24" s="28" t="s">
        <v>52</v>
      </c>
    </row>
    <row r="25" spans="1:1" x14ac:dyDescent="0.3">
      <c r="A25" s="14" t="s">
        <v>53</v>
      </c>
    </row>
    <row r="26" spans="1:1" x14ac:dyDescent="0.3">
      <c r="A26" s="14" t="s">
        <v>54</v>
      </c>
    </row>
    <row r="27" spans="1:1" x14ac:dyDescent="0.3">
      <c r="A27" s="14" t="s">
        <v>55</v>
      </c>
    </row>
    <row r="28" spans="1:1" x14ac:dyDescent="0.3">
      <c r="A28" s="14" t="s">
        <v>37</v>
      </c>
    </row>
    <row r="29" spans="1:1" x14ac:dyDescent="0.3">
      <c r="A29" s="14" t="s">
        <v>37</v>
      </c>
    </row>
    <row r="30" spans="1:1" x14ac:dyDescent="0.3">
      <c r="A30" s="14" t="s">
        <v>45</v>
      </c>
    </row>
    <row r="31" spans="1:1" x14ac:dyDescent="0.3">
      <c r="A31" s="14" t="s">
        <v>45</v>
      </c>
    </row>
    <row r="32" spans="1:1" x14ac:dyDescent="0.3">
      <c r="A32" s="14" t="s">
        <v>33</v>
      </c>
    </row>
    <row r="33" spans="1:1" x14ac:dyDescent="0.3">
      <c r="A33" s="14" t="s">
        <v>33</v>
      </c>
    </row>
    <row r="34" spans="1:1" x14ac:dyDescent="0.3">
      <c r="A34" s="14" t="s">
        <v>34</v>
      </c>
    </row>
    <row r="35" spans="1:1" x14ac:dyDescent="0.3">
      <c r="A35" s="29" t="s">
        <v>28</v>
      </c>
    </row>
    <row r="36" spans="1:1" x14ac:dyDescent="0.3">
      <c r="A36" s="29" t="s">
        <v>29</v>
      </c>
    </row>
    <row r="37" spans="1:1" x14ac:dyDescent="0.3">
      <c r="A37" s="14" t="s">
        <v>38</v>
      </c>
    </row>
    <row r="38" spans="1:1" x14ac:dyDescent="0.3">
      <c r="A38" t="s">
        <v>56</v>
      </c>
    </row>
    <row r="39" spans="1:1" x14ac:dyDescent="0.3">
      <c r="A39" t="s">
        <v>57</v>
      </c>
    </row>
    <row r="40" spans="1:1" x14ac:dyDescent="0.3">
      <c r="A40" t="s">
        <v>58</v>
      </c>
    </row>
    <row r="41" spans="1:1" x14ac:dyDescent="0.3">
      <c r="A41" t="s">
        <v>59</v>
      </c>
    </row>
    <row r="42" spans="1:1" x14ac:dyDescent="0.3">
      <c r="A42" t="s">
        <v>60</v>
      </c>
    </row>
    <row r="43" spans="1:1" x14ac:dyDescent="0.3">
      <c r="A43" t="s">
        <v>61</v>
      </c>
    </row>
    <row r="44" spans="1:1" x14ac:dyDescent="0.3">
      <c r="A44" t="s">
        <v>62</v>
      </c>
    </row>
    <row r="45" spans="1:1" x14ac:dyDescent="0.3">
      <c r="A45" t="s">
        <v>63</v>
      </c>
    </row>
    <row r="46" spans="1:1" x14ac:dyDescent="0.3">
      <c r="A46" t="s">
        <v>64</v>
      </c>
    </row>
    <row r="47" spans="1:1" x14ac:dyDescent="0.3">
      <c r="A47" t="s">
        <v>65</v>
      </c>
    </row>
    <row r="48" spans="1:1" x14ac:dyDescent="0.3">
      <c r="A48" t="s">
        <v>66</v>
      </c>
    </row>
    <row r="49" spans="1:1" x14ac:dyDescent="0.3">
      <c r="A49" t="s">
        <v>67</v>
      </c>
    </row>
    <row r="50" spans="1:1" x14ac:dyDescent="0.3">
      <c r="A50" t="s">
        <v>68</v>
      </c>
    </row>
    <row r="51" spans="1:1" x14ac:dyDescent="0.3">
      <c r="A51" t="s">
        <v>69</v>
      </c>
    </row>
    <row r="52" spans="1:1" x14ac:dyDescent="0.3">
      <c r="A52" t="s">
        <v>70</v>
      </c>
    </row>
    <row r="53" spans="1:1" x14ac:dyDescent="0.3">
      <c r="A53" t="s">
        <v>71</v>
      </c>
    </row>
    <row r="54" spans="1:1" x14ac:dyDescent="0.3">
      <c r="A54" t="s">
        <v>72</v>
      </c>
    </row>
    <row r="55" spans="1:1" x14ac:dyDescent="0.3">
      <c r="A55" t="s">
        <v>73</v>
      </c>
    </row>
    <row r="56" spans="1:1" x14ac:dyDescent="0.3">
      <c r="A56" t="s">
        <v>74</v>
      </c>
    </row>
    <row r="57" spans="1:1" x14ac:dyDescent="0.3">
      <c r="A57" t="s">
        <v>75</v>
      </c>
    </row>
    <row r="58" spans="1:1" x14ac:dyDescent="0.3">
      <c r="A58" t="s">
        <v>76</v>
      </c>
    </row>
  </sheetData>
  <pageMargins left="0.7" right="0.7" top="0.75" bottom="0.75" header="0.3" footer="0.3"/>
  <customProperties>
    <customPr name="IbpWorksheetKeyString_GUID" r:id="rId1"/>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0045E7-AF56-45CD-B74F-28513AEFBABB}">
  <dimension ref="A1:AF1288"/>
  <sheetViews>
    <sheetView topLeftCell="B51" zoomScale="175" zoomScaleNormal="175" workbookViewId="0">
      <selection activeCell="M76" sqref="M76"/>
    </sheetView>
  </sheetViews>
  <sheetFormatPr defaultRowHeight="14.4" x14ac:dyDescent="0.3"/>
  <cols>
    <col min="1" max="1" width="16" bestFit="1" customWidth="1"/>
    <col min="2" max="2" width="17.77734375" bestFit="1" customWidth="1"/>
    <col min="3" max="3" width="29.33203125" bestFit="1" customWidth="1"/>
    <col min="4" max="4" width="16" bestFit="1" customWidth="1"/>
    <col min="5" max="5" width="17.6640625" bestFit="1" customWidth="1"/>
    <col min="6" max="6" width="31.21875" bestFit="1" customWidth="1"/>
    <col min="7" max="7" width="10.5546875" bestFit="1" customWidth="1"/>
    <col min="8" max="8" width="8.88671875" bestFit="1" customWidth="1"/>
    <col min="9" max="10" width="9.77734375" bestFit="1" customWidth="1"/>
    <col min="11" max="14" width="10.77734375" bestFit="1" customWidth="1"/>
    <col min="15" max="15" width="9.77734375" bestFit="1" customWidth="1"/>
    <col min="16" max="18" width="10.77734375" bestFit="1" customWidth="1"/>
    <col min="19" max="19" width="9.77734375" bestFit="1" customWidth="1"/>
    <col min="20" max="22" width="10.77734375" bestFit="1" customWidth="1"/>
    <col min="23" max="24" width="9.5546875" bestFit="1" customWidth="1"/>
    <col min="25" max="27" width="9.77734375" bestFit="1" customWidth="1"/>
    <col min="28" max="28" width="9.5546875" bestFit="1" customWidth="1"/>
    <col min="29" max="31" width="9.77734375" bestFit="1" customWidth="1"/>
    <col min="32" max="32" width="9.5546875" bestFit="1" customWidth="1"/>
  </cols>
  <sheetData>
    <row r="1" spans="1:32" ht="15" thickBot="1" x14ac:dyDescent="0.35">
      <c r="A1" s="37" t="s">
        <v>113</v>
      </c>
      <c r="B1" s="37" t="s">
        <v>125</v>
      </c>
      <c r="C1" s="37" t="s">
        <v>126</v>
      </c>
      <c r="D1" s="37" t="s">
        <v>123</v>
      </c>
      <c r="E1" s="37" t="s">
        <v>122</v>
      </c>
      <c r="F1" s="37" t="s">
        <v>114</v>
      </c>
      <c r="G1" s="37" t="s">
        <v>127</v>
      </c>
      <c r="H1" s="42" t="s">
        <v>128</v>
      </c>
      <c r="I1" s="43">
        <v>44830</v>
      </c>
      <c r="J1" s="43">
        <v>44837</v>
      </c>
      <c r="K1" s="43">
        <v>44844</v>
      </c>
      <c r="L1" s="43">
        <v>44851</v>
      </c>
      <c r="M1" s="43">
        <v>44858</v>
      </c>
      <c r="N1" s="43">
        <v>44865</v>
      </c>
      <c r="O1" s="43">
        <v>44872</v>
      </c>
      <c r="P1" s="43">
        <v>44879</v>
      </c>
      <c r="Q1" s="43">
        <v>44886</v>
      </c>
      <c r="R1" s="43">
        <v>44893</v>
      </c>
      <c r="S1" s="43">
        <v>44900</v>
      </c>
      <c r="T1" s="43">
        <v>44907</v>
      </c>
      <c r="U1" s="43">
        <v>44914</v>
      </c>
      <c r="V1" s="43">
        <v>44921</v>
      </c>
      <c r="W1" s="43">
        <v>44928</v>
      </c>
      <c r="X1" s="43">
        <v>44935</v>
      </c>
      <c r="Y1" s="43">
        <v>44942</v>
      </c>
      <c r="Z1" s="43">
        <v>44949</v>
      </c>
      <c r="AA1" s="43">
        <v>44956</v>
      </c>
      <c r="AB1" s="43">
        <v>44963</v>
      </c>
      <c r="AC1" s="43">
        <v>44970</v>
      </c>
      <c r="AD1" s="43">
        <v>44977</v>
      </c>
      <c r="AE1" s="43">
        <v>44984</v>
      </c>
      <c r="AF1" s="43">
        <v>44991</v>
      </c>
    </row>
    <row r="2" spans="1:32" x14ac:dyDescent="0.3">
      <c r="A2" s="38" t="s">
        <v>173</v>
      </c>
      <c r="B2" s="38" t="s">
        <v>174</v>
      </c>
      <c r="C2" s="38" t="s">
        <v>175</v>
      </c>
      <c r="D2" s="39" t="s">
        <v>176</v>
      </c>
      <c r="E2" s="39" t="s">
        <v>177</v>
      </c>
      <c r="F2" s="38" t="s">
        <v>129</v>
      </c>
      <c r="G2" s="38" t="s">
        <v>130</v>
      </c>
      <c r="H2" s="44">
        <v>600</v>
      </c>
      <c r="I2" s="44">
        <v>600</v>
      </c>
      <c r="J2" s="44"/>
      <c r="K2" s="44"/>
      <c r="L2" s="44"/>
      <c r="M2" s="44"/>
      <c r="N2" s="44"/>
      <c r="O2" s="44"/>
      <c r="P2" s="44"/>
      <c r="Q2" s="44"/>
      <c r="R2" s="44"/>
      <c r="S2" s="44"/>
      <c r="T2" s="44"/>
      <c r="U2" s="44"/>
      <c r="V2" s="44"/>
      <c r="W2" s="44"/>
      <c r="X2" s="44"/>
      <c r="Y2" s="44"/>
      <c r="Z2" s="44"/>
      <c r="AA2" s="44"/>
      <c r="AB2" s="44"/>
      <c r="AC2" s="44"/>
      <c r="AD2" s="44"/>
      <c r="AE2" s="44"/>
      <c r="AF2" s="44"/>
    </row>
    <row r="3" spans="1:32" x14ac:dyDescent="0.3">
      <c r="A3" s="38" t="s">
        <v>173</v>
      </c>
      <c r="B3" s="38" t="s">
        <v>174</v>
      </c>
      <c r="C3" s="38" t="s">
        <v>175</v>
      </c>
      <c r="D3" s="39" t="s">
        <v>176</v>
      </c>
      <c r="E3" s="39" t="s">
        <v>177</v>
      </c>
      <c r="F3" s="38" t="s">
        <v>131</v>
      </c>
      <c r="G3" s="38" t="s">
        <v>130</v>
      </c>
      <c r="H3" s="44">
        <v>17671</v>
      </c>
      <c r="I3" s="44">
        <v>1681</v>
      </c>
      <c r="J3" s="44">
        <v>1482</v>
      </c>
      <c r="K3" s="44">
        <v>1409</v>
      </c>
      <c r="L3" s="44">
        <v>1401</v>
      </c>
      <c r="M3" s="44">
        <v>741</v>
      </c>
      <c r="N3" s="44">
        <v>629</v>
      </c>
      <c r="O3" s="44">
        <v>645</v>
      </c>
      <c r="P3" s="44">
        <v>657</v>
      </c>
      <c r="Q3" s="44">
        <v>574</v>
      </c>
      <c r="R3" s="44">
        <v>481</v>
      </c>
      <c r="S3" s="44">
        <v>479</v>
      </c>
      <c r="T3" s="44">
        <v>465</v>
      </c>
      <c r="U3" s="44">
        <v>463</v>
      </c>
      <c r="V3" s="44">
        <v>398</v>
      </c>
      <c r="W3" s="44">
        <v>396</v>
      </c>
      <c r="X3" s="44">
        <v>385</v>
      </c>
      <c r="Y3" s="44">
        <v>385</v>
      </c>
      <c r="Z3" s="44">
        <v>733</v>
      </c>
      <c r="AA3" s="44">
        <v>877</v>
      </c>
      <c r="AB3" s="44">
        <v>843</v>
      </c>
      <c r="AC3" s="44">
        <v>827</v>
      </c>
      <c r="AD3" s="44">
        <v>628</v>
      </c>
      <c r="AE3" s="44">
        <v>542</v>
      </c>
      <c r="AF3" s="44">
        <v>550</v>
      </c>
    </row>
    <row r="4" spans="1:32" x14ac:dyDescent="0.3">
      <c r="A4" s="38" t="s">
        <v>173</v>
      </c>
      <c r="B4" s="38" t="s">
        <v>174</v>
      </c>
      <c r="C4" s="38" t="s">
        <v>175</v>
      </c>
      <c r="D4" s="39" t="s">
        <v>176</v>
      </c>
      <c r="E4" s="39" t="s">
        <v>177</v>
      </c>
      <c r="F4" s="38" t="s">
        <v>132</v>
      </c>
      <c r="G4" s="38" t="s">
        <v>130</v>
      </c>
      <c r="H4" s="44">
        <v>0</v>
      </c>
      <c r="I4" s="44">
        <v>0</v>
      </c>
      <c r="J4" s="44"/>
      <c r="K4" s="44"/>
      <c r="L4" s="44"/>
      <c r="M4" s="44"/>
      <c r="N4" s="44"/>
      <c r="O4" s="44"/>
      <c r="P4" s="44"/>
      <c r="Q4" s="44"/>
      <c r="R4" s="44"/>
      <c r="S4" s="44"/>
      <c r="T4" s="44"/>
      <c r="U4" s="44"/>
      <c r="V4" s="44"/>
      <c r="W4" s="44"/>
      <c r="X4" s="44"/>
      <c r="Y4" s="44"/>
      <c r="Z4" s="44"/>
      <c r="AA4" s="44"/>
      <c r="AB4" s="44"/>
      <c r="AC4" s="44"/>
      <c r="AD4" s="44"/>
      <c r="AE4" s="44"/>
      <c r="AF4" s="44"/>
    </row>
    <row r="5" spans="1:32" x14ac:dyDescent="0.3">
      <c r="A5" s="38" t="s">
        <v>173</v>
      </c>
      <c r="B5" s="38" t="s">
        <v>174</v>
      </c>
      <c r="C5" s="38" t="s">
        <v>175</v>
      </c>
      <c r="D5" s="39" t="s">
        <v>176</v>
      </c>
      <c r="E5" s="39" t="s">
        <v>177</v>
      </c>
      <c r="F5" s="38" t="s">
        <v>133</v>
      </c>
      <c r="G5" s="38" t="s">
        <v>130</v>
      </c>
      <c r="H5" s="44">
        <v>0</v>
      </c>
      <c r="I5" s="44">
        <v>0</v>
      </c>
      <c r="J5" s="44"/>
      <c r="K5" s="44"/>
      <c r="L5" s="44"/>
      <c r="M5" s="44"/>
      <c r="N5" s="44"/>
      <c r="O5" s="44"/>
      <c r="P5" s="44"/>
      <c r="Q5" s="44"/>
      <c r="R5" s="44"/>
      <c r="S5" s="44"/>
      <c r="T5" s="44"/>
      <c r="U5" s="44"/>
      <c r="V5" s="44"/>
      <c r="W5" s="44"/>
      <c r="X5" s="44"/>
      <c r="Y5" s="44"/>
      <c r="Z5" s="44"/>
      <c r="AA5" s="44"/>
      <c r="AB5" s="44"/>
      <c r="AC5" s="44"/>
      <c r="AD5" s="44"/>
      <c r="AE5" s="44"/>
      <c r="AF5" s="44"/>
    </row>
    <row r="6" spans="1:32" x14ac:dyDescent="0.3">
      <c r="A6" s="38" t="s">
        <v>173</v>
      </c>
      <c r="B6" s="38" t="s">
        <v>174</v>
      </c>
      <c r="C6" s="38" t="s">
        <v>175</v>
      </c>
      <c r="D6" s="39" t="s">
        <v>176</v>
      </c>
      <c r="E6" s="39" t="s">
        <v>177</v>
      </c>
      <c r="F6" s="38" t="s">
        <v>134</v>
      </c>
      <c r="G6" s="38" t="s">
        <v>130</v>
      </c>
      <c r="H6" s="44">
        <v>0</v>
      </c>
      <c r="I6" s="44">
        <v>0</v>
      </c>
      <c r="J6" s="44"/>
      <c r="K6" s="44"/>
      <c r="L6" s="44"/>
      <c r="M6" s="44"/>
      <c r="N6" s="44"/>
      <c r="O6" s="44"/>
      <c r="P6" s="44"/>
      <c r="Q6" s="44"/>
      <c r="R6" s="44"/>
      <c r="S6" s="44"/>
      <c r="T6" s="44"/>
      <c r="U6" s="44"/>
      <c r="V6" s="44"/>
      <c r="W6" s="44"/>
      <c r="X6" s="44"/>
      <c r="Y6" s="44"/>
      <c r="Z6" s="44"/>
      <c r="AA6" s="44"/>
      <c r="AB6" s="44"/>
      <c r="AC6" s="44"/>
      <c r="AD6" s="44"/>
      <c r="AE6" s="44"/>
      <c r="AF6" s="44"/>
    </row>
    <row r="7" spans="1:32" x14ac:dyDescent="0.3">
      <c r="A7" s="38" t="s">
        <v>173</v>
      </c>
      <c r="B7" s="38" t="s">
        <v>174</v>
      </c>
      <c r="C7" s="38" t="s">
        <v>175</v>
      </c>
      <c r="D7" s="39" t="s">
        <v>176</v>
      </c>
      <c r="E7" s="39" t="s">
        <v>177</v>
      </c>
      <c r="F7" s="38" t="s">
        <v>135</v>
      </c>
      <c r="G7" s="38" t="s">
        <v>130</v>
      </c>
      <c r="H7" s="44"/>
      <c r="I7" s="44"/>
      <c r="J7" s="44"/>
      <c r="K7" s="44"/>
      <c r="L7" s="44"/>
      <c r="M7" s="44"/>
      <c r="N7" s="44"/>
      <c r="O7" s="44"/>
      <c r="P7" s="44"/>
      <c r="Q7" s="44"/>
      <c r="R7" s="44"/>
      <c r="S7" s="44"/>
      <c r="T7" s="44"/>
      <c r="U7" s="44"/>
      <c r="V7" s="44"/>
      <c r="W7" s="44"/>
      <c r="X7" s="44"/>
      <c r="Y7" s="44"/>
      <c r="Z7" s="44"/>
      <c r="AA7" s="44"/>
      <c r="AB7" s="44"/>
      <c r="AC7" s="44"/>
      <c r="AD7" s="44"/>
      <c r="AE7" s="44"/>
      <c r="AF7" s="44"/>
    </row>
    <row r="8" spans="1:32" x14ac:dyDescent="0.3">
      <c r="A8" s="38" t="s">
        <v>173</v>
      </c>
      <c r="B8" s="38" t="s">
        <v>174</v>
      </c>
      <c r="C8" s="38" t="s">
        <v>175</v>
      </c>
      <c r="D8" s="39" t="s">
        <v>176</v>
      </c>
      <c r="E8" s="39" t="s">
        <v>177</v>
      </c>
      <c r="F8" s="38" t="s">
        <v>136</v>
      </c>
      <c r="G8" s="38" t="s">
        <v>130</v>
      </c>
      <c r="H8" s="44">
        <f>SUM(I8:AF8)</f>
        <v>0</v>
      </c>
      <c r="I8" s="44">
        <f t="shared" ref="I8:AF8" si="0">IF(AND(ISBLANK(I11) = TRUE,ISBLANK(I10) = TRUE),I9,I10+I11)</f>
        <v>0</v>
      </c>
      <c r="J8" s="44">
        <f t="shared" si="0"/>
        <v>0</v>
      </c>
      <c r="K8" s="44">
        <f t="shared" si="0"/>
        <v>0</v>
      </c>
      <c r="L8" s="44">
        <f t="shared" si="0"/>
        <v>0</v>
      </c>
      <c r="M8" s="44">
        <f t="shared" si="0"/>
        <v>0</v>
      </c>
      <c r="N8" s="44">
        <f t="shared" si="0"/>
        <v>0</v>
      </c>
      <c r="O8" s="44">
        <f t="shared" si="0"/>
        <v>0</v>
      </c>
      <c r="P8" s="44">
        <f t="shared" si="0"/>
        <v>0</v>
      </c>
      <c r="Q8" s="44">
        <f t="shared" si="0"/>
        <v>0</v>
      </c>
      <c r="R8" s="44">
        <f t="shared" si="0"/>
        <v>0</v>
      </c>
      <c r="S8" s="44">
        <f t="shared" si="0"/>
        <v>0</v>
      </c>
      <c r="T8" s="44">
        <f t="shared" si="0"/>
        <v>0</v>
      </c>
      <c r="U8" s="44">
        <f t="shared" si="0"/>
        <v>0</v>
      </c>
      <c r="V8" s="44">
        <f t="shared" si="0"/>
        <v>0</v>
      </c>
      <c r="W8" s="44">
        <f t="shared" si="0"/>
        <v>0</v>
      </c>
      <c r="X8" s="44">
        <f t="shared" si="0"/>
        <v>0</v>
      </c>
      <c r="Y8" s="44">
        <f t="shared" si="0"/>
        <v>0</v>
      </c>
      <c r="Z8" s="44">
        <f t="shared" si="0"/>
        <v>0</v>
      </c>
      <c r="AA8" s="44">
        <f t="shared" si="0"/>
        <v>0</v>
      </c>
      <c r="AB8" s="44">
        <f t="shared" si="0"/>
        <v>0</v>
      </c>
      <c r="AC8" s="44">
        <f t="shared" si="0"/>
        <v>0</v>
      </c>
      <c r="AD8" s="44">
        <f t="shared" si="0"/>
        <v>0</v>
      </c>
      <c r="AE8" s="44">
        <f t="shared" si="0"/>
        <v>0</v>
      </c>
      <c r="AF8" s="44">
        <f t="shared" si="0"/>
        <v>0</v>
      </c>
    </row>
    <row r="9" spans="1:32" x14ac:dyDescent="0.3">
      <c r="A9" s="38" t="s">
        <v>173</v>
      </c>
      <c r="B9" s="38" t="s">
        <v>174</v>
      </c>
      <c r="C9" s="38" t="s">
        <v>175</v>
      </c>
      <c r="D9" s="39" t="s">
        <v>176</v>
      </c>
      <c r="E9" s="39" t="s">
        <v>177</v>
      </c>
      <c r="F9" s="38" t="s">
        <v>124</v>
      </c>
      <c r="G9" s="38" t="s">
        <v>130</v>
      </c>
      <c r="H9" s="44"/>
      <c r="I9" s="44"/>
      <c r="J9" s="44"/>
      <c r="K9" s="44"/>
      <c r="L9" s="44"/>
      <c r="M9" s="44"/>
      <c r="N9" s="44"/>
      <c r="O9" s="44"/>
      <c r="P9" s="44"/>
      <c r="Q9" s="44"/>
      <c r="R9" s="44"/>
      <c r="S9" s="44"/>
      <c r="T9" s="44"/>
      <c r="U9" s="44"/>
      <c r="V9" s="44"/>
      <c r="W9" s="44"/>
      <c r="X9" s="44"/>
      <c r="Y9" s="44"/>
      <c r="Z9" s="44"/>
      <c r="AA9" s="44"/>
      <c r="AB9" s="44"/>
      <c r="AC9" s="44"/>
      <c r="AD9" s="44"/>
      <c r="AE9" s="44"/>
      <c r="AF9" s="44"/>
    </row>
    <row r="10" spans="1:32" x14ac:dyDescent="0.3">
      <c r="A10" s="38" t="s">
        <v>173</v>
      </c>
      <c r="B10" s="38" t="s">
        <v>174</v>
      </c>
      <c r="C10" s="38" t="s">
        <v>175</v>
      </c>
      <c r="D10" s="39" t="s">
        <v>176</v>
      </c>
      <c r="E10" s="39" t="s">
        <v>177</v>
      </c>
      <c r="F10" s="38" t="s">
        <v>137</v>
      </c>
      <c r="G10" s="38" t="s">
        <v>130</v>
      </c>
      <c r="H10" s="44">
        <f>SUM(I10:AF10)</f>
        <v>0</v>
      </c>
      <c r="I10" s="44"/>
      <c r="J10" s="44"/>
      <c r="K10" s="44"/>
      <c r="L10" s="44"/>
      <c r="M10" s="44"/>
      <c r="N10" s="44"/>
      <c r="O10" s="44"/>
      <c r="P10" s="44"/>
      <c r="Q10" s="44"/>
      <c r="R10" s="44"/>
      <c r="S10" s="44"/>
      <c r="T10" s="44"/>
      <c r="U10" s="44"/>
      <c r="V10" s="44"/>
      <c r="W10" s="44"/>
      <c r="X10" s="44"/>
      <c r="Y10" s="44"/>
      <c r="Z10" s="44"/>
      <c r="AA10" s="44"/>
      <c r="AB10" s="44"/>
      <c r="AC10" s="44"/>
      <c r="AD10" s="44"/>
      <c r="AE10" s="44"/>
      <c r="AF10" s="44"/>
    </row>
    <row r="11" spans="1:32" x14ac:dyDescent="0.3">
      <c r="A11" s="38" t="s">
        <v>173</v>
      </c>
      <c r="B11" s="38" t="s">
        <v>174</v>
      </c>
      <c r="C11" s="38" t="s">
        <v>175</v>
      </c>
      <c r="D11" s="39" t="s">
        <v>176</v>
      </c>
      <c r="E11" s="39" t="s">
        <v>177</v>
      </c>
      <c r="F11" s="38" t="s">
        <v>138</v>
      </c>
      <c r="G11" s="38" t="s">
        <v>130</v>
      </c>
      <c r="H11" s="44">
        <f>SUM(I11:AF11)</f>
        <v>0</v>
      </c>
      <c r="I11" s="44"/>
      <c r="J11" s="44"/>
      <c r="K11" s="44"/>
      <c r="L11" s="44"/>
      <c r="M11" s="44"/>
      <c r="N11" s="44"/>
      <c r="O11" s="44"/>
      <c r="P11" s="44"/>
      <c r="Q11" s="44"/>
      <c r="R11" s="44"/>
      <c r="S11" s="44"/>
      <c r="T11" s="44"/>
      <c r="U11" s="44"/>
      <c r="V11" s="44"/>
      <c r="W11" s="44"/>
      <c r="X11" s="44"/>
      <c r="Y11" s="44"/>
      <c r="Z11" s="44"/>
      <c r="AA11" s="44"/>
      <c r="AB11" s="44"/>
      <c r="AC11" s="44"/>
      <c r="AD11" s="44"/>
      <c r="AE11" s="44"/>
      <c r="AF11" s="44"/>
    </row>
    <row r="12" spans="1:32" x14ac:dyDescent="0.3">
      <c r="A12" s="38" t="s">
        <v>173</v>
      </c>
      <c r="B12" s="38" t="s">
        <v>174</v>
      </c>
      <c r="C12" s="38" t="s">
        <v>175</v>
      </c>
      <c r="D12" s="39" t="s">
        <v>176</v>
      </c>
      <c r="E12" s="39" t="s">
        <v>177</v>
      </c>
      <c r="F12" s="38" t="s">
        <v>139</v>
      </c>
      <c r="G12" s="38" t="s">
        <v>130</v>
      </c>
      <c r="H12" s="44"/>
      <c r="I12" s="44"/>
      <c r="J12" s="44"/>
      <c r="K12" s="44"/>
      <c r="L12" s="44"/>
      <c r="M12" s="44"/>
      <c r="N12" s="44"/>
      <c r="O12" s="44"/>
      <c r="P12" s="44"/>
      <c r="Q12" s="44"/>
      <c r="R12" s="44"/>
      <c r="S12" s="44"/>
      <c r="T12" s="44"/>
      <c r="U12" s="44"/>
      <c r="V12" s="44"/>
      <c r="W12" s="44"/>
      <c r="X12" s="44"/>
      <c r="Y12" s="44"/>
      <c r="Z12" s="44"/>
      <c r="AA12" s="44"/>
      <c r="AB12" s="44"/>
      <c r="AC12" s="44"/>
      <c r="AD12" s="44"/>
      <c r="AE12" s="44"/>
      <c r="AF12" s="44"/>
    </row>
    <row r="13" spans="1:32" x14ac:dyDescent="0.3">
      <c r="A13" s="38" t="s">
        <v>173</v>
      </c>
      <c r="B13" s="38" t="s">
        <v>174</v>
      </c>
      <c r="C13" s="38" t="s">
        <v>175</v>
      </c>
      <c r="D13" s="39" t="s">
        <v>176</v>
      </c>
      <c r="E13" s="39" t="s">
        <v>177</v>
      </c>
      <c r="F13" s="38" t="s">
        <v>140</v>
      </c>
      <c r="G13" s="38" t="s">
        <v>130</v>
      </c>
      <c r="H13" s="44"/>
      <c r="I13" s="44">
        <f>I8-(I3+I2)+(I7+I6+I5+I4)</f>
        <v>-2281</v>
      </c>
      <c r="J13" s="44">
        <f t="shared" ref="J13:AF13" si="1">I13+J8-J3</f>
        <v>-3763</v>
      </c>
      <c r="K13" s="44">
        <f t="shared" si="1"/>
        <v>-5172</v>
      </c>
      <c r="L13" s="44">
        <f t="shared" si="1"/>
        <v>-6573</v>
      </c>
      <c r="M13" s="44">
        <f t="shared" si="1"/>
        <v>-7314</v>
      </c>
      <c r="N13" s="44">
        <f t="shared" si="1"/>
        <v>-7943</v>
      </c>
      <c r="O13" s="44">
        <f t="shared" si="1"/>
        <v>-8588</v>
      </c>
      <c r="P13" s="44">
        <f t="shared" si="1"/>
        <v>-9245</v>
      </c>
      <c r="Q13" s="44">
        <f t="shared" si="1"/>
        <v>-9819</v>
      </c>
      <c r="R13" s="44">
        <f t="shared" si="1"/>
        <v>-10300</v>
      </c>
      <c r="S13" s="44">
        <f t="shared" si="1"/>
        <v>-10779</v>
      </c>
      <c r="T13" s="44">
        <f t="shared" si="1"/>
        <v>-11244</v>
      </c>
      <c r="U13" s="44">
        <f t="shared" si="1"/>
        <v>-11707</v>
      </c>
      <c r="V13" s="44">
        <f t="shared" si="1"/>
        <v>-12105</v>
      </c>
      <c r="W13" s="44">
        <f t="shared" si="1"/>
        <v>-12501</v>
      </c>
      <c r="X13" s="44">
        <f t="shared" si="1"/>
        <v>-12886</v>
      </c>
      <c r="Y13" s="44">
        <f t="shared" si="1"/>
        <v>-13271</v>
      </c>
      <c r="Z13" s="44">
        <f t="shared" si="1"/>
        <v>-14004</v>
      </c>
      <c r="AA13" s="44">
        <f t="shared" si="1"/>
        <v>-14881</v>
      </c>
      <c r="AB13" s="44">
        <f t="shared" si="1"/>
        <v>-15724</v>
      </c>
      <c r="AC13" s="44">
        <f t="shared" si="1"/>
        <v>-16551</v>
      </c>
      <c r="AD13" s="44">
        <f t="shared" si="1"/>
        <v>-17179</v>
      </c>
      <c r="AE13" s="44">
        <f t="shared" si="1"/>
        <v>-17721</v>
      </c>
      <c r="AF13" s="44">
        <f t="shared" si="1"/>
        <v>-18271</v>
      </c>
    </row>
    <row r="14" spans="1:32" ht="15" thickBot="1" x14ac:dyDescent="0.35">
      <c r="A14" s="40" t="s">
        <v>173</v>
      </c>
      <c r="B14" s="40" t="s">
        <v>174</v>
      </c>
      <c r="C14" s="40" t="s">
        <v>175</v>
      </c>
      <c r="D14" s="41" t="s">
        <v>176</v>
      </c>
      <c r="E14" s="41" t="s">
        <v>177</v>
      </c>
      <c r="F14" s="40" t="s">
        <v>141</v>
      </c>
      <c r="G14" s="40" t="s">
        <v>130</v>
      </c>
      <c r="H14" s="45"/>
      <c r="I14" s="45">
        <f>I8-I12</f>
        <v>0</v>
      </c>
      <c r="J14" s="45">
        <f t="shared" ref="J14:AF14" si="2">I14+J8-J12</f>
        <v>0</v>
      </c>
      <c r="K14" s="45">
        <f t="shared" si="2"/>
        <v>0</v>
      </c>
      <c r="L14" s="45">
        <f t="shared" si="2"/>
        <v>0</v>
      </c>
      <c r="M14" s="45">
        <f t="shared" si="2"/>
        <v>0</v>
      </c>
      <c r="N14" s="45">
        <f t="shared" si="2"/>
        <v>0</v>
      </c>
      <c r="O14" s="45">
        <f t="shared" si="2"/>
        <v>0</v>
      </c>
      <c r="P14" s="45">
        <f t="shared" si="2"/>
        <v>0</v>
      </c>
      <c r="Q14" s="45">
        <f t="shared" si="2"/>
        <v>0</v>
      </c>
      <c r="R14" s="45">
        <f t="shared" si="2"/>
        <v>0</v>
      </c>
      <c r="S14" s="45">
        <f t="shared" si="2"/>
        <v>0</v>
      </c>
      <c r="T14" s="45">
        <f t="shared" si="2"/>
        <v>0</v>
      </c>
      <c r="U14" s="45">
        <f t="shared" si="2"/>
        <v>0</v>
      </c>
      <c r="V14" s="45">
        <f t="shared" si="2"/>
        <v>0</v>
      </c>
      <c r="W14" s="45">
        <f t="shared" si="2"/>
        <v>0</v>
      </c>
      <c r="X14" s="45">
        <f t="shared" si="2"/>
        <v>0</v>
      </c>
      <c r="Y14" s="45">
        <f t="shared" si="2"/>
        <v>0</v>
      </c>
      <c r="Z14" s="45">
        <f t="shared" si="2"/>
        <v>0</v>
      </c>
      <c r="AA14" s="45">
        <f t="shared" si="2"/>
        <v>0</v>
      </c>
      <c r="AB14" s="45">
        <f t="shared" si="2"/>
        <v>0</v>
      </c>
      <c r="AC14" s="45">
        <f t="shared" si="2"/>
        <v>0</v>
      </c>
      <c r="AD14" s="45">
        <f t="shared" si="2"/>
        <v>0</v>
      </c>
      <c r="AE14" s="45">
        <f t="shared" si="2"/>
        <v>0</v>
      </c>
      <c r="AF14" s="45">
        <f t="shared" si="2"/>
        <v>0</v>
      </c>
    </row>
    <row r="15" spans="1:32" x14ac:dyDescent="0.3">
      <c r="A15" s="38" t="s">
        <v>178</v>
      </c>
      <c r="B15" s="38" t="s">
        <v>174</v>
      </c>
      <c r="C15" s="38" t="s">
        <v>179</v>
      </c>
      <c r="D15" s="39" t="s">
        <v>180</v>
      </c>
      <c r="E15" s="39" t="s">
        <v>177</v>
      </c>
      <c r="F15" s="38" t="s">
        <v>129</v>
      </c>
      <c r="G15" s="38" t="s">
        <v>130</v>
      </c>
      <c r="H15" s="44">
        <v>62049</v>
      </c>
      <c r="I15" s="44">
        <v>62049</v>
      </c>
      <c r="J15" s="44"/>
      <c r="K15" s="44"/>
      <c r="L15" s="44"/>
      <c r="M15" s="44"/>
      <c r="N15" s="44"/>
      <c r="O15" s="44"/>
      <c r="P15" s="44"/>
      <c r="Q15" s="44"/>
      <c r="R15" s="44"/>
      <c r="S15" s="44"/>
      <c r="T15" s="44"/>
      <c r="U15" s="44"/>
      <c r="V15" s="44"/>
      <c r="W15" s="44"/>
      <c r="X15" s="44"/>
      <c r="Y15" s="44"/>
      <c r="Z15" s="44"/>
      <c r="AA15" s="44"/>
      <c r="AB15" s="44"/>
      <c r="AC15" s="44"/>
      <c r="AD15" s="44"/>
      <c r="AE15" s="44"/>
      <c r="AF15" s="44"/>
    </row>
    <row r="16" spans="1:32" x14ac:dyDescent="0.3">
      <c r="A16" s="38" t="s">
        <v>178</v>
      </c>
      <c r="B16" s="38" t="s">
        <v>174</v>
      </c>
      <c r="C16" s="38" t="s">
        <v>179</v>
      </c>
      <c r="D16" s="39" t="s">
        <v>180</v>
      </c>
      <c r="E16" s="39" t="s">
        <v>177</v>
      </c>
      <c r="F16" s="38" t="s">
        <v>131</v>
      </c>
      <c r="G16" s="38" t="s">
        <v>130</v>
      </c>
      <c r="H16" s="44">
        <v>22</v>
      </c>
      <c r="I16" s="44">
        <v>0</v>
      </c>
      <c r="J16" s="44">
        <v>0</v>
      </c>
      <c r="K16" s="44">
        <v>0</v>
      </c>
      <c r="L16" s="44">
        <v>0</v>
      </c>
      <c r="M16" s="44">
        <v>22</v>
      </c>
      <c r="N16" s="44">
        <v>0</v>
      </c>
      <c r="O16" s="44">
        <v>0</v>
      </c>
      <c r="P16" s="44">
        <v>0</v>
      </c>
      <c r="Q16" s="44">
        <v>0</v>
      </c>
      <c r="R16" s="44">
        <v>0</v>
      </c>
      <c r="S16" s="44">
        <v>0</v>
      </c>
      <c r="T16" s="44">
        <v>0</v>
      </c>
      <c r="U16" s="44">
        <v>0</v>
      </c>
      <c r="V16" s="44">
        <v>0</v>
      </c>
      <c r="W16" s="44">
        <v>0</v>
      </c>
      <c r="X16" s="44">
        <v>0</v>
      </c>
      <c r="Y16" s="44">
        <v>0</v>
      </c>
      <c r="Z16" s="44">
        <v>0</v>
      </c>
      <c r="AA16" s="44">
        <v>0</v>
      </c>
      <c r="AB16" s="44">
        <v>0</v>
      </c>
      <c r="AC16" s="44">
        <v>0</v>
      </c>
      <c r="AD16" s="44">
        <v>0</v>
      </c>
      <c r="AE16" s="44">
        <v>0</v>
      </c>
      <c r="AF16" s="44">
        <v>0</v>
      </c>
    </row>
    <row r="17" spans="1:32" x14ac:dyDescent="0.3">
      <c r="A17" s="38" t="s">
        <v>178</v>
      </c>
      <c r="B17" s="38" t="s">
        <v>174</v>
      </c>
      <c r="C17" s="38" t="s">
        <v>179</v>
      </c>
      <c r="D17" s="39" t="s">
        <v>180</v>
      </c>
      <c r="E17" s="39" t="s">
        <v>177</v>
      </c>
      <c r="F17" s="38" t="s">
        <v>132</v>
      </c>
      <c r="G17" s="38" t="s">
        <v>130</v>
      </c>
      <c r="H17" s="44">
        <v>0</v>
      </c>
      <c r="I17" s="44">
        <v>0</v>
      </c>
      <c r="J17" s="44"/>
      <c r="K17" s="44"/>
      <c r="L17" s="44"/>
      <c r="M17" s="44"/>
      <c r="N17" s="44"/>
      <c r="O17" s="44"/>
      <c r="P17" s="44"/>
      <c r="Q17" s="44"/>
      <c r="R17" s="44"/>
      <c r="S17" s="44"/>
      <c r="T17" s="44"/>
      <c r="U17" s="44"/>
      <c r="V17" s="44"/>
      <c r="W17" s="44"/>
      <c r="X17" s="44"/>
      <c r="Y17" s="44"/>
      <c r="Z17" s="44"/>
      <c r="AA17" s="44"/>
      <c r="AB17" s="44"/>
      <c r="AC17" s="44"/>
      <c r="AD17" s="44"/>
      <c r="AE17" s="44"/>
      <c r="AF17" s="44"/>
    </row>
    <row r="18" spans="1:32" x14ac:dyDescent="0.3">
      <c r="A18" s="38" t="s">
        <v>178</v>
      </c>
      <c r="B18" s="38" t="s">
        <v>174</v>
      </c>
      <c r="C18" s="38" t="s">
        <v>179</v>
      </c>
      <c r="D18" s="39" t="s">
        <v>180</v>
      </c>
      <c r="E18" s="39" t="s">
        <v>177</v>
      </c>
      <c r="F18" s="38" t="s">
        <v>133</v>
      </c>
      <c r="G18" s="38" t="s">
        <v>130</v>
      </c>
      <c r="H18" s="44">
        <v>0</v>
      </c>
      <c r="I18" s="44">
        <v>0</v>
      </c>
      <c r="J18" s="44"/>
      <c r="K18" s="44"/>
      <c r="L18" s="44"/>
      <c r="M18" s="44"/>
      <c r="N18" s="44"/>
      <c r="O18" s="44"/>
      <c r="P18" s="44"/>
      <c r="Q18" s="44"/>
      <c r="R18" s="44"/>
      <c r="S18" s="44"/>
      <c r="T18" s="44"/>
      <c r="U18" s="44"/>
      <c r="V18" s="44"/>
      <c r="W18" s="44"/>
      <c r="X18" s="44"/>
      <c r="Y18" s="44"/>
      <c r="Z18" s="44"/>
      <c r="AA18" s="44"/>
      <c r="AB18" s="44"/>
      <c r="AC18" s="44"/>
      <c r="AD18" s="44"/>
      <c r="AE18" s="44"/>
      <c r="AF18" s="44"/>
    </row>
    <row r="19" spans="1:32" x14ac:dyDescent="0.3">
      <c r="A19" s="38" t="s">
        <v>178</v>
      </c>
      <c r="B19" s="38" t="s">
        <v>174</v>
      </c>
      <c r="C19" s="38" t="s">
        <v>179</v>
      </c>
      <c r="D19" s="39" t="s">
        <v>180</v>
      </c>
      <c r="E19" s="39" t="s">
        <v>177</v>
      </c>
      <c r="F19" s="38" t="s">
        <v>134</v>
      </c>
      <c r="G19" s="38" t="s">
        <v>130</v>
      </c>
      <c r="H19" s="44">
        <v>29560</v>
      </c>
      <c r="I19" s="44">
        <v>29560</v>
      </c>
      <c r="J19" s="44"/>
      <c r="K19" s="44"/>
      <c r="L19" s="44"/>
      <c r="M19" s="44"/>
      <c r="N19" s="44"/>
      <c r="O19" s="44"/>
      <c r="P19" s="44"/>
      <c r="Q19" s="44"/>
      <c r="R19" s="44"/>
      <c r="S19" s="44"/>
      <c r="T19" s="44"/>
      <c r="U19" s="44"/>
      <c r="V19" s="44"/>
      <c r="W19" s="44"/>
      <c r="X19" s="44"/>
      <c r="Y19" s="44"/>
      <c r="Z19" s="44"/>
      <c r="AA19" s="44"/>
      <c r="AB19" s="44"/>
      <c r="AC19" s="44"/>
      <c r="AD19" s="44"/>
      <c r="AE19" s="44"/>
      <c r="AF19" s="44"/>
    </row>
    <row r="20" spans="1:32" x14ac:dyDescent="0.3">
      <c r="A20" s="38" t="s">
        <v>178</v>
      </c>
      <c r="B20" s="38" t="s">
        <v>174</v>
      </c>
      <c r="C20" s="38" t="s">
        <v>179</v>
      </c>
      <c r="D20" s="39" t="s">
        <v>180</v>
      </c>
      <c r="E20" s="39" t="s">
        <v>177</v>
      </c>
      <c r="F20" s="38" t="s">
        <v>135</v>
      </c>
      <c r="G20" s="38" t="s">
        <v>130</v>
      </c>
      <c r="H20" s="44"/>
      <c r="I20" s="44"/>
      <c r="J20" s="44"/>
      <c r="K20" s="44"/>
      <c r="L20" s="44"/>
      <c r="M20" s="44"/>
      <c r="N20" s="44"/>
      <c r="O20" s="44"/>
      <c r="P20" s="44"/>
      <c r="Q20" s="44"/>
      <c r="R20" s="44"/>
      <c r="S20" s="44"/>
      <c r="T20" s="44"/>
      <c r="U20" s="44"/>
      <c r="V20" s="44"/>
      <c r="W20" s="44"/>
      <c r="X20" s="44"/>
      <c r="Y20" s="44"/>
      <c r="Z20" s="44"/>
      <c r="AA20" s="44"/>
      <c r="AB20" s="44"/>
      <c r="AC20" s="44"/>
      <c r="AD20" s="44"/>
      <c r="AE20" s="44"/>
      <c r="AF20" s="44"/>
    </row>
    <row r="21" spans="1:32" x14ac:dyDescent="0.3">
      <c r="A21" s="38" t="s">
        <v>178</v>
      </c>
      <c r="B21" s="38" t="s">
        <v>174</v>
      </c>
      <c r="C21" s="38" t="s">
        <v>179</v>
      </c>
      <c r="D21" s="39" t="s">
        <v>180</v>
      </c>
      <c r="E21" s="39" t="s">
        <v>177</v>
      </c>
      <c r="F21" s="38" t="s">
        <v>136</v>
      </c>
      <c r="G21" s="38" t="s">
        <v>130</v>
      </c>
      <c r="H21" s="44">
        <f>SUM(I21:AF21)</f>
        <v>0</v>
      </c>
      <c r="I21" s="44">
        <f t="shared" ref="I21:AF21" si="3">IF(AND(ISBLANK(I24) = TRUE,ISBLANK(I23) = TRUE),I22,I23+I24)</f>
        <v>0</v>
      </c>
      <c r="J21" s="44">
        <f t="shared" si="3"/>
        <v>0</v>
      </c>
      <c r="K21" s="44">
        <f t="shared" si="3"/>
        <v>0</v>
      </c>
      <c r="L21" s="44">
        <f t="shared" si="3"/>
        <v>0</v>
      </c>
      <c r="M21" s="44">
        <f t="shared" si="3"/>
        <v>0</v>
      </c>
      <c r="N21" s="44">
        <f t="shared" si="3"/>
        <v>0</v>
      </c>
      <c r="O21" s="44">
        <f t="shared" si="3"/>
        <v>0</v>
      </c>
      <c r="P21" s="44">
        <f t="shared" si="3"/>
        <v>0</v>
      </c>
      <c r="Q21" s="44">
        <f t="shared" si="3"/>
        <v>0</v>
      </c>
      <c r="R21" s="44">
        <f t="shared" si="3"/>
        <v>0</v>
      </c>
      <c r="S21" s="44">
        <f t="shared" si="3"/>
        <v>0</v>
      </c>
      <c r="T21" s="44">
        <f t="shared" si="3"/>
        <v>0</v>
      </c>
      <c r="U21" s="44">
        <f t="shared" si="3"/>
        <v>0</v>
      </c>
      <c r="V21" s="44">
        <f t="shared" si="3"/>
        <v>0</v>
      </c>
      <c r="W21" s="44">
        <f t="shared" si="3"/>
        <v>0</v>
      </c>
      <c r="X21" s="44">
        <f t="shared" si="3"/>
        <v>0</v>
      </c>
      <c r="Y21" s="44">
        <f t="shared" si="3"/>
        <v>0</v>
      </c>
      <c r="Z21" s="44">
        <f t="shared" si="3"/>
        <v>0</v>
      </c>
      <c r="AA21" s="44">
        <f t="shared" si="3"/>
        <v>0</v>
      </c>
      <c r="AB21" s="44">
        <f t="shared" si="3"/>
        <v>0</v>
      </c>
      <c r="AC21" s="44">
        <f t="shared" si="3"/>
        <v>0</v>
      </c>
      <c r="AD21" s="44">
        <f t="shared" si="3"/>
        <v>0</v>
      </c>
      <c r="AE21" s="44">
        <f t="shared" si="3"/>
        <v>0</v>
      </c>
      <c r="AF21" s="44">
        <f t="shared" si="3"/>
        <v>0</v>
      </c>
    </row>
    <row r="22" spans="1:32" x14ac:dyDescent="0.3">
      <c r="A22" s="38" t="s">
        <v>178</v>
      </c>
      <c r="B22" s="38" t="s">
        <v>174</v>
      </c>
      <c r="C22" s="38" t="s">
        <v>179</v>
      </c>
      <c r="D22" s="39" t="s">
        <v>180</v>
      </c>
      <c r="E22" s="39" t="s">
        <v>177</v>
      </c>
      <c r="F22" s="38" t="s">
        <v>124</v>
      </c>
      <c r="G22" s="38" t="s">
        <v>130</v>
      </c>
      <c r="H22" s="44"/>
      <c r="I22" s="44"/>
      <c r="J22" s="44"/>
      <c r="K22" s="44"/>
      <c r="L22" s="44"/>
      <c r="M22" s="44"/>
      <c r="N22" s="44"/>
      <c r="O22" s="44"/>
      <c r="P22" s="44"/>
      <c r="Q22" s="44"/>
      <c r="R22" s="44"/>
      <c r="S22" s="44"/>
      <c r="T22" s="44"/>
      <c r="U22" s="44"/>
      <c r="V22" s="44"/>
      <c r="W22" s="44"/>
      <c r="X22" s="44"/>
      <c r="Y22" s="44"/>
      <c r="Z22" s="44"/>
      <c r="AA22" s="44"/>
      <c r="AB22" s="44"/>
      <c r="AC22" s="44"/>
      <c r="AD22" s="44"/>
      <c r="AE22" s="44"/>
      <c r="AF22" s="44"/>
    </row>
    <row r="23" spans="1:32" x14ac:dyDescent="0.3">
      <c r="A23" s="38" t="s">
        <v>178</v>
      </c>
      <c r="B23" s="38" t="s">
        <v>174</v>
      </c>
      <c r="C23" s="38" t="s">
        <v>179</v>
      </c>
      <c r="D23" s="39" t="s">
        <v>180</v>
      </c>
      <c r="E23" s="39" t="s">
        <v>177</v>
      </c>
      <c r="F23" s="38" t="s">
        <v>137</v>
      </c>
      <c r="G23" s="38" t="s">
        <v>130</v>
      </c>
      <c r="H23" s="44">
        <f>SUM(I23:AF23)</f>
        <v>0</v>
      </c>
      <c r="I23" s="44"/>
      <c r="J23" s="44"/>
      <c r="K23" s="44"/>
      <c r="L23" s="44"/>
      <c r="M23" s="44"/>
      <c r="N23" s="44"/>
      <c r="O23" s="44"/>
      <c r="P23" s="44"/>
      <c r="Q23" s="44"/>
      <c r="R23" s="44"/>
      <c r="S23" s="44"/>
      <c r="T23" s="44"/>
      <c r="U23" s="44"/>
      <c r="V23" s="44"/>
      <c r="W23" s="44"/>
      <c r="X23" s="44"/>
      <c r="Y23" s="44"/>
      <c r="Z23" s="44"/>
      <c r="AA23" s="44"/>
      <c r="AB23" s="44"/>
      <c r="AC23" s="44"/>
      <c r="AD23" s="44"/>
      <c r="AE23" s="44"/>
      <c r="AF23" s="44"/>
    </row>
    <row r="24" spans="1:32" x14ac:dyDescent="0.3">
      <c r="A24" s="38" t="s">
        <v>178</v>
      </c>
      <c r="B24" s="38" t="s">
        <v>174</v>
      </c>
      <c r="C24" s="38" t="s">
        <v>179</v>
      </c>
      <c r="D24" s="39" t="s">
        <v>180</v>
      </c>
      <c r="E24" s="39" t="s">
        <v>177</v>
      </c>
      <c r="F24" s="38" t="s">
        <v>138</v>
      </c>
      <c r="G24" s="38" t="s">
        <v>130</v>
      </c>
      <c r="H24" s="44">
        <f>SUM(I24:AF24)</f>
        <v>0</v>
      </c>
      <c r="I24" s="44"/>
      <c r="J24" s="44"/>
      <c r="K24" s="44"/>
      <c r="L24" s="44"/>
      <c r="M24" s="44"/>
      <c r="N24" s="44"/>
      <c r="O24" s="44"/>
      <c r="P24" s="44"/>
      <c r="Q24" s="44"/>
      <c r="R24" s="44"/>
      <c r="S24" s="44"/>
      <c r="T24" s="44"/>
      <c r="U24" s="44"/>
      <c r="V24" s="44"/>
      <c r="W24" s="44"/>
      <c r="X24" s="44"/>
      <c r="Y24" s="44"/>
      <c r="Z24" s="44"/>
      <c r="AA24" s="44"/>
      <c r="AB24" s="44"/>
      <c r="AC24" s="44"/>
      <c r="AD24" s="44"/>
      <c r="AE24" s="44"/>
      <c r="AF24" s="44"/>
    </row>
    <row r="25" spans="1:32" x14ac:dyDescent="0.3">
      <c r="A25" s="38" t="s">
        <v>178</v>
      </c>
      <c r="B25" s="38" t="s">
        <v>174</v>
      </c>
      <c r="C25" s="38" t="s">
        <v>179</v>
      </c>
      <c r="D25" s="39" t="s">
        <v>180</v>
      </c>
      <c r="E25" s="39" t="s">
        <v>177</v>
      </c>
      <c r="F25" s="38" t="s">
        <v>139</v>
      </c>
      <c r="G25" s="38" t="s">
        <v>130</v>
      </c>
      <c r="H25" s="44"/>
      <c r="I25" s="44"/>
      <c r="J25" s="44"/>
      <c r="K25" s="44"/>
      <c r="L25" s="44"/>
      <c r="M25" s="44"/>
      <c r="N25" s="44"/>
      <c r="O25" s="44"/>
      <c r="P25" s="44"/>
      <c r="Q25" s="44"/>
      <c r="R25" s="44"/>
      <c r="S25" s="44"/>
      <c r="T25" s="44"/>
      <c r="U25" s="44"/>
      <c r="V25" s="44"/>
      <c r="W25" s="44"/>
      <c r="X25" s="44"/>
      <c r="Y25" s="44"/>
      <c r="Z25" s="44"/>
      <c r="AA25" s="44"/>
      <c r="AB25" s="44"/>
      <c r="AC25" s="44"/>
      <c r="AD25" s="44"/>
      <c r="AE25" s="44"/>
      <c r="AF25" s="44"/>
    </row>
    <row r="26" spans="1:32" x14ac:dyDescent="0.3">
      <c r="A26" s="38" t="s">
        <v>178</v>
      </c>
      <c r="B26" s="38" t="s">
        <v>174</v>
      </c>
      <c r="C26" s="38" t="s">
        <v>179</v>
      </c>
      <c r="D26" s="39" t="s">
        <v>180</v>
      </c>
      <c r="E26" s="39" t="s">
        <v>177</v>
      </c>
      <c r="F26" s="38" t="s">
        <v>140</v>
      </c>
      <c r="G26" s="38" t="s">
        <v>130</v>
      </c>
      <c r="H26" s="44"/>
      <c r="I26" s="44">
        <f>I21-(I16+I15)+(I20+I19+I18+I17)</f>
        <v>-32489</v>
      </c>
      <c r="J26" s="44">
        <f t="shared" ref="J26:AF26" si="4">I26+J21-J16</f>
        <v>-32489</v>
      </c>
      <c r="K26" s="44">
        <f t="shared" si="4"/>
        <v>-32489</v>
      </c>
      <c r="L26" s="44">
        <f t="shared" si="4"/>
        <v>-32489</v>
      </c>
      <c r="M26" s="44">
        <f t="shared" si="4"/>
        <v>-32511</v>
      </c>
      <c r="N26" s="44">
        <f t="shared" si="4"/>
        <v>-32511</v>
      </c>
      <c r="O26" s="44">
        <f t="shared" si="4"/>
        <v>-32511</v>
      </c>
      <c r="P26" s="44">
        <f t="shared" si="4"/>
        <v>-32511</v>
      </c>
      <c r="Q26" s="44">
        <f t="shared" si="4"/>
        <v>-32511</v>
      </c>
      <c r="R26" s="44">
        <f t="shared" si="4"/>
        <v>-32511</v>
      </c>
      <c r="S26" s="44">
        <f t="shared" si="4"/>
        <v>-32511</v>
      </c>
      <c r="T26" s="44">
        <f t="shared" si="4"/>
        <v>-32511</v>
      </c>
      <c r="U26" s="44">
        <f t="shared" si="4"/>
        <v>-32511</v>
      </c>
      <c r="V26" s="44">
        <f t="shared" si="4"/>
        <v>-32511</v>
      </c>
      <c r="W26" s="44">
        <f t="shared" si="4"/>
        <v>-32511</v>
      </c>
      <c r="X26" s="44">
        <f t="shared" si="4"/>
        <v>-32511</v>
      </c>
      <c r="Y26" s="44">
        <f t="shared" si="4"/>
        <v>-32511</v>
      </c>
      <c r="Z26" s="44">
        <f t="shared" si="4"/>
        <v>-32511</v>
      </c>
      <c r="AA26" s="44">
        <f t="shared" si="4"/>
        <v>-32511</v>
      </c>
      <c r="AB26" s="44">
        <f t="shared" si="4"/>
        <v>-32511</v>
      </c>
      <c r="AC26" s="44">
        <f t="shared" si="4"/>
        <v>-32511</v>
      </c>
      <c r="AD26" s="44">
        <f t="shared" si="4"/>
        <v>-32511</v>
      </c>
      <c r="AE26" s="44">
        <f t="shared" si="4"/>
        <v>-32511</v>
      </c>
      <c r="AF26" s="44">
        <f t="shared" si="4"/>
        <v>-32511</v>
      </c>
    </row>
    <row r="27" spans="1:32" ht="15" thickBot="1" x14ac:dyDescent="0.35">
      <c r="A27" s="40" t="s">
        <v>178</v>
      </c>
      <c r="B27" s="40" t="s">
        <v>174</v>
      </c>
      <c r="C27" s="40" t="s">
        <v>179</v>
      </c>
      <c r="D27" s="41" t="s">
        <v>180</v>
      </c>
      <c r="E27" s="41" t="s">
        <v>177</v>
      </c>
      <c r="F27" s="40" t="s">
        <v>141</v>
      </c>
      <c r="G27" s="40" t="s">
        <v>130</v>
      </c>
      <c r="H27" s="45"/>
      <c r="I27" s="45">
        <f>I21-I25</f>
        <v>0</v>
      </c>
      <c r="J27" s="45">
        <f t="shared" ref="J27:AF27" si="5">I27+J21-J25</f>
        <v>0</v>
      </c>
      <c r="K27" s="45">
        <f t="shared" si="5"/>
        <v>0</v>
      </c>
      <c r="L27" s="45">
        <f t="shared" si="5"/>
        <v>0</v>
      </c>
      <c r="M27" s="45">
        <f t="shared" si="5"/>
        <v>0</v>
      </c>
      <c r="N27" s="45">
        <f t="shared" si="5"/>
        <v>0</v>
      </c>
      <c r="O27" s="45">
        <f t="shared" si="5"/>
        <v>0</v>
      </c>
      <c r="P27" s="45">
        <f t="shared" si="5"/>
        <v>0</v>
      </c>
      <c r="Q27" s="45">
        <f t="shared" si="5"/>
        <v>0</v>
      </c>
      <c r="R27" s="45">
        <f t="shared" si="5"/>
        <v>0</v>
      </c>
      <c r="S27" s="45">
        <f t="shared" si="5"/>
        <v>0</v>
      </c>
      <c r="T27" s="45">
        <f t="shared" si="5"/>
        <v>0</v>
      </c>
      <c r="U27" s="45">
        <f t="shared" si="5"/>
        <v>0</v>
      </c>
      <c r="V27" s="45">
        <f t="shared" si="5"/>
        <v>0</v>
      </c>
      <c r="W27" s="45">
        <f t="shared" si="5"/>
        <v>0</v>
      </c>
      <c r="X27" s="45">
        <f t="shared" si="5"/>
        <v>0</v>
      </c>
      <c r="Y27" s="45">
        <f t="shared" si="5"/>
        <v>0</v>
      </c>
      <c r="Z27" s="45">
        <f t="shared" si="5"/>
        <v>0</v>
      </c>
      <c r="AA27" s="45">
        <f t="shared" si="5"/>
        <v>0</v>
      </c>
      <c r="AB27" s="45">
        <f t="shared" si="5"/>
        <v>0</v>
      </c>
      <c r="AC27" s="45">
        <f t="shared" si="5"/>
        <v>0</v>
      </c>
      <c r="AD27" s="45">
        <f t="shared" si="5"/>
        <v>0</v>
      </c>
      <c r="AE27" s="45">
        <f t="shared" si="5"/>
        <v>0</v>
      </c>
      <c r="AF27" s="45">
        <f t="shared" si="5"/>
        <v>0</v>
      </c>
    </row>
    <row r="28" spans="1:32" x14ac:dyDescent="0.3">
      <c r="A28" s="38" t="s">
        <v>181</v>
      </c>
      <c r="B28" s="38" t="s">
        <v>174</v>
      </c>
      <c r="C28" s="38" t="s">
        <v>182</v>
      </c>
      <c r="D28" s="39" t="s">
        <v>183</v>
      </c>
      <c r="E28" s="39" t="s">
        <v>177</v>
      </c>
      <c r="F28" s="38" t="s">
        <v>129</v>
      </c>
      <c r="G28" s="38" t="s">
        <v>130</v>
      </c>
      <c r="H28" s="44">
        <v>0</v>
      </c>
      <c r="I28" s="44">
        <v>0</v>
      </c>
      <c r="J28" s="44"/>
      <c r="K28" s="44"/>
      <c r="L28" s="44"/>
      <c r="M28" s="44"/>
      <c r="N28" s="44"/>
      <c r="O28" s="44"/>
      <c r="P28" s="44"/>
      <c r="Q28" s="44"/>
      <c r="R28" s="44"/>
      <c r="S28" s="44"/>
      <c r="T28" s="44"/>
      <c r="U28" s="44"/>
      <c r="V28" s="44"/>
      <c r="W28" s="44"/>
      <c r="X28" s="44"/>
      <c r="Y28" s="44"/>
      <c r="Z28" s="44"/>
      <c r="AA28" s="44"/>
      <c r="AB28" s="44"/>
      <c r="AC28" s="44"/>
      <c r="AD28" s="44"/>
      <c r="AE28" s="44"/>
      <c r="AF28" s="44"/>
    </row>
    <row r="29" spans="1:32" x14ac:dyDescent="0.3">
      <c r="A29" s="38" t="s">
        <v>181</v>
      </c>
      <c r="B29" s="38" t="s">
        <v>174</v>
      </c>
      <c r="C29" s="38" t="s">
        <v>182</v>
      </c>
      <c r="D29" s="39" t="s">
        <v>183</v>
      </c>
      <c r="E29" s="39" t="s">
        <v>177</v>
      </c>
      <c r="F29" s="38" t="s">
        <v>131</v>
      </c>
      <c r="G29" s="38" t="s">
        <v>130</v>
      </c>
      <c r="H29" s="44">
        <v>118</v>
      </c>
      <c r="I29" s="44">
        <v>2</v>
      </c>
      <c r="J29" s="44">
        <v>2</v>
      </c>
      <c r="K29" s="44">
        <v>1</v>
      </c>
      <c r="L29" s="44">
        <v>1</v>
      </c>
      <c r="M29" s="44">
        <v>4</v>
      </c>
      <c r="N29" s="44">
        <v>4</v>
      </c>
      <c r="O29" s="44">
        <v>3</v>
      </c>
      <c r="P29" s="44">
        <v>3</v>
      </c>
      <c r="Q29" s="44">
        <v>4</v>
      </c>
      <c r="R29" s="44">
        <v>5</v>
      </c>
      <c r="S29" s="44">
        <v>5</v>
      </c>
      <c r="T29" s="44">
        <v>4</v>
      </c>
      <c r="U29" s="44">
        <v>5</v>
      </c>
      <c r="V29" s="44">
        <v>7</v>
      </c>
      <c r="W29" s="44">
        <v>6</v>
      </c>
      <c r="X29" s="44">
        <v>6</v>
      </c>
      <c r="Y29" s="44">
        <v>6</v>
      </c>
      <c r="Z29" s="44">
        <v>6</v>
      </c>
      <c r="AA29" s="44">
        <v>8</v>
      </c>
      <c r="AB29" s="44">
        <v>8</v>
      </c>
      <c r="AC29" s="44">
        <v>7</v>
      </c>
      <c r="AD29" s="44">
        <v>7</v>
      </c>
      <c r="AE29" s="44">
        <v>7</v>
      </c>
      <c r="AF29" s="44">
        <v>7</v>
      </c>
    </row>
    <row r="30" spans="1:32" x14ac:dyDescent="0.3">
      <c r="A30" s="38" t="s">
        <v>181</v>
      </c>
      <c r="B30" s="38" t="s">
        <v>174</v>
      </c>
      <c r="C30" s="38" t="s">
        <v>182</v>
      </c>
      <c r="D30" s="39" t="s">
        <v>183</v>
      </c>
      <c r="E30" s="39" t="s">
        <v>177</v>
      </c>
      <c r="F30" s="38" t="s">
        <v>132</v>
      </c>
      <c r="G30" s="38" t="s">
        <v>130</v>
      </c>
      <c r="H30" s="44"/>
      <c r="I30" s="44"/>
      <c r="J30" s="44"/>
      <c r="K30" s="44"/>
      <c r="L30" s="44"/>
      <c r="M30" s="44"/>
      <c r="N30" s="44"/>
      <c r="O30" s="44"/>
      <c r="P30" s="44"/>
      <c r="Q30" s="44"/>
      <c r="R30" s="44"/>
      <c r="S30" s="44"/>
      <c r="T30" s="44"/>
      <c r="U30" s="44"/>
      <c r="V30" s="44"/>
      <c r="W30" s="44"/>
      <c r="X30" s="44"/>
      <c r="Y30" s="44"/>
      <c r="Z30" s="44"/>
      <c r="AA30" s="44"/>
      <c r="AB30" s="44"/>
      <c r="AC30" s="44"/>
      <c r="AD30" s="44"/>
      <c r="AE30" s="44"/>
      <c r="AF30" s="44"/>
    </row>
    <row r="31" spans="1:32" x14ac:dyDescent="0.3">
      <c r="A31" s="38" t="s">
        <v>181</v>
      </c>
      <c r="B31" s="38" t="s">
        <v>174</v>
      </c>
      <c r="C31" s="38" t="s">
        <v>182</v>
      </c>
      <c r="D31" s="39" t="s">
        <v>183</v>
      </c>
      <c r="E31" s="39" t="s">
        <v>177</v>
      </c>
      <c r="F31" s="38" t="s">
        <v>133</v>
      </c>
      <c r="G31" s="38" t="s">
        <v>130</v>
      </c>
      <c r="H31" s="44"/>
      <c r="I31" s="44"/>
      <c r="J31" s="44"/>
      <c r="K31" s="44"/>
      <c r="L31" s="44"/>
      <c r="M31" s="44"/>
      <c r="N31" s="44"/>
      <c r="O31" s="44"/>
      <c r="P31" s="44"/>
      <c r="Q31" s="44"/>
      <c r="R31" s="44"/>
      <c r="S31" s="44"/>
      <c r="T31" s="44"/>
      <c r="U31" s="44"/>
      <c r="V31" s="44"/>
      <c r="W31" s="44"/>
      <c r="X31" s="44"/>
      <c r="Y31" s="44"/>
      <c r="Z31" s="44"/>
      <c r="AA31" s="44"/>
      <c r="AB31" s="44"/>
      <c r="AC31" s="44"/>
      <c r="AD31" s="44"/>
      <c r="AE31" s="44"/>
      <c r="AF31" s="44"/>
    </row>
    <row r="32" spans="1:32" x14ac:dyDescent="0.3">
      <c r="A32" s="38" t="s">
        <v>181</v>
      </c>
      <c r="B32" s="38" t="s">
        <v>174</v>
      </c>
      <c r="C32" s="38" t="s">
        <v>182</v>
      </c>
      <c r="D32" s="39" t="s">
        <v>183</v>
      </c>
      <c r="E32" s="39" t="s">
        <v>177</v>
      </c>
      <c r="F32" s="38" t="s">
        <v>134</v>
      </c>
      <c r="G32" s="38" t="s">
        <v>130</v>
      </c>
      <c r="H32" s="44"/>
      <c r="I32" s="44"/>
      <c r="J32" s="44"/>
      <c r="K32" s="44"/>
      <c r="L32" s="44"/>
      <c r="M32" s="44"/>
      <c r="N32" s="44"/>
      <c r="O32" s="44"/>
      <c r="P32" s="44"/>
      <c r="Q32" s="44"/>
      <c r="R32" s="44"/>
      <c r="S32" s="44"/>
      <c r="T32" s="44"/>
      <c r="U32" s="44"/>
      <c r="V32" s="44"/>
      <c r="W32" s="44"/>
      <c r="X32" s="44"/>
      <c r="Y32" s="44"/>
      <c r="Z32" s="44"/>
      <c r="AA32" s="44"/>
      <c r="AB32" s="44"/>
      <c r="AC32" s="44"/>
      <c r="AD32" s="44"/>
      <c r="AE32" s="44"/>
      <c r="AF32" s="44"/>
    </row>
    <row r="33" spans="1:32" x14ac:dyDescent="0.3">
      <c r="A33" s="38" t="s">
        <v>181</v>
      </c>
      <c r="B33" s="38" t="s">
        <v>174</v>
      </c>
      <c r="C33" s="38" t="s">
        <v>182</v>
      </c>
      <c r="D33" s="39" t="s">
        <v>183</v>
      </c>
      <c r="E33" s="39" t="s">
        <v>177</v>
      </c>
      <c r="F33" s="38" t="s">
        <v>135</v>
      </c>
      <c r="G33" s="38" t="s">
        <v>130</v>
      </c>
      <c r="H33" s="44"/>
      <c r="I33" s="44"/>
      <c r="J33" s="44"/>
      <c r="K33" s="44"/>
      <c r="L33" s="44"/>
      <c r="M33" s="44"/>
      <c r="N33" s="44"/>
      <c r="O33" s="44"/>
      <c r="P33" s="44"/>
      <c r="Q33" s="44"/>
      <c r="R33" s="44"/>
      <c r="S33" s="44"/>
      <c r="T33" s="44"/>
      <c r="U33" s="44"/>
      <c r="V33" s="44"/>
      <c r="W33" s="44"/>
      <c r="X33" s="44"/>
      <c r="Y33" s="44"/>
      <c r="Z33" s="44"/>
      <c r="AA33" s="44"/>
      <c r="AB33" s="44"/>
      <c r="AC33" s="44"/>
      <c r="AD33" s="44"/>
      <c r="AE33" s="44"/>
      <c r="AF33" s="44"/>
    </row>
    <row r="34" spans="1:32" x14ac:dyDescent="0.3">
      <c r="A34" s="38" t="s">
        <v>181</v>
      </c>
      <c r="B34" s="38" t="s">
        <v>174</v>
      </c>
      <c r="C34" s="38" t="s">
        <v>182</v>
      </c>
      <c r="D34" s="39" t="s">
        <v>183</v>
      </c>
      <c r="E34" s="39" t="s">
        <v>177</v>
      </c>
      <c r="F34" s="38" t="s">
        <v>136</v>
      </c>
      <c r="G34" s="38" t="s">
        <v>130</v>
      </c>
      <c r="H34" s="44">
        <f>SUM(I34:AF34)</f>
        <v>0</v>
      </c>
      <c r="I34" s="44">
        <f t="shared" ref="I34:AF34" si="6">IF(AND(ISBLANK(I37) = TRUE,ISBLANK(I36) = TRUE),I35,I36+I37)</f>
        <v>0</v>
      </c>
      <c r="J34" s="44">
        <f t="shared" si="6"/>
        <v>0</v>
      </c>
      <c r="K34" s="44">
        <f t="shared" si="6"/>
        <v>0</v>
      </c>
      <c r="L34" s="44">
        <f t="shared" si="6"/>
        <v>0</v>
      </c>
      <c r="M34" s="44">
        <f t="shared" si="6"/>
        <v>0</v>
      </c>
      <c r="N34" s="44">
        <f t="shared" si="6"/>
        <v>0</v>
      </c>
      <c r="O34" s="44">
        <f t="shared" si="6"/>
        <v>0</v>
      </c>
      <c r="P34" s="44">
        <f t="shared" si="6"/>
        <v>0</v>
      </c>
      <c r="Q34" s="44">
        <f t="shared" si="6"/>
        <v>0</v>
      </c>
      <c r="R34" s="44">
        <f t="shared" si="6"/>
        <v>0</v>
      </c>
      <c r="S34" s="44">
        <f t="shared" si="6"/>
        <v>0</v>
      </c>
      <c r="T34" s="44">
        <f t="shared" si="6"/>
        <v>0</v>
      </c>
      <c r="U34" s="44">
        <f t="shared" si="6"/>
        <v>0</v>
      </c>
      <c r="V34" s="44">
        <f t="shared" si="6"/>
        <v>0</v>
      </c>
      <c r="W34" s="44">
        <f t="shared" si="6"/>
        <v>0</v>
      </c>
      <c r="X34" s="44">
        <f t="shared" si="6"/>
        <v>0</v>
      </c>
      <c r="Y34" s="44">
        <f t="shared" si="6"/>
        <v>0</v>
      </c>
      <c r="Z34" s="44">
        <f t="shared" si="6"/>
        <v>0</v>
      </c>
      <c r="AA34" s="44">
        <f t="shared" si="6"/>
        <v>0</v>
      </c>
      <c r="AB34" s="44">
        <f t="shared" si="6"/>
        <v>0</v>
      </c>
      <c r="AC34" s="44">
        <f t="shared" si="6"/>
        <v>0</v>
      </c>
      <c r="AD34" s="44">
        <f t="shared" si="6"/>
        <v>0</v>
      </c>
      <c r="AE34" s="44">
        <f t="shared" si="6"/>
        <v>0</v>
      </c>
      <c r="AF34" s="44">
        <f t="shared" si="6"/>
        <v>0</v>
      </c>
    </row>
    <row r="35" spans="1:32" x14ac:dyDescent="0.3">
      <c r="A35" s="38" t="s">
        <v>181</v>
      </c>
      <c r="B35" s="38" t="s">
        <v>174</v>
      </c>
      <c r="C35" s="38" t="s">
        <v>182</v>
      </c>
      <c r="D35" s="39" t="s">
        <v>183</v>
      </c>
      <c r="E35" s="39" t="s">
        <v>177</v>
      </c>
      <c r="F35" s="38" t="s">
        <v>124</v>
      </c>
      <c r="G35" s="38" t="s">
        <v>130</v>
      </c>
      <c r="H35" s="44"/>
      <c r="I35" s="44"/>
      <c r="J35" s="44"/>
      <c r="K35" s="44"/>
      <c r="L35" s="44"/>
      <c r="M35" s="44"/>
      <c r="N35" s="44"/>
      <c r="O35" s="44"/>
      <c r="P35" s="44"/>
      <c r="Q35" s="44"/>
      <c r="R35" s="44"/>
      <c r="S35" s="44"/>
      <c r="T35" s="44"/>
      <c r="U35" s="44"/>
      <c r="V35" s="44"/>
      <c r="W35" s="44"/>
      <c r="X35" s="44"/>
      <c r="Y35" s="44"/>
      <c r="Z35" s="44"/>
      <c r="AA35" s="44"/>
      <c r="AB35" s="44"/>
      <c r="AC35" s="44"/>
      <c r="AD35" s="44"/>
      <c r="AE35" s="44"/>
      <c r="AF35" s="44"/>
    </row>
    <row r="36" spans="1:32" x14ac:dyDescent="0.3">
      <c r="A36" s="38" t="s">
        <v>181</v>
      </c>
      <c r="B36" s="38" t="s">
        <v>174</v>
      </c>
      <c r="C36" s="38" t="s">
        <v>182</v>
      </c>
      <c r="D36" s="39" t="s">
        <v>183</v>
      </c>
      <c r="E36" s="39" t="s">
        <v>177</v>
      </c>
      <c r="F36" s="38" t="s">
        <v>137</v>
      </c>
      <c r="G36" s="38" t="s">
        <v>130</v>
      </c>
      <c r="H36" s="44">
        <f>SUM(I36:AF36)</f>
        <v>0</v>
      </c>
      <c r="I36" s="44"/>
      <c r="J36" s="44"/>
      <c r="K36" s="44"/>
      <c r="L36" s="44"/>
      <c r="M36" s="44"/>
      <c r="N36" s="44"/>
      <c r="O36" s="44"/>
      <c r="P36" s="44"/>
      <c r="Q36" s="44"/>
      <c r="R36" s="44"/>
      <c r="S36" s="44"/>
      <c r="T36" s="44"/>
      <c r="U36" s="44"/>
      <c r="V36" s="44"/>
      <c r="W36" s="44"/>
      <c r="X36" s="44"/>
      <c r="Y36" s="44"/>
      <c r="Z36" s="44"/>
      <c r="AA36" s="44"/>
      <c r="AB36" s="44"/>
      <c r="AC36" s="44"/>
      <c r="AD36" s="44"/>
      <c r="AE36" s="44"/>
      <c r="AF36" s="44"/>
    </row>
    <row r="37" spans="1:32" x14ac:dyDescent="0.3">
      <c r="A37" s="38" t="s">
        <v>181</v>
      </c>
      <c r="B37" s="38" t="s">
        <v>174</v>
      </c>
      <c r="C37" s="38" t="s">
        <v>182</v>
      </c>
      <c r="D37" s="39" t="s">
        <v>183</v>
      </c>
      <c r="E37" s="39" t="s">
        <v>177</v>
      </c>
      <c r="F37" s="38" t="s">
        <v>138</v>
      </c>
      <c r="G37" s="38" t="s">
        <v>130</v>
      </c>
      <c r="H37" s="44">
        <f>SUM(I37:AF37)</f>
        <v>0</v>
      </c>
      <c r="I37" s="44"/>
      <c r="J37" s="44"/>
      <c r="K37" s="44"/>
      <c r="L37" s="44"/>
      <c r="M37" s="44"/>
      <c r="N37" s="44"/>
      <c r="O37" s="44"/>
      <c r="P37" s="44"/>
      <c r="Q37" s="44"/>
      <c r="R37" s="44"/>
      <c r="S37" s="44"/>
      <c r="T37" s="44"/>
      <c r="U37" s="44"/>
      <c r="V37" s="44"/>
      <c r="W37" s="44"/>
      <c r="X37" s="44"/>
      <c r="Y37" s="44"/>
      <c r="Z37" s="44"/>
      <c r="AA37" s="44"/>
      <c r="AB37" s="44"/>
      <c r="AC37" s="44"/>
      <c r="AD37" s="44"/>
      <c r="AE37" s="44"/>
      <c r="AF37" s="44"/>
    </row>
    <row r="38" spans="1:32" x14ac:dyDescent="0.3">
      <c r="A38" s="38" t="s">
        <v>181</v>
      </c>
      <c r="B38" s="38" t="s">
        <v>174</v>
      </c>
      <c r="C38" s="38" t="s">
        <v>182</v>
      </c>
      <c r="D38" s="39" t="s">
        <v>183</v>
      </c>
      <c r="E38" s="39" t="s">
        <v>177</v>
      </c>
      <c r="F38" s="38" t="s">
        <v>139</v>
      </c>
      <c r="G38" s="38" t="s">
        <v>130</v>
      </c>
      <c r="H38" s="44"/>
      <c r="I38" s="44"/>
      <c r="J38" s="44"/>
      <c r="K38" s="44"/>
      <c r="L38" s="44"/>
      <c r="M38" s="44"/>
      <c r="N38" s="44"/>
      <c r="O38" s="44"/>
      <c r="P38" s="44"/>
      <c r="Q38" s="44"/>
      <c r="R38" s="44"/>
      <c r="S38" s="44"/>
      <c r="T38" s="44"/>
      <c r="U38" s="44"/>
      <c r="V38" s="44"/>
      <c r="W38" s="44"/>
      <c r="X38" s="44"/>
      <c r="Y38" s="44"/>
      <c r="Z38" s="44"/>
      <c r="AA38" s="44"/>
      <c r="AB38" s="44"/>
      <c r="AC38" s="44"/>
      <c r="AD38" s="44"/>
      <c r="AE38" s="44"/>
      <c r="AF38" s="44"/>
    </row>
    <row r="39" spans="1:32" x14ac:dyDescent="0.3">
      <c r="A39" s="38" t="s">
        <v>181</v>
      </c>
      <c r="B39" s="38" t="s">
        <v>174</v>
      </c>
      <c r="C39" s="38" t="s">
        <v>182</v>
      </c>
      <c r="D39" s="39" t="s">
        <v>183</v>
      </c>
      <c r="E39" s="39" t="s">
        <v>177</v>
      </c>
      <c r="F39" s="38" t="s">
        <v>140</v>
      </c>
      <c r="G39" s="38" t="s">
        <v>130</v>
      </c>
      <c r="H39" s="44"/>
      <c r="I39" s="44">
        <f>I34-(I29+I28)+(I33+I32+I31+I30)</f>
        <v>-2</v>
      </c>
      <c r="J39" s="44">
        <f t="shared" ref="J39:AF39" si="7">I39+J34-J29</f>
        <v>-4</v>
      </c>
      <c r="K39" s="44">
        <f t="shared" si="7"/>
        <v>-5</v>
      </c>
      <c r="L39" s="44">
        <f t="shared" si="7"/>
        <v>-6</v>
      </c>
      <c r="M39" s="44">
        <f t="shared" si="7"/>
        <v>-10</v>
      </c>
      <c r="N39" s="44">
        <f t="shared" si="7"/>
        <v>-14</v>
      </c>
      <c r="O39" s="44">
        <f t="shared" si="7"/>
        <v>-17</v>
      </c>
      <c r="P39" s="44">
        <f t="shared" si="7"/>
        <v>-20</v>
      </c>
      <c r="Q39" s="44">
        <f t="shared" si="7"/>
        <v>-24</v>
      </c>
      <c r="R39" s="44">
        <f t="shared" si="7"/>
        <v>-29</v>
      </c>
      <c r="S39" s="44">
        <f t="shared" si="7"/>
        <v>-34</v>
      </c>
      <c r="T39" s="44">
        <f t="shared" si="7"/>
        <v>-38</v>
      </c>
      <c r="U39" s="44">
        <f t="shared" si="7"/>
        <v>-43</v>
      </c>
      <c r="V39" s="44">
        <f t="shared" si="7"/>
        <v>-50</v>
      </c>
      <c r="W39" s="44">
        <f t="shared" si="7"/>
        <v>-56</v>
      </c>
      <c r="X39" s="44">
        <f t="shared" si="7"/>
        <v>-62</v>
      </c>
      <c r="Y39" s="44">
        <f t="shared" si="7"/>
        <v>-68</v>
      </c>
      <c r="Z39" s="44">
        <f t="shared" si="7"/>
        <v>-74</v>
      </c>
      <c r="AA39" s="44">
        <f t="shared" si="7"/>
        <v>-82</v>
      </c>
      <c r="AB39" s="44">
        <f t="shared" si="7"/>
        <v>-90</v>
      </c>
      <c r="AC39" s="44">
        <f t="shared" si="7"/>
        <v>-97</v>
      </c>
      <c r="AD39" s="44">
        <f t="shared" si="7"/>
        <v>-104</v>
      </c>
      <c r="AE39" s="44">
        <f t="shared" si="7"/>
        <v>-111</v>
      </c>
      <c r="AF39" s="44">
        <f t="shared" si="7"/>
        <v>-118</v>
      </c>
    </row>
    <row r="40" spans="1:32" ht="15" thickBot="1" x14ac:dyDescent="0.35">
      <c r="A40" s="40" t="s">
        <v>181</v>
      </c>
      <c r="B40" s="40" t="s">
        <v>174</v>
      </c>
      <c r="C40" s="40" t="s">
        <v>182</v>
      </c>
      <c r="D40" s="41" t="s">
        <v>183</v>
      </c>
      <c r="E40" s="41" t="s">
        <v>177</v>
      </c>
      <c r="F40" s="40" t="s">
        <v>141</v>
      </c>
      <c r="G40" s="40" t="s">
        <v>130</v>
      </c>
      <c r="H40" s="45"/>
      <c r="I40" s="45">
        <f>I34-I38</f>
        <v>0</v>
      </c>
      <c r="J40" s="45">
        <f t="shared" ref="J40:AF40" si="8">I40+J34-J38</f>
        <v>0</v>
      </c>
      <c r="K40" s="45">
        <f t="shared" si="8"/>
        <v>0</v>
      </c>
      <c r="L40" s="45">
        <f t="shared" si="8"/>
        <v>0</v>
      </c>
      <c r="M40" s="45">
        <f t="shared" si="8"/>
        <v>0</v>
      </c>
      <c r="N40" s="45">
        <f t="shared" si="8"/>
        <v>0</v>
      </c>
      <c r="O40" s="45">
        <f t="shared" si="8"/>
        <v>0</v>
      </c>
      <c r="P40" s="45">
        <f t="shared" si="8"/>
        <v>0</v>
      </c>
      <c r="Q40" s="45">
        <f t="shared" si="8"/>
        <v>0</v>
      </c>
      <c r="R40" s="45">
        <f t="shared" si="8"/>
        <v>0</v>
      </c>
      <c r="S40" s="45">
        <f t="shared" si="8"/>
        <v>0</v>
      </c>
      <c r="T40" s="45">
        <f t="shared" si="8"/>
        <v>0</v>
      </c>
      <c r="U40" s="45">
        <f t="shared" si="8"/>
        <v>0</v>
      </c>
      <c r="V40" s="45">
        <f t="shared" si="8"/>
        <v>0</v>
      </c>
      <c r="W40" s="45">
        <f t="shared" si="8"/>
        <v>0</v>
      </c>
      <c r="X40" s="45">
        <f t="shared" si="8"/>
        <v>0</v>
      </c>
      <c r="Y40" s="45">
        <f t="shared" si="8"/>
        <v>0</v>
      </c>
      <c r="Z40" s="45">
        <f t="shared" si="8"/>
        <v>0</v>
      </c>
      <c r="AA40" s="45">
        <f t="shared" si="8"/>
        <v>0</v>
      </c>
      <c r="AB40" s="45">
        <f t="shared" si="8"/>
        <v>0</v>
      </c>
      <c r="AC40" s="45">
        <f t="shared" si="8"/>
        <v>0</v>
      </c>
      <c r="AD40" s="45">
        <f t="shared" si="8"/>
        <v>0</v>
      </c>
      <c r="AE40" s="45">
        <f t="shared" si="8"/>
        <v>0</v>
      </c>
      <c r="AF40" s="45">
        <f t="shared" si="8"/>
        <v>0</v>
      </c>
    </row>
    <row r="41" spans="1:32" x14ac:dyDescent="0.3">
      <c r="A41" s="38" t="s">
        <v>184</v>
      </c>
      <c r="B41" s="38" t="s">
        <v>174</v>
      </c>
      <c r="C41" s="38" t="s">
        <v>185</v>
      </c>
      <c r="D41" s="39" t="s">
        <v>186</v>
      </c>
      <c r="E41" s="39" t="s">
        <v>177</v>
      </c>
      <c r="F41" s="38" t="s">
        <v>129</v>
      </c>
      <c r="G41" s="38" t="s">
        <v>130</v>
      </c>
      <c r="H41" s="44">
        <v>14250</v>
      </c>
      <c r="I41" s="44">
        <v>14250</v>
      </c>
      <c r="J41" s="44"/>
      <c r="K41" s="44"/>
      <c r="L41" s="44"/>
      <c r="M41" s="44"/>
      <c r="N41" s="44"/>
      <c r="O41" s="44"/>
      <c r="P41" s="44"/>
      <c r="Q41" s="44"/>
      <c r="R41" s="44"/>
      <c r="S41" s="44"/>
      <c r="T41" s="44"/>
      <c r="U41" s="44"/>
      <c r="V41" s="44"/>
      <c r="W41" s="44"/>
      <c r="X41" s="44"/>
      <c r="Y41" s="44"/>
      <c r="Z41" s="44"/>
      <c r="AA41" s="44"/>
      <c r="AB41" s="44"/>
      <c r="AC41" s="44"/>
      <c r="AD41" s="44"/>
      <c r="AE41" s="44"/>
      <c r="AF41" s="44"/>
    </row>
    <row r="42" spans="1:32" x14ac:dyDescent="0.3">
      <c r="A42" s="38" t="s">
        <v>184</v>
      </c>
      <c r="B42" s="38" t="s">
        <v>174</v>
      </c>
      <c r="C42" s="38" t="s">
        <v>185</v>
      </c>
      <c r="D42" s="39" t="s">
        <v>186</v>
      </c>
      <c r="E42" s="39" t="s">
        <v>177</v>
      </c>
      <c r="F42" s="38" t="s">
        <v>131</v>
      </c>
      <c r="G42" s="38" t="s">
        <v>130</v>
      </c>
      <c r="H42" s="44">
        <v>13</v>
      </c>
      <c r="I42" s="44">
        <v>2</v>
      </c>
      <c r="J42" s="44">
        <v>2</v>
      </c>
      <c r="K42" s="44">
        <v>1</v>
      </c>
      <c r="L42" s="44">
        <v>1</v>
      </c>
      <c r="M42" s="44">
        <v>1</v>
      </c>
      <c r="N42" s="44">
        <v>1</v>
      </c>
      <c r="O42" s="44">
        <v>1</v>
      </c>
      <c r="P42" s="44">
        <v>1</v>
      </c>
      <c r="Q42" s="44">
        <v>1</v>
      </c>
      <c r="R42" s="44">
        <v>1</v>
      </c>
      <c r="S42" s="44">
        <v>1</v>
      </c>
      <c r="T42" s="44">
        <v>0</v>
      </c>
      <c r="U42" s="44">
        <v>0</v>
      </c>
      <c r="V42" s="44">
        <v>0</v>
      </c>
      <c r="W42" s="44">
        <v>0</v>
      </c>
      <c r="X42" s="44">
        <v>0</v>
      </c>
      <c r="Y42" s="44">
        <v>0</v>
      </c>
      <c r="Z42" s="44">
        <v>0</v>
      </c>
      <c r="AA42" s="44">
        <v>0</v>
      </c>
      <c r="AB42" s="44">
        <v>0</v>
      </c>
      <c r="AC42" s="44">
        <v>0</v>
      </c>
      <c r="AD42" s="44">
        <v>0</v>
      </c>
      <c r="AE42" s="44">
        <v>0</v>
      </c>
      <c r="AF42" s="44">
        <v>0</v>
      </c>
    </row>
    <row r="43" spans="1:32" x14ac:dyDescent="0.3">
      <c r="A43" s="38" t="s">
        <v>184</v>
      </c>
      <c r="B43" s="38" t="s">
        <v>174</v>
      </c>
      <c r="C43" s="38" t="s">
        <v>185</v>
      </c>
      <c r="D43" s="39" t="s">
        <v>186</v>
      </c>
      <c r="E43" s="39" t="s">
        <v>177</v>
      </c>
      <c r="F43" s="38" t="s">
        <v>132</v>
      </c>
      <c r="G43" s="38" t="s">
        <v>130</v>
      </c>
      <c r="H43" s="44">
        <v>0</v>
      </c>
      <c r="I43" s="44">
        <v>0</v>
      </c>
      <c r="J43" s="44"/>
      <c r="K43" s="44"/>
      <c r="L43" s="44"/>
      <c r="M43" s="44"/>
      <c r="N43" s="44"/>
      <c r="O43" s="44"/>
      <c r="P43" s="44"/>
      <c r="Q43" s="44"/>
      <c r="R43" s="44"/>
      <c r="S43" s="44"/>
      <c r="T43" s="44"/>
      <c r="U43" s="44"/>
      <c r="V43" s="44"/>
      <c r="W43" s="44"/>
      <c r="X43" s="44"/>
      <c r="Y43" s="44"/>
      <c r="Z43" s="44"/>
      <c r="AA43" s="44"/>
      <c r="AB43" s="44"/>
      <c r="AC43" s="44"/>
      <c r="AD43" s="44"/>
      <c r="AE43" s="44"/>
      <c r="AF43" s="44"/>
    </row>
    <row r="44" spans="1:32" x14ac:dyDescent="0.3">
      <c r="A44" s="38" t="s">
        <v>184</v>
      </c>
      <c r="B44" s="38" t="s">
        <v>174</v>
      </c>
      <c r="C44" s="38" t="s">
        <v>185</v>
      </c>
      <c r="D44" s="39" t="s">
        <v>186</v>
      </c>
      <c r="E44" s="39" t="s">
        <v>177</v>
      </c>
      <c r="F44" s="38" t="s">
        <v>133</v>
      </c>
      <c r="G44" s="38" t="s">
        <v>130</v>
      </c>
      <c r="H44" s="44">
        <v>0</v>
      </c>
      <c r="I44" s="44">
        <v>0</v>
      </c>
      <c r="J44" s="44"/>
      <c r="K44" s="44"/>
      <c r="L44" s="44"/>
      <c r="M44" s="44"/>
      <c r="N44" s="44"/>
      <c r="O44" s="44"/>
      <c r="P44" s="44"/>
      <c r="Q44" s="44"/>
      <c r="R44" s="44"/>
      <c r="S44" s="44"/>
      <c r="T44" s="44"/>
      <c r="U44" s="44"/>
      <c r="V44" s="44"/>
      <c r="W44" s="44"/>
      <c r="X44" s="44"/>
      <c r="Y44" s="44"/>
      <c r="Z44" s="44"/>
      <c r="AA44" s="44"/>
      <c r="AB44" s="44"/>
      <c r="AC44" s="44"/>
      <c r="AD44" s="44"/>
      <c r="AE44" s="44"/>
      <c r="AF44" s="44"/>
    </row>
    <row r="45" spans="1:32" x14ac:dyDescent="0.3">
      <c r="A45" s="38" t="s">
        <v>184</v>
      </c>
      <c r="B45" s="38" t="s">
        <v>174</v>
      </c>
      <c r="C45" s="38" t="s">
        <v>185</v>
      </c>
      <c r="D45" s="39" t="s">
        <v>186</v>
      </c>
      <c r="E45" s="39" t="s">
        <v>177</v>
      </c>
      <c r="F45" s="38" t="s">
        <v>134</v>
      </c>
      <c r="G45" s="38" t="s">
        <v>130</v>
      </c>
      <c r="H45" s="44">
        <v>0</v>
      </c>
      <c r="I45" s="44">
        <v>0</v>
      </c>
      <c r="J45" s="44"/>
      <c r="K45" s="44"/>
      <c r="L45" s="44"/>
      <c r="M45" s="44"/>
      <c r="N45" s="44"/>
      <c r="O45" s="44"/>
      <c r="P45" s="44"/>
      <c r="Q45" s="44"/>
      <c r="R45" s="44"/>
      <c r="S45" s="44"/>
      <c r="T45" s="44"/>
      <c r="U45" s="44"/>
      <c r="V45" s="44"/>
      <c r="W45" s="44"/>
      <c r="X45" s="44"/>
      <c r="Y45" s="44"/>
      <c r="Z45" s="44"/>
      <c r="AA45" s="44"/>
      <c r="AB45" s="44"/>
      <c r="AC45" s="44"/>
      <c r="AD45" s="44"/>
      <c r="AE45" s="44"/>
      <c r="AF45" s="44"/>
    </row>
    <row r="46" spans="1:32" x14ac:dyDescent="0.3">
      <c r="A46" s="38" t="s">
        <v>184</v>
      </c>
      <c r="B46" s="38" t="s">
        <v>174</v>
      </c>
      <c r="C46" s="38" t="s">
        <v>185</v>
      </c>
      <c r="D46" s="39" t="s">
        <v>186</v>
      </c>
      <c r="E46" s="39" t="s">
        <v>177</v>
      </c>
      <c r="F46" s="38" t="s">
        <v>135</v>
      </c>
      <c r="G46" s="38" t="s">
        <v>130</v>
      </c>
      <c r="H46" s="44"/>
      <c r="I46" s="44"/>
      <c r="J46" s="44"/>
      <c r="K46" s="44"/>
      <c r="L46" s="44"/>
      <c r="M46" s="44"/>
      <c r="N46" s="44"/>
      <c r="O46" s="44"/>
      <c r="P46" s="44"/>
      <c r="Q46" s="44"/>
      <c r="R46" s="44"/>
      <c r="S46" s="44"/>
      <c r="T46" s="44"/>
      <c r="U46" s="44"/>
      <c r="V46" s="44"/>
      <c r="W46" s="44"/>
      <c r="X46" s="44"/>
      <c r="Y46" s="44"/>
      <c r="Z46" s="44"/>
      <c r="AA46" s="44"/>
      <c r="AB46" s="44"/>
      <c r="AC46" s="44"/>
      <c r="AD46" s="44"/>
      <c r="AE46" s="44"/>
      <c r="AF46" s="44"/>
    </row>
    <row r="47" spans="1:32" x14ac:dyDescent="0.3">
      <c r="A47" s="38" t="s">
        <v>184</v>
      </c>
      <c r="B47" s="38" t="s">
        <v>174</v>
      </c>
      <c r="C47" s="38" t="s">
        <v>185</v>
      </c>
      <c r="D47" s="39" t="s">
        <v>186</v>
      </c>
      <c r="E47" s="39" t="s">
        <v>177</v>
      </c>
      <c r="F47" s="38" t="s">
        <v>136</v>
      </c>
      <c r="G47" s="38" t="s">
        <v>130</v>
      </c>
      <c r="H47" s="44">
        <f>SUM(I47:AF47)</f>
        <v>0</v>
      </c>
      <c r="I47" s="44">
        <f t="shared" ref="I47:AF47" si="9">IF(AND(ISBLANK(I50) = TRUE,ISBLANK(I49) = TRUE),I48,I49+I50)</f>
        <v>0</v>
      </c>
      <c r="J47" s="44">
        <f t="shared" si="9"/>
        <v>0</v>
      </c>
      <c r="K47" s="44">
        <f t="shared" si="9"/>
        <v>0</v>
      </c>
      <c r="L47" s="44">
        <f t="shared" si="9"/>
        <v>0</v>
      </c>
      <c r="M47" s="44">
        <f t="shared" si="9"/>
        <v>0</v>
      </c>
      <c r="N47" s="44">
        <f t="shared" si="9"/>
        <v>0</v>
      </c>
      <c r="O47" s="44">
        <f t="shared" si="9"/>
        <v>0</v>
      </c>
      <c r="P47" s="44">
        <f t="shared" si="9"/>
        <v>0</v>
      </c>
      <c r="Q47" s="44">
        <f t="shared" si="9"/>
        <v>0</v>
      </c>
      <c r="R47" s="44">
        <f t="shared" si="9"/>
        <v>0</v>
      </c>
      <c r="S47" s="44">
        <f t="shared" si="9"/>
        <v>0</v>
      </c>
      <c r="T47" s="44">
        <f t="shared" si="9"/>
        <v>0</v>
      </c>
      <c r="U47" s="44">
        <f t="shared" si="9"/>
        <v>0</v>
      </c>
      <c r="V47" s="44">
        <f t="shared" si="9"/>
        <v>0</v>
      </c>
      <c r="W47" s="44">
        <f t="shared" si="9"/>
        <v>0</v>
      </c>
      <c r="X47" s="44">
        <f t="shared" si="9"/>
        <v>0</v>
      </c>
      <c r="Y47" s="44">
        <f t="shared" si="9"/>
        <v>0</v>
      </c>
      <c r="Z47" s="44">
        <f t="shared" si="9"/>
        <v>0</v>
      </c>
      <c r="AA47" s="44">
        <f t="shared" si="9"/>
        <v>0</v>
      </c>
      <c r="AB47" s="44">
        <f t="shared" si="9"/>
        <v>0</v>
      </c>
      <c r="AC47" s="44">
        <f t="shared" si="9"/>
        <v>0</v>
      </c>
      <c r="AD47" s="44">
        <f t="shared" si="9"/>
        <v>0</v>
      </c>
      <c r="AE47" s="44">
        <f t="shared" si="9"/>
        <v>0</v>
      </c>
      <c r="AF47" s="44">
        <f t="shared" si="9"/>
        <v>0</v>
      </c>
    </row>
    <row r="48" spans="1:32" x14ac:dyDescent="0.3">
      <c r="A48" s="38" t="s">
        <v>184</v>
      </c>
      <c r="B48" s="38" t="s">
        <v>174</v>
      </c>
      <c r="C48" s="38" t="s">
        <v>185</v>
      </c>
      <c r="D48" s="39" t="s">
        <v>186</v>
      </c>
      <c r="E48" s="39" t="s">
        <v>177</v>
      </c>
      <c r="F48" s="38" t="s">
        <v>124</v>
      </c>
      <c r="G48" s="38" t="s">
        <v>130</v>
      </c>
      <c r="H48" s="44"/>
      <c r="I48" s="44"/>
      <c r="J48" s="44"/>
      <c r="K48" s="44"/>
      <c r="L48" s="44"/>
      <c r="M48" s="44"/>
      <c r="N48" s="44"/>
      <c r="O48" s="44"/>
      <c r="P48" s="44"/>
      <c r="Q48" s="44"/>
      <c r="R48" s="44"/>
      <c r="S48" s="44"/>
      <c r="T48" s="44"/>
      <c r="U48" s="44"/>
      <c r="V48" s="44"/>
      <c r="W48" s="44"/>
      <c r="X48" s="44"/>
      <c r="Y48" s="44"/>
      <c r="Z48" s="44"/>
      <c r="AA48" s="44"/>
      <c r="AB48" s="44"/>
      <c r="AC48" s="44"/>
      <c r="AD48" s="44"/>
      <c r="AE48" s="44"/>
      <c r="AF48" s="44"/>
    </row>
    <row r="49" spans="1:32" x14ac:dyDescent="0.3">
      <c r="A49" s="38" t="s">
        <v>184</v>
      </c>
      <c r="B49" s="38" t="s">
        <v>174</v>
      </c>
      <c r="C49" s="38" t="s">
        <v>185</v>
      </c>
      <c r="D49" s="39" t="s">
        <v>186</v>
      </c>
      <c r="E49" s="39" t="s">
        <v>177</v>
      </c>
      <c r="F49" s="38" t="s">
        <v>137</v>
      </c>
      <c r="G49" s="38" t="s">
        <v>130</v>
      </c>
      <c r="H49" s="44">
        <f>SUM(I49:AF49)</f>
        <v>0</v>
      </c>
      <c r="I49" s="44"/>
      <c r="J49" s="44"/>
      <c r="K49" s="44"/>
      <c r="L49" s="44"/>
      <c r="M49" s="44"/>
      <c r="N49" s="44"/>
      <c r="O49" s="44"/>
      <c r="P49" s="44"/>
      <c r="Q49" s="44"/>
      <c r="R49" s="44"/>
      <c r="S49" s="44"/>
      <c r="T49" s="44"/>
      <c r="U49" s="44"/>
      <c r="V49" s="44"/>
      <c r="W49" s="44"/>
      <c r="X49" s="44"/>
      <c r="Y49" s="44"/>
      <c r="Z49" s="44"/>
      <c r="AA49" s="44"/>
      <c r="AB49" s="44"/>
      <c r="AC49" s="44"/>
      <c r="AD49" s="44"/>
      <c r="AE49" s="44"/>
      <c r="AF49" s="44"/>
    </row>
    <row r="50" spans="1:32" x14ac:dyDescent="0.3">
      <c r="A50" s="38" t="s">
        <v>184</v>
      </c>
      <c r="B50" s="38" t="s">
        <v>174</v>
      </c>
      <c r="C50" s="38" t="s">
        <v>185</v>
      </c>
      <c r="D50" s="39" t="s">
        <v>186</v>
      </c>
      <c r="E50" s="39" t="s">
        <v>177</v>
      </c>
      <c r="F50" s="38" t="s">
        <v>138</v>
      </c>
      <c r="G50" s="38" t="s">
        <v>130</v>
      </c>
      <c r="H50" s="44">
        <f>SUM(I50:AF50)</f>
        <v>0</v>
      </c>
      <c r="I50" s="44"/>
      <c r="J50" s="44"/>
      <c r="K50" s="44"/>
      <c r="L50" s="44"/>
      <c r="M50" s="44"/>
      <c r="N50" s="44"/>
      <c r="O50" s="44"/>
      <c r="P50" s="44"/>
      <c r="Q50" s="44"/>
      <c r="R50" s="44"/>
      <c r="S50" s="44"/>
      <c r="T50" s="44"/>
      <c r="U50" s="44"/>
      <c r="V50" s="44"/>
      <c r="W50" s="44"/>
      <c r="X50" s="44"/>
      <c r="Y50" s="44"/>
      <c r="Z50" s="44"/>
      <c r="AA50" s="44"/>
      <c r="AB50" s="44"/>
      <c r="AC50" s="44"/>
      <c r="AD50" s="44"/>
      <c r="AE50" s="44"/>
      <c r="AF50" s="44"/>
    </row>
    <row r="51" spans="1:32" x14ac:dyDescent="0.3">
      <c r="A51" s="38" t="s">
        <v>184</v>
      </c>
      <c r="B51" s="38" t="s">
        <v>174</v>
      </c>
      <c r="C51" s="38" t="s">
        <v>185</v>
      </c>
      <c r="D51" s="39" t="s">
        <v>186</v>
      </c>
      <c r="E51" s="39" t="s">
        <v>177</v>
      </c>
      <c r="F51" s="38" t="s">
        <v>139</v>
      </c>
      <c r="G51" s="38" t="s">
        <v>130</v>
      </c>
      <c r="H51" s="44"/>
      <c r="I51" s="44"/>
      <c r="J51" s="44"/>
      <c r="K51" s="44"/>
      <c r="L51" s="44"/>
      <c r="M51" s="44"/>
      <c r="N51" s="44"/>
      <c r="O51" s="44"/>
      <c r="P51" s="44"/>
      <c r="Q51" s="44"/>
      <c r="R51" s="44"/>
      <c r="S51" s="44"/>
      <c r="T51" s="44"/>
      <c r="U51" s="44"/>
      <c r="V51" s="44"/>
      <c r="W51" s="44"/>
      <c r="X51" s="44"/>
      <c r="Y51" s="44"/>
      <c r="Z51" s="44"/>
      <c r="AA51" s="44"/>
      <c r="AB51" s="44"/>
      <c r="AC51" s="44"/>
      <c r="AD51" s="44"/>
      <c r="AE51" s="44"/>
      <c r="AF51" s="44"/>
    </row>
    <row r="52" spans="1:32" x14ac:dyDescent="0.3">
      <c r="A52" s="38" t="s">
        <v>184</v>
      </c>
      <c r="B52" s="38" t="s">
        <v>174</v>
      </c>
      <c r="C52" s="38" t="s">
        <v>185</v>
      </c>
      <c r="D52" s="39" t="s">
        <v>186</v>
      </c>
      <c r="E52" s="39" t="s">
        <v>177</v>
      </c>
      <c r="F52" s="38" t="s">
        <v>140</v>
      </c>
      <c r="G52" s="38" t="s">
        <v>130</v>
      </c>
      <c r="H52" s="44"/>
      <c r="I52" s="44">
        <f>I47-(I42+I41)+(I46+I45+I44+I43)</f>
        <v>-14252</v>
      </c>
      <c r="J52" s="44">
        <f t="shared" ref="J52:AF52" si="10">I52+J47-J42</f>
        <v>-14254</v>
      </c>
      <c r="K52" s="44">
        <f t="shared" si="10"/>
        <v>-14255</v>
      </c>
      <c r="L52" s="44">
        <f t="shared" si="10"/>
        <v>-14256</v>
      </c>
      <c r="M52" s="44">
        <f t="shared" si="10"/>
        <v>-14257</v>
      </c>
      <c r="N52" s="44">
        <f t="shared" si="10"/>
        <v>-14258</v>
      </c>
      <c r="O52" s="44">
        <f t="shared" si="10"/>
        <v>-14259</v>
      </c>
      <c r="P52" s="44">
        <f t="shared" si="10"/>
        <v>-14260</v>
      </c>
      <c r="Q52" s="44">
        <f t="shared" si="10"/>
        <v>-14261</v>
      </c>
      <c r="R52" s="44">
        <f t="shared" si="10"/>
        <v>-14262</v>
      </c>
      <c r="S52" s="44">
        <f t="shared" si="10"/>
        <v>-14263</v>
      </c>
      <c r="T52" s="44">
        <f t="shared" si="10"/>
        <v>-14263</v>
      </c>
      <c r="U52" s="44">
        <f t="shared" si="10"/>
        <v>-14263</v>
      </c>
      <c r="V52" s="44">
        <f t="shared" si="10"/>
        <v>-14263</v>
      </c>
      <c r="W52" s="44">
        <f t="shared" si="10"/>
        <v>-14263</v>
      </c>
      <c r="X52" s="44">
        <f t="shared" si="10"/>
        <v>-14263</v>
      </c>
      <c r="Y52" s="44">
        <f t="shared" si="10"/>
        <v>-14263</v>
      </c>
      <c r="Z52" s="44">
        <f t="shared" si="10"/>
        <v>-14263</v>
      </c>
      <c r="AA52" s="44">
        <f t="shared" si="10"/>
        <v>-14263</v>
      </c>
      <c r="AB52" s="44">
        <f t="shared" si="10"/>
        <v>-14263</v>
      </c>
      <c r="AC52" s="44">
        <f t="shared" si="10"/>
        <v>-14263</v>
      </c>
      <c r="AD52" s="44">
        <f t="shared" si="10"/>
        <v>-14263</v>
      </c>
      <c r="AE52" s="44">
        <f t="shared" si="10"/>
        <v>-14263</v>
      </c>
      <c r="AF52" s="44">
        <f t="shared" si="10"/>
        <v>-14263</v>
      </c>
    </row>
    <row r="53" spans="1:32" ht="15" thickBot="1" x14ac:dyDescent="0.35">
      <c r="A53" s="40" t="s">
        <v>184</v>
      </c>
      <c r="B53" s="40" t="s">
        <v>174</v>
      </c>
      <c r="C53" s="40" t="s">
        <v>185</v>
      </c>
      <c r="D53" s="41" t="s">
        <v>186</v>
      </c>
      <c r="E53" s="41" t="s">
        <v>177</v>
      </c>
      <c r="F53" s="40" t="s">
        <v>141</v>
      </c>
      <c r="G53" s="40" t="s">
        <v>130</v>
      </c>
      <c r="H53" s="45"/>
      <c r="I53" s="45">
        <f>I47-I51</f>
        <v>0</v>
      </c>
      <c r="J53" s="45">
        <f t="shared" ref="J53:AF53" si="11">I53+J47-J51</f>
        <v>0</v>
      </c>
      <c r="K53" s="45">
        <f t="shared" si="11"/>
        <v>0</v>
      </c>
      <c r="L53" s="45">
        <f t="shared" si="11"/>
        <v>0</v>
      </c>
      <c r="M53" s="45">
        <f t="shared" si="11"/>
        <v>0</v>
      </c>
      <c r="N53" s="45">
        <f t="shared" si="11"/>
        <v>0</v>
      </c>
      <c r="O53" s="45">
        <f t="shared" si="11"/>
        <v>0</v>
      </c>
      <c r="P53" s="45">
        <f t="shared" si="11"/>
        <v>0</v>
      </c>
      <c r="Q53" s="45">
        <f t="shared" si="11"/>
        <v>0</v>
      </c>
      <c r="R53" s="45">
        <f t="shared" si="11"/>
        <v>0</v>
      </c>
      <c r="S53" s="45">
        <f t="shared" si="11"/>
        <v>0</v>
      </c>
      <c r="T53" s="45">
        <f t="shared" si="11"/>
        <v>0</v>
      </c>
      <c r="U53" s="45">
        <f t="shared" si="11"/>
        <v>0</v>
      </c>
      <c r="V53" s="45">
        <f t="shared" si="11"/>
        <v>0</v>
      </c>
      <c r="W53" s="45">
        <f t="shared" si="11"/>
        <v>0</v>
      </c>
      <c r="X53" s="45">
        <f t="shared" si="11"/>
        <v>0</v>
      </c>
      <c r="Y53" s="45">
        <f t="shared" si="11"/>
        <v>0</v>
      </c>
      <c r="Z53" s="45">
        <f t="shared" si="11"/>
        <v>0</v>
      </c>
      <c r="AA53" s="45">
        <f t="shared" si="11"/>
        <v>0</v>
      </c>
      <c r="AB53" s="45">
        <f t="shared" si="11"/>
        <v>0</v>
      </c>
      <c r="AC53" s="45">
        <f t="shared" si="11"/>
        <v>0</v>
      </c>
      <c r="AD53" s="45">
        <f t="shared" si="11"/>
        <v>0</v>
      </c>
      <c r="AE53" s="45">
        <f t="shared" si="11"/>
        <v>0</v>
      </c>
      <c r="AF53" s="45">
        <f t="shared" si="11"/>
        <v>0</v>
      </c>
    </row>
    <row r="54" spans="1:32" x14ac:dyDescent="0.3">
      <c r="A54" s="38" t="s">
        <v>187</v>
      </c>
      <c r="B54" s="38" t="s">
        <v>174</v>
      </c>
      <c r="C54" s="38" t="s">
        <v>188</v>
      </c>
      <c r="D54" s="39" t="s">
        <v>183</v>
      </c>
      <c r="E54" s="39" t="s">
        <v>177</v>
      </c>
      <c r="F54" s="38" t="s">
        <v>129</v>
      </c>
      <c r="G54" s="38" t="s">
        <v>130</v>
      </c>
      <c r="H54" s="44">
        <v>50</v>
      </c>
      <c r="I54" s="44">
        <v>50</v>
      </c>
      <c r="J54" s="44"/>
      <c r="K54" s="44"/>
      <c r="L54" s="44"/>
      <c r="M54" s="44"/>
      <c r="N54" s="44"/>
      <c r="O54" s="44"/>
      <c r="P54" s="44"/>
      <c r="Q54" s="44"/>
      <c r="R54" s="44"/>
      <c r="S54" s="44"/>
      <c r="T54" s="44"/>
      <c r="U54" s="44"/>
      <c r="V54" s="44"/>
      <c r="W54" s="44"/>
      <c r="X54" s="44"/>
      <c r="Y54" s="44"/>
      <c r="Z54" s="44"/>
      <c r="AA54" s="44"/>
      <c r="AB54" s="44"/>
      <c r="AC54" s="44"/>
      <c r="AD54" s="44"/>
      <c r="AE54" s="44"/>
      <c r="AF54" s="44"/>
    </row>
    <row r="55" spans="1:32" x14ac:dyDescent="0.3">
      <c r="A55" s="38" t="s">
        <v>187</v>
      </c>
      <c r="B55" s="38" t="s">
        <v>174</v>
      </c>
      <c r="C55" s="38" t="s">
        <v>188</v>
      </c>
      <c r="D55" s="39" t="s">
        <v>183</v>
      </c>
      <c r="E55" s="39" t="s">
        <v>177</v>
      </c>
      <c r="F55" s="38" t="s">
        <v>131</v>
      </c>
      <c r="G55" s="38" t="s">
        <v>130</v>
      </c>
      <c r="H55" s="44">
        <v>4</v>
      </c>
      <c r="I55" s="44">
        <v>0</v>
      </c>
      <c r="J55" s="44">
        <v>2</v>
      </c>
      <c r="K55" s="44">
        <v>0</v>
      </c>
      <c r="L55" s="44">
        <v>2</v>
      </c>
      <c r="M55" s="44">
        <v>0</v>
      </c>
      <c r="N55" s="44">
        <v>0</v>
      </c>
      <c r="O55" s="44">
        <v>0</v>
      </c>
      <c r="P55" s="44">
        <v>0</v>
      </c>
      <c r="Q55" s="44">
        <v>0</v>
      </c>
      <c r="R55" s="44">
        <v>0</v>
      </c>
      <c r="S55" s="44">
        <v>0</v>
      </c>
      <c r="T55" s="44">
        <v>0</v>
      </c>
      <c r="U55" s="44">
        <v>0</v>
      </c>
      <c r="V55" s="44">
        <v>0</v>
      </c>
      <c r="W55" s="44">
        <v>0</v>
      </c>
      <c r="X55" s="44">
        <v>0</v>
      </c>
      <c r="Y55" s="44">
        <v>0</v>
      </c>
      <c r="Z55" s="44">
        <v>0</v>
      </c>
      <c r="AA55" s="44">
        <v>0</v>
      </c>
      <c r="AB55" s="44">
        <v>0</v>
      </c>
      <c r="AC55" s="44">
        <v>0</v>
      </c>
      <c r="AD55" s="44">
        <v>0</v>
      </c>
      <c r="AE55" s="44">
        <v>0</v>
      </c>
      <c r="AF55" s="44">
        <v>0</v>
      </c>
    </row>
    <row r="56" spans="1:32" x14ac:dyDescent="0.3">
      <c r="A56" s="38" t="s">
        <v>187</v>
      </c>
      <c r="B56" s="38" t="s">
        <v>174</v>
      </c>
      <c r="C56" s="38" t="s">
        <v>188</v>
      </c>
      <c r="D56" s="39" t="s">
        <v>183</v>
      </c>
      <c r="E56" s="39" t="s">
        <v>177</v>
      </c>
      <c r="F56" s="38" t="s">
        <v>132</v>
      </c>
      <c r="G56" s="38" t="s">
        <v>130</v>
      </c>
      <c r="H56" s="44">
        <v>20574</v>
      </c>
      <c r="I56" s="44">
        <v>20574</v>
      </c>
      <c r="J56" s="44"/>
      <c r="K56" s="44"/>
      <c r="L56" s="44"/>
      <c r="M56" s="44"/>
      <c r="N56" s="44"/>
      <c r="O56" s="44"/>
      <c r="P56" s="44"/>
      <c r="Q56" s="44"/>
      <c r="R56" s="44"/>
      <c r="S56" s="44"/>
      <c r="T56" s="44"/>
      <c r="U56" s="44"/>
      <c r="V56" s="44"/>
      <c r="W56" s="44"/>
      <c r="X56" s="44"/>
      <c r="Y56" s="44"/>
      <c r="Z56" s="44"/>
      <c r="AA56" s="44"/>
      <c r="AB56" s="44"/>
      <c r="AC56" s="44"/>
      <c r="AD56" s="44"/>
      <c r="AE56" s="44"/>
      <c r="AF56" s="44"/>
    </row>
    <row r="57" spans="1:32" x14ac:dyDescent="0.3">
      <c r="A57" s="38" t="s">
        <v>187</v>
      </c>
      <c r="B57" s="38" t="s">
        <v>174</v>
      </c>
      <c r="C57" s="38" t="s">
        <v>188</v>
      </c>
      <c r="D57" s="39" t="s">
        <v>183</v>
      </c>
      <c r="E57" s="39" t="s">
        <v>177</v>
      </c>
      <c r="F57" s="38" t="s">
        <v>133</v>
      </c>
      <c r="G57" s="38" t="s">
        <v>130</v>
      </c>
      <c r="H57" s="44">
        <v>0</v>
      </c>
      <c r="I57" s="44">
        <v>0</v>
      </c>
      <c r="J57" s="44"/>
      <c r="K57" s="44"/>
      <c r="L57" s="44"/>
      <c r="M57" s="44"/>
      <c r="N57" s="44"/>
      <c r="O57" s="44"/>
      <c r="P57" s="44"/>
      <c r="Q57" s="44"/>
      <c r="R57" s="44"/>
      <c r="S57" s="44"/>
      <c r="T57" s="44"/>
      <c r="U57" s="44"/>
      <c r="V57" s="44"/>
      <c r="W57" s="44"/>
      <c r="X57" s="44"/>
      <c r="Y57" s="44"/>
      <c r="Z57" s="44"/>
      <c r="AA57" s="44"/>
      <c r="AB57" s="44"/>
      <c r="AC57" s="44"/>
      <c r="AD57" s="44"/>
      <c r="AE57" s="44"/>
      <c r="AF57" s="44"/>
    </row>
    <row r="58" spans="1:32" x14ac:dyDescent="0.3">
      <c r="A58" s="38" t="s">
        <v>187</v>
      </c>
      <c r="B58" s="38" t="s">
        <v>174</v>
      </c>
      <c r="C58" s="38" t="s">
        <v>188</v>
      </c>
      <c r="D58" s="39" t="s">
        <v>183</v>
      </c>
      <c r="E58" s="39" t="s">
        <v>177</v>
      </c>
      <c r="F58" s="38" t="s">
        <v>134</v>
      </c>
      <c r="G58" s="38" t="s">
        <v>130</v>
      </c>
      <c r="H58" s="44">
        <v>53</v>
      </c>
      <c r="I58" s="44">
        <v>53</v>
      </c>
      <c r="J58" s="44"/>
      <c r="K58" s="44"/>
      <c r="L58" s="44"/>
      <c r="M58" s="44"/>
      <c r="N58" s="44"/>
      <c r="O58" s="44"/>
      <c r="P58" s="44"/>
      <c r="Q58" s="44"/>
      <c r="R58" s="44"/>
      <c r="S58" s="44"/>
      <c r="T58" s="44"/>
      <c r="U58" s="44"/>
      <c r="V58" s="44"/>
      <c r="W58" s="44"/>
      <c r="X58" s="44"/>
      <c r="Y58" s="44"/>
      <c r="Z58" s="44"/>
      <c r="AA58" s="44"/>
      <c r="AB58" s="44"/>
      <c r="AC58" s="44"/>
      <c r="AD58" s="44"/>
      <c r="AE58" s="44"/>
      <c r="AF58" s="44"/>
    </row>
    <row r="59" spans="1:32" x14ac:dyDescent="0.3">
      <c r="A59" s="38" t="s">
        <v>187</v>
      </c>
      <c r="B59" s="38" t="s">
        <v>174</v>
      </c>
      <c r="C59" s="38" t="s">
        <v>188</v>
      </c>
      <c r="D59" s="39" t="s">
        <v>183</v>
      </c>
      <c r="E59" s="39" t="s">
        <v>177</v>
      </c>
      <c r="F59" s="38" t="s">
        <v>135</v>
      </c>
      <c r="G59" s="38" t="s">
        <v>130</v>
      </c>
      <c r="H59" s="44"/>
      <c r="I59" s="44"/>
      <c r="J59" s="44"/>
      <c r="K59" s="44"/>
      <c r="L59" s="44"/>
      <c r="M59" s="44"/>
      <c r="N59" s="44"/>
      <c r="O59" s="44"/>
      <c r="P59" s="44"/>
      <c r="Q59" s="44"/>
      <c r="R59" s="44"/>
      <c r="S59" s="44"/>
      <c r="T59" s="44"/>
      <c r="U59" s="44"/>
      <c r="V59" s="44"/>
      <c r="W59" s="44"/>
      <c r="X59" s="44"/>
      <c r="Y59" s="44"/>
      <c r="Z59" s="44"/>
      <c r="AA59" s="44"/>
      <c r="AB59" s="44"/>
      <c r="AC59" s="44"/>
      <c r="AD59" s="44"/>
      <c r="AE59" s="44"/>
      <c r="AF59" s="44"/>
    </row>
    <row r="60" spans="1:32" x14ac:dyDescent="0.3">
      <c r="A60" s="38" t="s">
        <v>187</v>
      </c>
      <c r="B60" s="38" t="s">
        <v>174</v>
      </c>
      <c r="C60" s="38" t="s">
        <v>188</v>
      </c>
      <c r="D60" s="39" t="s">
        <v>183</v>
      </c>
      <c r="E60" s="39" t="s">
        <v>177</v>
      </c>
      <c r="F60" s="38" t="s">
        <v>136</v>
      </c>
      <c r="G60" s="38" t="s">
        <v>130</v>
      </c>
      <c r="H60" s="44">
        <f>SUM(I60:AF60)</f>
        <v>2890</v>
      </c>
      <c r="I60" s="44">
        <f t="shared" ref="I60:AF60" si="12">IF(AND(ISBLANK(I63) = TRUE,ISBLANK(I62) = TRUE),I61,I62+I63)</f>
        <v>0</v>
      </c>
      <c r="J60" s="44">
        <f t="shared" si="12"/>
        <v>0</v>
      </c>
      <c r="K60" s="44">
        <f t="shared" si="12"/>
        <v>0</v>
      </c>
      <c r="L60" s="44">
        <f t="shared" si="12"/>
        <v>0</v>
      </c>
      <c r="M60" s="44">
        <f t="shared" si="12"/>
        <v>0</v>
      </c>
      <c r="N60" s="44">
        <f t="shared" si="12"/>
        <v>0</v>
      </c>
      <c r="O60" s="44">
        <f t="shared" si="12"/>
        <v>0</v>
      </c>
      <c r="P60" s="44">
        <f t="shared" si="12"/>
        <v>0</v>
      </c>
      <c r="Q60" s="44">
        <f t="shared" si="12"/>
        <v>0</v>
      </c>
      <c r="R60" s="44">
        <f t="shared" si="12"/>
        <v>0</v>
      </c>
      <c r="S60" s="44">
        <f t="shared" si="12"/>
        <v>0</v>
      </c>
      <c r="T60" s="44">
        <f t="shared" si="12"/>
        <v>0</v>
      </c>
      <c r="U60" s="44">
        <f t="shared" si="12"/>
        <v>0</v>
      </c>
      <c r="V60" s="44">
        <f t="shared" si="12"/>
        <v>0</v>
      </c>
      <c r="W60" s="44">
        <f t="shared" si="12"/>
        <v>2890</v>
      </c>
      <c r="X60" s="44">
        <f t="shared" si="12"/>
        <v>0</v>
      </c>
      <c r="Y60" s="44">
        <f t="shared" si="12"/>
        <v>0</v>
      </c>
      <c r="Z60" s="44">
        <f t="shared" si="12"/>
        <v>0</v>
      </c>
      <c r="AA60" s="44">
        <f t="shared" si="12"/>
        <v>0</v>
      </c>
      <c r="AB60" s="44">
        <f t="shared" si="12"/>
        <v>0</v>
      </c>
      <c r="AC60" s="44">
        <f t="shared" si="12"/>
        <v>0</v>
      </c>
      <c r="AD60" s="44">
        <f t="shared" si="12"/>
        <v>0</v>
      </c>
      <c r="AE60" s="44">
        <f t="shared" si="12"/>
        <v>0</v>
      </c>
      <c r="AF60" s="44">
        <f t="shared" si="12"/>
        <v>0</v>
      </c>
    </row>
    <row r="61" spans="1:32" x14ac:dyDescent="0.3">
      <c r="A61" s="38" t="s">
        <v>187</v>
      </c>
      <c r="B61" s="38" t="s">
        <v>174</v>
      </c>
      <c r="C61" s="38" t="s">
        <v>188</v>
      </c>
      <c r="D61" s="39" t="s">
        <v>183</v>
      </c>
      <c r="E61" s="39" t="s">
        <v>177</v>
      </c>
      <c r="F61" s="38" t="s">
        <v>124</v>
      </c>
      <c r="G61" s="38" t="s">
        <v>130</v>
      </c>
      <c r="H61" s="44">
        <v>2890</v>
      </c>
      <c r="I61" s="44"/>
      <c r="J61" s="44"/>
      <c r="K61" s="44"/>
      <c r="L61" s="44"/>
      <c r="M61" s="44"/>
      <c r="N61" s="44"/>
      <c r="O61" s="44"/>
      <c r="P61" s="44"/>
      <c r="Q61" s="44"/>
      <c r="R61" s="44"/>
      <c r="S61" s="44"/>
      <c r="T61" s="44"/>
      <c r="U61" s="44"/>
      <c r="V61" s="44"/>
      <c r="W61" s="44">
        <v>2890</v>
      </c>
      <c r="X61" s="44"/>
      <c r="Y61" s="44"/>
      <c r="Z61" s="44"/>
      <c r="AA61" s="44"/>
      <c r="AB61" s="44"/>
      <c r="AC61" s="44"/>
      <c r="AD61" s="44"/>
      <c r="AE61" s="44"/>
      <c r="AF61" s="44"/>
    </row>
    <row r="62" spans="1:32" x14ac:dyDescent="0.3">
      <c r="A62" s="38" t="s">
        <v>187</v>
      </c>
      <c r="B62" s="38" t="s">
        <v>174</v>
      </c>
      <c r="C62" s="38" t="s">
        <v>188</v>
      </c>
      <c r="D62" s="39" t="s">
        <v>183</v>
      </c>
      <c r="E62" s="39" t="s">
        <v>177</v>
      </c>
      <c r="F62" s="38" t="s">
        <v>137</v>
      </c>
      <c r="G62" s="38" t="s">
        <v>130</v>
      </c>
      <c r="H62" s="44">
        <f>SUM(I62:AF62)</f>
        <v>0</v>
      </c>
      <c r="I62" s="44"/>
      <c r="J62" s="44"/>
      <c r="K62" s="44"/>
      <c r="L62" s="44"/>
      <c r="M62" s="44"/>
      <c r="N62" s="44"/>
      <c r="O62" s="44"/>
      <c r="P62" s="44"/>
      <c r="Q62" s="44"/>
      <c r="R62" s="44"/>
      <c r="S62" s="44"/>
      <c r="T62" s="44"/>
      <c r="U62" s="44"/>
      <c r="V62" s="44"/>
      <c r="W62" s="44"/>
      <c r="X62" s="44"/>
      <c r="Y62" s="44"/>
      <c r="Z62" s="44"/>
      <c r="AA62" s="44"/>
      <c r="AB62" s="44"/>
      <c r="AC62" s="44"/>
      <c r="AD62" s="44"/>
      <c r="AE62" s="44"/>
      <c r="AF62" s="44"/>
    </row>
    <row r="63" spans="1:32" x14ac:dyDescent="0.3">
      <c r="A63" s="38" t="s">
        <v>187</v>
      </c>
      <c r="B63" s="38" t="s">
        <v>174</v>
      </c>
      <c r="C63" s="38" t="s">
        <v>188</v>
      </c>
      <c r="D63" s="39" t="s">
        <v>183</v>
      </c>
      <c r="E63" s="39" t="s">
        <v>177</v>
      </c>
      <c r="F63" s="38" t="s">
        <v>138</v>
      </c>
      <c r="G63" s="38" t="s">
        <v>130</v>
      </c>
      <c r="H63" s="44">
        <f>SUM(I63:AF63)</f>
        <v>0</v>
      </c>
      <c r="I63" s="44"/>
      <c r="J63" s="44"/>
      <c r="K63" s="44"/>
      <c r="L63" s="44"/>
      <c r="M63" s="44"/>
      <c r="N63" s="44"/>
      <c r="O63" s="44"/>
      <c r="P63" s="44"/>
      <c r="Q63" s="44"/>
      <c r="R63" s="44"/>
      <c r="S63" s="44"/>
      <c r="T63" s="44"/>
      <c r="U63" s="44"/>
      <c r="V63" s="44"/>
      <c r="W63" s="44"/>
      <c r="X63" s="44"/>
      <c r="Y63" s="44"/>
      <c r="Z63" s="44"/>
      <c r="AA63" s="44"/>
      <c r="AB63" s="44"/>
      <c r="AC63" s="44"/>
      <c r="AD63" s="44"/>
      <c r="AE63" s="44"/>
      <c r="AF63" s="44"/>
    </row>
    <row r="64" spans="1:32" x14ac:dyDescent="0.3">
      <c r="A64" s="38" t="s">
        <v>187</v>
      </c>
      <c r="B64" s="38" t="s">
        <v>174</v>
      </c>
      <c r="C64" s="38" t="s">
        <v>188</v>
      </c>
      <c r="D64" s="39" t="s">
        <v>183</v>
      </c>
      <c r="E64" s="39" t="s">
        <v>177</v>
      </c>
      <c r="F64" s="38" t="s">
        <v>139</v>
      </c>
      <c r="G64" s="38" t="s">
        <v>130</v>
      </c>
      <c r="H64" s="44">
        <v>2890</v>
      </c>
      <c r="I64" s="44"/>
      <c r="J64" s="44"/>
      <c r="K64" s="44"/>
      <c r="L64" s="44"/>
      <c r="M64" s="44"/>
      <c r="N64" s="44"/>
      <c r="O64" s="44"/>
      <c r="P64" s="44"/>
      <c r="Q64" s="44"/>
      <c r="R64" s="44"/>
      <c r="S64" s="44"/>
      <c r="T64" s="44"/>
      <c r="U64" s="44"/>
      <c r="V64" s="44"/>
      <c r="W64" s="44">
        <v>2890</v>
      </c>
      <c r="X64" s="44"/>
      <c r="Y64" s="44"/>
      <c r="Z64" s="44"/>
      <c r="AA64" s="44"/>
      <c r="AB64" s="44"/>
      <c r="AC64" s="44"/>
      <c r="AD64" s="44"/>
      <c r="AE64" s="44"/>
      <c r="AF64" s="44"/>
    </row>
    <row r="65" spans="1:32" x14ac:dyDescent="0.3">
      <c r="A65" s="38" t="s">
        <v>187</v>
      </c>
      <c r="B65" s="38" t="s">
        <v>174</v>
      </c>
      <c r="C65" s="38" t="s">
        <v>188</v>
      </c>
      <c r="D65" s="39" t="s">
        <v>183</v>
      </c>
      <c r="E65" s="39" t="s">
        <v>177</v>
      </c>
      <c r="F65" s="38" t="s">
        <v>140</v>
      </c>
      <c r="G65" s="38" t="s">
        <v>130</v>
      </c>
      <c r="H65" s="44"/>
      <c r="I65" s="44">
        <f>I60-(I55+I54)+(I59+I58+I57+I56)</f>
        <v>20577</v>
      </c>
      <c r="J65" s="44">
        <f t="shared" ref="J65:AF65" si="13">I65+J60-J55</f>
        <v>20575</v>
      </c>
      <c r="K65" s="44">
        <f t="shared" si="13"/>
        <v>20575</v>
      </c>
      <c r="L65" s="44">
        <f t="shared" si="13"/>
        <v>20573</v>
      </c>
      <c r="M65" s="44">
        <f t="shared" si="13"/>
        <v>20573</v>
      </c>
      <c r="N65" s="44">
        <f t="shared" si="13"/>
        <v>20573</v>
      </c>
      <c r="O65" s="44">
        <f t="shared" si="13"/>
        <v>20573</v>
      </c>
      <c r="P65" s="44">
        <f t="shared" si="13"/>
        <v>20573</v>
      </c>
      <c r="Q65" s="44">
        <f t="shared" si="13"/>
        <v>20573</v>
      </c>
      <c r="R65" s="44">
        <f t="shared" si="13"/>
        <v>20573</v>
      </c>
      <c r="S65" s="44">
        <f t="shared" si="13"/>
        <v>20573</v>
      </c>
      <c r="T65" s="44">
        <f t="shared" si="13"/>
        <v>20573</v>
      </c>
      <c r="U65" s="44">
        <f t="shared" si="13"/>
        <v>20573</v>
      </c>
      <c r="V65" s="44">
        <f t="shared" si="13"/>
        <v>20573</v>
      </c>
      <c r="W65" s="44">
        <f t="shared" si="13"/>
        <v>23463</v>
      </c>
      <c r="X65" s="44">
        <f t="shared" si="13"/>
        <v>23463</v>
      </c>
      <c r="Y65" s="44">
        <f t="shared" si="13"/>
        <v>23463</v>
      </c>
      <c r="Z65" s="44">
        <f t="shared" si="13"/>
        <v>23463</v>
      </c>
      <c r="AA65" s="44">
        <f t="shared" si="13"/>
        <v>23463</v>
      </c>
      <c r="AB65" s="44">
        <f t="shared" si="13"/>
        <v>23463</v>
      </c>
      <c r="AC65" s="44">
        <f t="shared" si="13"/>
        <v>23463</v>
      </c>
      <c r="AD65" s="44">
        <f t="shared" si="13"/>
        <v>23463</v>
      </c>
      <c r="AE65" s="44">
        <f t="shared" si="13"/>
        <v>23463</v>
      </c>
      <c r="AF65" s="44">
        <f t="shared" si="13"/>
        <v>23463</v>
      </c>
    </row>
    <row r="66" spans="1:32" ht="15" thickBot="1" x14ac:dyDescent="0.35">
      <c r="A66" s="40" t="s">
        <v>187</v>
      </c>
      <c r="B66" s="40" t="s">
        <v>174</v>
      </c>
      <c r="C66" s="40" t="s">
        <v>188</v>
      </c>
      <c r="D66" s="41" t="s">
        <v>183</v>
      </c>
      <c r="E66" s="41" t="s">
        <v>177</v>
      </c>
      <c r="F66" s="40" t="s">
        <v>141</v>
      </c>
      <c r="G66" s="40" t="s">
        <v>130</v>
      </c>
      <c r="H66" s="45"/>
      <c r="I66" s="45">
        <f>I60-I64</f>
        <v>0</v>
      </c>
      <c r="J66" s="45">
        <f t="shared" ref="J66:AF66" si="14">I66+J60-J64</f>
        <v>0</v>
      </c>
      <c r="K66" s="45">
        <f t="shared" si="14"/>
        <v>0</v>
      </c>
      <c r="L66" s="45">
        <f t="shared" si="14"/>
        <v>0</v>
      </c>
      <c r="M66" s="45">
        <f t="shared" si="14"/>
        <v>0</v>
      </c>
      <c r="N66" s="45">
        <f t="shared" si="14"/>
        <v>0</v>
      </c>
      <c r="O66" s="45">
        <f t="shared" si="14"/>
        <v>0</v>
      </c>
      <c r="P66" s="45">
        <f t="shared" si="14"/>
        <v>0</v>
      </c>
      <c r="Q66" s="45">
        <f t="shared" si="14"/>
        <v>0</v>
      </c>
      <c r="R66" s="45">
        <f t="shared" si="14"/>
        <v>0</v>
      </c>
      <c r="S66" s="45">
        <f t="shared" si="14"/>
        <v>0</v>
      </c>
      <c r="T66" s="45">
        <f t="shared" si="14"/>
        <v>0</v>
      </c>
      <c r="U66" s="45">
        <f t="shared" si="14"/>
        <v>0</v>
      </c>
      <c r="V66" s="45">
        <f t="shared" si="14"/>
        <v>0</v>
      </c>
      <c r="W66" s="45">
        <f t="shared" si="14"/>
        <v>0</v>
      </c>
      <c r="X66" s="45">
        <f t="shared" si="14"/>
        <v>0</v>
      </c>
      <c r="Y66" s="45">
        <f t="shared" si="14"/>
        <v>0</v>
      </c>
      <c r="Z66" s="45">
        <f t="shared" si="14"/>
        <v>0</v>
      </c>
      <c r="AA66" s="45">
        <f t="shared" si="14"/>
        <v>0</v>
      </c>
      <c r="AB66" s="45">
        <f t="shared" si="14"/>
        <v>0</v>
      </c>
      <c r="AC66" s="45">
        <f t="shared" si="14"/>
        <v>0</v>
      </c>
      <c r="AD66" s="45">
        <f t="shared" si="14"/>
        <v>0</v>
      </c>
      <c r="AE66" s="45">
        <f t="shared" si="14"/>
        <v>0</v>
      </c>
      <c r="AF66" s="45">
        <f t="shared" si="14"/>
        <v>0</v>
      </c>
    </row>
    <row r="67" spans="1:32" x14ac:dyDescent="0.3">
      <c r="A67" s="38" t="s">
        <v>189</v>
      </c>
      <c r="B67" s="38" t="s">
        <v>174</v>
      </c>
      <c r="C67" s="38" t="s">
        <v>190</v>
      </c>
      <c r="D67" s="39" t="s">
        <v>183</v>
      </c>
      <c r="E67" s="39" t="s">
        <v>177</v>
      </c>
      <c r="F67" s="38" t="s">
        <v>129</v>
      </c>
      <c r="G67" s="38" t="s">
        <v>130</v>
      </c>
      <c r="H67" s="44">
        <v>2160</v>
      </c>
      <c r="I67" s="44">
        <v>2160</v>
      </c>
      <c r="J67" s="44"/>
      <c r="K67" s="44"/>
      <c r="L67" s="44"/>
      <c r="M67" s="44"/>
      <c r="N67" s="44"/>
      <c r="O67" s="44"/>
      <c r="P67" s="44"/>
      <c r="Q67" s="44"/>
      <c r="R67" s="44"/>
      <c r="S67" s="44"/>
      <c r="T67" s="44"/>
      <c r="U67" s="44"/>
      <c r="V67" s="44"/>
      <c r="W67" s="44"/>
      <c r="X67" s="44"/>
      <c r="Y67" s="44"/>
      <c r="Z67" s="44"/>
      <c r="AA67" s="44"/>
      <c r="AB67" s="44"/>
      <c r="AC67" s="44"/>
      <c r="AD67" s="44"/>
      <c r="AE67" s="44"/>
      <c r="AF67" s="44"/>
    </row>
    <row r="68" spans="1:32" x14ac:dyDescent="0.3">
      <c r="A68" s="38" t="s">
        <v>189</v>
      </c>
      <c r="B68" s="38" t="s">
        <v>174</v>
      </c>
      <c r="C68" s="38" t="s">
        <v>190</v>
      </c>
      <c r="D68" s="39" t="s">
        <v>183</v>
      </c>
      <c r="E68" s="39" t="s">
        <v>177</v>
      </c>
      <c r="F68" s="38" t="s">
        <v>131</v>
      </c>
      <c r="G68" s="38" t="s">
        <v>130</v>
      </c>
      <c r="H68" s="44">
        <v>24358</v>
      </c>
      <c r="I68" s="44">
        <v>1825</v>
      </c>
      <c r="J68" s="44">
        <v>1721</v>
      </c>
      <c r="K68" s="44">
        <v>1696</v>
      </c>
      <c r="L68" s="44">
        <v>1690</v>
      </c>
      <c r="M68" s="44">
        <v>999</v>
      </c>
      <c r="N68" s="44">
        <v>1117</v>
      </c>
      <c r="O68" s="44">
        <v>791</v>
      </c>
      <c r="P68" s="44">
        <v>771</v>
      </c>
      <c r="Q68" s="44">
        <v>1114</v>
      </c>
      <c r="R68" s="44">
        <v>1373</v>
      </c>
      <c r="S68" s="44">
        <v>1368</v>
      </c>
      <c r="T68" s="44">
        <v>1363</v>
      </c>
      <c r="U68" s="44">
        <v>1245</v>
      </c>
      <c r="V68" s="44">
        <v>546</v>
      </c>
      <c r="W68" s="44">
        <v>545</v>
      </c>
      <c r="X68" s="44">
        <v>545</v>
      </c>
      <c r="Y68" s="44">
        <v>547</v>
      </c>
      <c r="Z68" s="44">
        <v>750</v>
      </c>
      <c r="AA68" s="44">
        <v>829</v>
      </c>
      <c r="AB68" s="44">
        <v>834</v>
      </c>
      <c r="AC68" s="44">
        <v>837</v>
      </c>
      <c r="AD68" s="44">
        <v>665</v>
      </c>
      <c r="AE68" s="44">
        <v>594</v>
      </c>
      <c r="AF68" s="44">
        <v>593</v>
      </c>
    </row>
    <row r="69" spans="1:32" x14ac:dyDescent="0.3">
      <c r="A69" s="38" t="s">
        <v>189</v>
      </c>
      <c r="B69" s="38" t="s">
        <v>174</v>
      </c>
      <c r="C69" s="38" t="s">
        <v>190</v>
      </c>
      <c r="D69" s="39" t="s">
        <v>183</v>
      </c>
      <c r="E69" s="39" t="s">
        <v>177</v>
      </c>
      <c r="F69" s="38" t="s">
        <v>132</v>
      </c>
      <c r="G69" s="38" t="s">
        <v>130</v>
      </c>
      <c r="H69" s="44">
        <v>7584</v>
      </c>
      <c r="I69" s="44">
        <v>7584</v>
      </c>
      <c r="J69" s="44"/>
      <c r="K69" s="44"/>
      <c r="L69" s="44"/>
      <c r="M69" s="44"/>
      <c r="N69" s="44"/>
      <c r="O69" s="44"/>
      <c r="P69" s="44"/>
      <c r="Q69" s="44"/>
      <c r="R69" s="44"/>
      <c r="S69" s="44"/>
      <c r="T69" s="44"/>
      <c r="U69" s="44"/>
      <c r="V69" s="44"/>
      <c r="W69" s="44"/>
      <c r="X69" s="44"/>
      <c r="Y69" s="44"/>
      <c r="Z69" s="44"/>
      <c r="AA69" s="44"/>
      <c r="AB69" s="44"/>
      <c r="AC69" s="44"/>
      <c r="AD69" s="44"/>
      <c r="AE69" s="44"/>
      <c r="AF69" s="44"/>
    </row>
    <row r="70" spans="1:32" x14ac:dyDescent="0.3">
      <c r="A70" s="38" t="s">
        <v>189</v>
      </c>
      <c r="B70" s="38" t="s">
        <v>174</v>
      </c>
      <c r="C70" s="38" t="s">
        <v>190</v>
      </c>
      <c r="D70" s="39" t="s">
        <v>183</v>
      </c>
      <c r="E70" s="39" t="s">
        <v>177</v>
      </c>
      <c r="F70" s="38" t="s">
        <v>133</v>
      </c>
      <c r="G70" s="38" t="s">
        <v>130</v>
      </c>
      <c r="H70" s="44">
        <v>0</v>
      </c>
      <c r="I70" s="44">
        <v>0</v>
      </c>
      <c r="J70" s="44"/>
      <c r="K70" s="44"/>
      <c r="L70" s="44"/>
      <c r="M70" s="44"/>
      <c r="N70" s="44"/>
      <c r="O70" s="44"/>
      <c r="P70" s="44"/>
      <c r="Q70" s="44"/>
      <c r="R70" s="44"/>
      <c r="S70" s="44"/>
      <c r="T70" s="44"/>
      <c r="U70" s="44"/>
      <c r="V70" s="44"/>
      <c r="W70" s="44"/>
      <c r="X70" s="44"/>
      <c r="Y70" s="44"/>
      <c r="Z70" s="44"/>
      <c r="AA70" s="44"/>
      <c r="AB70" s="44"/>
      <c r="AC70" s="44"/>
      <c r="AD70" s="44"/>
      <c r="AE70" s="44"/>
      <c r="AF70" s="44"/>
    </row>
    <row r="71" spans="1:32" x14ac:dyDescent="0.3">
      <c r="A71" s="38" t="s">
        <v>189</v>
      </c>
      <c r="B71" s="38" t="s">
        <v>174</v>
      </c>
      <c r="C71" s="38" t="s">
        <v>190</v>
      </c>
      <c r="D71" s="39" t="s">
        <v>183</v>
      </c>
      <c r="E71" s="39" t="s">
        <v>177</v>
      </c>
      <c r="F71" s="38" t="s">
        <v>134</v>
      </c>
      <c r="G71" s="38" t="s">
        <v>130</v>
      </c>
      <c r="H71" s="44">
        <v>1</v>
      </c>
      <c r="I71" s="44">
        <v>1</v>
      </c>
      <c r="J71" s="44"/>
      <c r="K71" s="44"/>
      <c r="L71" s="44"/>
      <c r="M71" s="44"/>
      <c r="N71" s="44"/>
      <c r="O71" s="44"/>
      <c r="P71" s="44"/>
      <c r="Q71" s="44"/>
      <c r="R71" s="44"/>
      <c r="S71" s="44"/>
      <c r="T71" s="44"/>
      <c r="U71" s="44"/>
      <c r="V71" s="44"/>
      <c r="W71" s="44"/>
      <c r="X71" s="44"/>
      <c r="Y71" s="44"/>
      <c r="Z71" s="44"/>
      <c r="AA71" s="44"/>
      <c r="AB71" s="44"/>
      <c r="AC71" s="44"/>
      <c r="AD71" s="44"/>
      <c r="AE71" s="44"/>
      <c r="AF71" s="44"/>
    </row>
    <row r="72" spans="1:32" x14ac:dyDescent="0.3">
      <c r="A72" s="38" t="s">
        <v>189</v>
      </c>
      <c r="B72" s="38" t="s">
        <v>174</v>
      </c>
      <c r="C72" s="38" t="s">
        <v>190</v>
      </c>
      <c r="D72" s="39" t="s">
        <v>183</v>
      </c>
      <c r="E72" s="39" t="s">
        <v>177</v>
      </c>
      <c r="F72" s="38" t="s">
        <v>135</v>
      </c>
      <c r="G72" s="38" t="s">
        <v>130</v>
      </c>
      <c r="H72" s="44"/>
      <c r="I72" s="44"/>
      <c r="J72" s="44"/>
      <c r="K72" s="44"/>
      <c r="L72" s="44"/>
      <c r="M72" s="44"/>
      <c r="N72" s="44"/>
      <c r="O72" s="44"/>
      <c r="P72" s="44"/>
      <c r="Q72" s="44"/>
      <c r="R72" s="44"/>
      <c r="S72" s="44"/>
      <c r="T72" s="44"/>
      <c r="U72" s="44"/>
      <c r="V72" s="44"/>
      <c r="W72" s="44"/>
      <c r="X72" s="44"/>
      <c r="Y72" s="44"/>
      <c r="Z72" s="44"/>
      <c r="AA72" s="44"/>
      <c r="AB72" s="44"/>
      <c r="AC72" s="44"/>
      <c r="AD72" s="44"/>
      <c r="AE72" s="44"/>
      <c r="AF72" s="44"/>
    </row>
    <row r="73" spans="1:32" x14ac:dyDescent="0.3">
      <c r="A73" s="38" t="s">
        <v>189</v>
      </c>
      <c r="B73" s="38" t="s">
        <v>174</v>
      </c>
      <c r="C73" s="38" t="s">
        <v>190</v>
      </c>
      <c r="D73" s="39" t="s">
        <v>183</v>
      </c>
      <c r="E73" s="39" t="s">
        <v>177</v>
      </c>
      <c r="F73" s="38" t="s">
        <v>136</v>
      </c>
      <c r="G73" s="38" t="s">
        <v>130</v>
      </c>
      <c r="H73" s="44">
        <f>SUM(I73:AF73)</f>
        <v>56832</v>
      </c>
      <c r="I73" s="44">
        <f t="shared" ref="I73:AF73" si="15">IF(AND(ISBLANK(I76) = TRUE,ISBLANK(I75) = TRUE),I74,I75+I76)</f>
        <v>0</v>
      </c>
      <c r="J73" s="44">
        <f t="shared" si="15"/>
        <v>0</v>
      </c>
      <c r="K73" s="44">
        <f t="shared" si="15"/>
        <v>0</v>
      </c>
      <c r="L73" s="44">
        <f t="shared" si="15"/>
        <v>0</v>
      </c>
      <c r="M73" s="44">
        <f t="shared" si="15"/>
        <v>4992</v>
      </c>
      <c r="N73" s="44">
        <f t="shared" si="15"/>
        <v>0</v>
      </c>
      <c r="O73" s="44">
        <f t="shared" si="15"/>
        <v>0</v>
      </c>
      <c r="P73" s="44">
        <f t="shared" si="15"/>
        <v>0</v>
      </c>
      <c r="Q73" s="44">
        <f t="shared" si="15"/>
        <v>7680</v>
      </c>
      <c r="R73" s="44">
        <f t="shared" si="15"/>
        <v>0</v>
      </c>
      <c r="S73" s="44">
        <f t="shared" si="15"/>
        <v>0</v>
      </c>
      <c r="T73" s="44">
        <f t="shared" si="15"/>
        <v>0</v>
      </c>
      <c r="U73" s="44">
        <f t="shared" si="15"/>
        <v>0</v>
      </c>
      <c r="V73" s="44">
        <f t="shared" si="15"/>
        <v>0</v>
      </c>
      <c r="W73" s="44">
        <f t="shared" si="15"/>
        <v>44160</v>
      </c>
      <c r="X73" s="44">
        <f t="shared" si="15"/>
        <v>0</v>
      </c>
      <c r="Y73" s="44">
        <f t="shared" si="15"/>
        <v>0</v>
      </c>
      <c r="Z73" s="44">
        <f t="shared" si="15"/>
        <v>0</v>
      </c>
      <c r="AA73" s="44">
        <f t="shared" si="15"/>
        <v>0</v>
      </c>
      <c r="AB73" s="44">
        <f t="shared" si="15"/>
        <v>0</v>
      </c>
      <c r="AC73" s="44">
        <f t="shared" si="15"/>
        <v>0</v>
      </c>
      <c r="AD73" s="44">
        <f t="shared" si="15"/>
        <v>0</v>
      </c>
      <c r="AE73" s="44">
        <f t="shared" si="15"/>
        <v>0</v>
      </c>
      <c r="AF73" s="44">
        <f t="shared" si="15"/>
        <v>0</v>
      </c>
    </row>
    <row r="74" spans="1:32" x14ac:dyDescent="0.3">
      <c r="A74" s="38" t="s">
        <v>189</v>
      </c>
      <c r="B74" s="38" t="s">
        <v>174</v>
      </c>
      <c r="C74" s="38" t="s">
        <v>190</v>
      </c>
      <c r="D74" s="39" t="s">
        <v>183</v>
      </c>
      <c r="E74" s="39" t="s">
        <v>177</v>
      </c>
      <c r="F74" s="38" t="s">
        <v>124</v>
      </c>
      <c r="G74" s="38" t="s">
        <v>130</v>
      </c>
      <c r="H74" s="44">
        <v>56832</v>
      </c>
      <c r="I74" s="44"/>
      <c r="J74" s="44"/>
      <c r="K74" s="44"/>
      <c r="L74" s="44"/>
      <c r="M74" s="44">
        <v>4992</v>
      </c>
      <c r="N74" s="44"/>
      <c r="O74" s="44"/>
      <c r="P74" s="44"/>
      <c r="Q74" s="44">
        <v>7680</v>
      </c>
      <c r="R74" s="44"/>
      <c r="S74" s="44"/>
      <c r="T74" s="44"/>
      <c r="U74" s="44"/>
      <c r="V74" s="44"/>
      <c r="W74" s="44">
        <v>44160</v>
      </c>
      <c r="X74" s="44"/>
      <c r="Y74" s="44"/>
      <c r="Z74" s="44"/>
      <c r="AA74" s="44"/>
      <c r="AB74" s="44"/>
      <c r="AC74" s="44"/>
      <c r="AD74" s="44"/>
      <c r="AE74" s="44"/>
      <c r="AF74" s="44"/>
    </row>
    <row r="75" spans="1:32" x14ac:dyDescent="0.3">
      <c r="A75" s="38" t="s">
        <v>189</v>
      </c>
      <c r="B75" s="38" t="s">
        <v>174</v>
      </c>
      <c r="C75" s="38" t="s">
        <v>190</v>
      </c>
      <c r="D75" s="39" t="s">
        <v>183</v>
      </c>
      <c r="E75" s="39" t="s">
        <v>177</v>
      </c>
      <c r="F75" s="38" t="s">
        <v>137</v>
      </c>
      <c r="G75" s="38" t="s">
        <v>130</v>
      </c>
      <c r="H75" s="44">
        <f>SUM(I75:AF75)</f>
        <v>0</v>
      </c>
      <c r="I75" s="44">
        <v>0</v>
      </c>
      <c r="J75" s="44">
        <v>0</v>
      </c>
      <c r="K75" s="44"/>
      <c r="L75" s="44"/>
      <c r="M75" s="44"/>
      <c r="N75" s="44"/>
      <c r="O75" s="44"/>
      <c r="P75" s="44"/>
      <c r="Q75" s="44"/>
      <c r="R75" s="44"/>
      <c r="S75" s="44"/>
      <c r="T75" s="44"/>
      <c r="U75" s="44"/>
      <c r="V75" s="44"/>
      <c r="W75" s="44"/>
      <c r="X75" s="44"/>
      <c r="Y75" s="44"/>
      <c r="Z75" s="44"/>
      <c r="AA75" s="44"/>
      <c r="AB75" s="44"/>
      <c r="AC75" s="44"/>
      <c r="AD75" s="44"/>
      <c r="AE75" s="44"/>
      <c r="AF75" s="44"/>
    </row>
    <row r="76" spans="1:32" x14ac:dyDescent="0.3">
      <c r="A76" s="38" t="s">
        <v>189</v>
      </c>
      <c r="B76" s="38" t="s">
        <v>174</v>
      </c>
      <c r="C76" s="38" t="s">
        <v>190</v>
      </c>
      <c r="D76" s="39" t="s">
        <v>183</v>
      </c>
      <c r="E76" s="39" t="s">
        <v>177</v>
      </c>
      <c r="F76" s="38" t="s">
        <v>138</v>
      </c>
      <c r="G76" s="38" t="s">
        <v>130</v>
      </c>
      <c r="H76" s="44">
        <f>SUM(I76:AF76)</f>
        <v>0</v>
      </c>
      <c r="I76" s="44"/>
      <c r="J76" s="44">
        <v>0</v>
      </c>
      <c r="K76" s="44"/>
      <c r="L76" s="44"/>
      <c r="M76" s="44"/>
      <c r="N76" s="44"/>
      <c r="O76" s="44"/>
      <c r="P76" s="44"/>
      <c r="Q76" s="44"/>
      <c r="R76" s="44"/>
      <c r="S76" s="44"/>
      <c r="T76" s="44"/>
      <c r="U76" s="44"/>
      <c r="V76" s="44"/>
      <c r="W76" s="44"/>
      <c r="X76" s="44"/>
      <c r="Y76" s="44"/>
      <c r="Z76" s="44"/>
      <c r="AA76" s="44"/>
      <c r="AB76" s="44"/>
      <c r="AC76" s="44"/>
      <c r="AD76" s="44"/>
      <c r="AE76" s="44"/>
      <c r="AF76" s="44"/>
    </row>
    <row r="77" spans="1:32" x14ac:dyDescent="0.3">
      <c r="A77" s="38" t="s">
        <v>189</v>
      </c>
      <c r="B77" s="38" t="s">
        <v>174</v>
      </c>
      <c r="C77" s="38" t="s">
        <v>190</v>
      </c>
      <c r="D77" s="39" t="s">
        <v>183</v>
      </c>
      <c r="E77" s="39" t="s">
        <v>177</v>
      </c>
      <c r="F77" s="38" t="s">
        <v>139</v>
      </c>
      <c r="G77" s="38" t="s">
        <v>130</v>
      </c>
      <c r="H77" s="44">
        <v>56832</v>
      </c>
      <c r="I77" s="44"/>
      <c r="J77" s="44"/>
      <c r="K77" s="44"/>
      <c r="L77" s="44"/>
      <c r="M77" s="44">
        <v>4992</v>
      </c>
      <c r="N77" s="44"/>
      <c r="O77" s="44"/>
      <c r="P77" s="44"/>
      <c r="Q77" s="44">
        <v>7680</v>
      </c>
      <c r="R77" s="44"/>
      <c r="S77" s="44"/>
      <c r="T77" s="44"/>
      <c r="U77" s="44"/>
      <c r="V77" s="44"/>
      <c r="W77" s="44">
        <v>44160</v>
      </c>
      <c r="X77" s="44"/>
      <c r="Y77" s="44"/>
      <c r="Z77" s="44"/>
      <c r="AA77" s="44"/>
      <c r="AB77" s="44"/>
      <c r="AC77" s="44"/>
      <c r="AD77" s="44"/>
      <c r="AE77" s="44"/>
      <c r="AF77" s="44"/>
    </row>
    <row r="78" spans="1:32" x14ac:dyDescent="0.3">
      <c r="A78" s="38" t="s">
        <v>189</v>
      </c>
      <c r="B78" s="38" t="s">
        <v>174</v>
      </c>
      <c r="C78" s="38" t="s">
        <v>190</v>
      </c>
      <c r="D78" s="39" t="s">
        <v>183</v>
      </c>
      <c r="E78" s="39" t="s">
        <v>177</v>
      </c>
      <c r="F78" s="38" t="s">
        <v>140</v>
      </c>
      <c r="G78" s="38" t="s">
        <v>130</v>
      </c>
      <c r="H78" s="44"/>
      <c r="I78" s="44">
        <f>I73-(I68+I67)+(I72+I71+I70+I69)</f>
        <v>3600</v>
      </c>
      <c r="J78" s="44">
        <f t="shared" ref="J78:AF78" si="16">I78+J73-J68</f>
        <v>1879</v>
      </c>
      <c r="K78" s="44">
        <f t="shared" si="16"/>
        <v>183</v>
      </c>
      <c r="L78" s="44">
        <f t="shared" si="16"/>
        <v>-1507</v>
      </c>
      <c r="M78" s="44">
        <f t="shared" si="16"/>
        <v>2486</v>
      </c>
      <c r="N78" s="44">
        <f t="shared" si="16"/>
        <v>1369</v>
      </c>
      <c r="O78" s="44">
        <f t="shared" si="16"/>
        <v>578</v>
      </c>
      <c r="P78" s="44">
        <f t="shared" si="16"/>
        <v>-193</v>
      </c>
      <c r="Q78" s="44">
        <f t="shared" si="16"/>
        <v>6373</v>
      </c>
      <c r="R78" s="44">
        <f t="shared" si="16"/>
        <v>5000</v>
      </c>
      <c r="S78" s="44">
        <f t="shared" si="16"/>
        <v>3632</v>
      </c>
      <c r="T78" s="44">
        <f t="shared" si="16"/>
        <v>2269</v>
      </c>
      <c r="U78" s="44">
        <f t="shared" si="16"/>
        <v>1024</v>
      </c>
      <c r="V78" s="44">
        <f t="shared" si="16"/>
        <v>478</v>
      </c>
      <c r="W78" s="44">
        <f t="shared" si="16"/>
        <v>44093</v>
      </c>
      <c r="X78" s="44">
        <f t="shared" si="16"/>
        <v>43548</v>
      </c>
      <c r="Y78" s="44">
        <f t="shared" si="16"/>
        <v>43001</v>
      </c>
      <c r="Z78" s="44">
        <f t="shared" si="16"/>
        <v>42251</v>
      </c>
      <c r="AA78" s="44">
        <f t="shared" si="16"/>
        <v>41422</v>
      </c>
      <c r="AB78" s="44">
        <f t="shared" si="16"/>
        <v>40588</v>
      </c>
      <c r="AC78" s="44">
        <f t="shared" si="16"/>
        <v>39751</v>
      </c>
      <c r="AD78" s="44">
        <f t="shared" si="16"/>
        <v>39086</v>
      </c>
      <c r="AE78" s="44">
        <f t="shared" si="16"/>
        <v>38492</v>
      </c>
      <c r="AF78" s="44">
        <f t="shared" si="16"/>
        <v>37899</v>
      </c>
    </row>
    <row r="79" spans="1:32" ht="15" thickBot="1" x14ac:dyDescent="0.35">
      <c r="A79" s="40" t="s">
        <v>189</v>
      </c>
      <c r="B79" s="40" t="s">
        <v>174</v>
      </c>
      <c r="C79" s="40" t="s">
        <v>190</v>
      </c>
      <c r="D79" s="41" t="s">
        <v>183</v>
      </c>
      <c r="E79" s="41" t="s">
        <v>177</v>
      </c>
      <c r="F79" s="40" t="s">
        <v>141</v>
      </c>
      <c r="G79" s="40" t="s">
        <v>130</v>
      </c>
      <c r="H79" s="45"/>
      <c r="I79" s="45">
        <f>I73-I77</f>
        <v>0</v>
      </c>
      <c r="J79" s="45">
        <f t="shared" ref="J79:AF79" si="17">I79+J73-J77</f>
        <v>0</v>
      </c>
      <c r="K79" s="45">
        <f t="shared" si="17"/>
        <v>0</v>
      </c>
      <c r="L79" s="45">
        <f t="shared" si="17"/>
        <v>0</v>
      </c>
      <c r="M79" s="45">
        <f t="shared" si="17"/>
        <v>0</v>
      </c>
      <c r="N79" s="45">
        <f t="shared" si="17"/>
        <v>0</v>
      </c>
      <c r="O79" s="45">
        <f t="shared" si="17"/>
        <v>0</v>
      </c>
      <c r="P79" s="45">
        <f t="shared" si="17"/>
        <v>0</v>
      </c>
      <c r="Q79" s="45">
        <f t="shared" si="17"/>
        <v>0</v>
      </c>
      <c r="R79" s="45">
        <f t="shared" si="17"/>
        <v>0</v>
      </c>
      <c r="S79" s="45">
        <f t="shared" si="17"/>
        <v>0</v>
      </c>
      <c r="T79" s="45">
        <f t="shared" si="17"/>
        <v>0</v>
      </c>
      <c r="U79" s="45">
        <f t="shared" si="17"/>
        <v>0</v>
      </c>
      <c r="V79" s="45">
        <f t="shared" si="17"/>
        <v>0</v>
      </c>
      <c r="W79" s="45">
        <f t="shared" si="17"/>
        <v>0</v>
      </c>
      <c r="X79" s="45">
        <f t="shared" si="17"/>
        <v>0</v>
      </c>
      <c r="Y79" s="45">
        <f t="shared" si="17"/>
        <v>0</v>
      </c>
      <c r="Z79" s="45">
        <f t="shared" si="17"/>
        <v>0</v>
      </c>
      <c r="AA79" s="45">
        <f t="shared" si="17"/>
        <v>0</v>
      </c>
      <c r="AB79" s="45">
        <f t="shared" si="17"/>
        <v>0</v>
      </c>
      <c r="AC79" s="45">
        <f t="shared" si="17"/>
        <v>0</v>
      </c>
      <c r="AD79" s="45">
        <f t="shared" si="17"/>
        <v>0</v>
      </c>
      <c r="AE79" s="45">
        <f t="shared" si="17"/>
        <v>0</v>
      </c>
      <c r="AF79" s="45">
        <f t="shared" si="17"/>
        <v>0</v>
      </c>
    </row>
    <row r="80" spans="1:32" x14ac:dyDescent="0.3">
      <c r="A80" s="38" t="s">
        <v>191</v>
      </c>
      <c r="B80" s="38" t="s">
        <v>174</v>
      </c>
      <c r="C80" s="38" t="s">
        <v>192</v>
      </c>
      <c r="D80" s="39" t="s">
        <v>183</v>
      </c>
      <c r="E80" s="39" t="s">
        <v>177</v>
      </c>
      <c r="F80" s="38" t="s">
        <v>129</v>
      </c>
      <c r="G80" s="38" t="s">
        <v>130</v>
      </c>
      <c r="H80" s="44">
        <v>33</v>
      </c>
      <c r="I80" s="44">
        <v>33</v>
      </c>
      <c r="J80" s="44"/>
      <c r="K80" s="44"/>
      <c r="L80" s="44"/>
      <c r="M80" s="44"/>
      <c r="N80" s="44"/>
      <c r="O80" s="44"/>
      <c r="P80" s="44"/>
      <c r="Q80" s="44"/>
      <c r="R80" s="44"/>
      <c r="S80" s="44"/>
      <c r="T80" s="44"/>
      <c r="U80" s="44"/>
      <c r="V80" s="44"/>
      <c r="W80" s="44"/>
      <c r="X80" s="44"/>
      <c r="Y80" s="44"/>
      <c r="Z80" s="44"/>
      <c r="AA80" s="44"/>
      <c r="AB80" s="44"/>
      <c r="AC80" s="44"/>
      <c r="AD80" s="44"/>
      <c r="AE80" s="44"/>
      <c r="AF80" s="44"/>
    </row>
    <row r="81" spans="1:32" x14ac:dyDescent="0.3">
      <c r="A81" s="38" t="s">
        <v>191</v>
      </c>
      <c r="B81" s="38" t="s">
        <v>174</v>
      </c>
      <c r="C81" s="38" t="s">
        <v>192</v>
      </c>
      <c r="D81" s="39" t="s">
        <v>183</v>
      </c>
      <c r="E81" s="39" t="s">
        <v>177</v>
      </c>
      <c r="F81" s="38" t="s">
        <v>131</v>
      </c>
      <c r="G81" s="38" t="s">
        <v>130</v>
      </c>
      <c r="H81" s="44">
        <v>11</v>
      </c>
      <c r="I81" s="44">
        <v>0</v>
      </c>
      <c r="J81" s="44">
        <v>9</v>
      </c>
      <c r="K81" s="44">
        <v>0</v>
      </c>
      <c r="L81" s="44">
        <v>2</v>
      </c>
      <c r="M81" s="44">
        <v>0</v>
      </c>
      <c r="N81" s="44">
        <v>0</v>
      </c>
      <c r="O81" s="44">
        <v>0</v>
      </c>
      <c r="P81" s="44">
        <v>0</v>
      </c>
      <c r="Q81" s="44">
        <v>0</v>
      </c>
      <c r="R81" s="44">
        <v>0</v>
      </c>
      <c r="S81" s="44">
        <v>0</v>
      </c>
      <c r="T81" s="44">
        <v>0</v>
      </c>
      <c r="U81" s="44">
        <v>0</v>
      </c>
      <c r="V81" s="44">
        <v>0</v>
      </c>
      <c r="W81" s="44">
        <v>0</v>
      </c>
      <c r="X81" s="44">
        <v>0</v>
      </c>
      <c r="Y81" s="44">
        <v>0</v>
      </c>
      <c r="Z81" s="44">
        <v>0</v>
      </c>
      <c r="AA81" s="44">
        <v>0</v>
      </c>
      <c r="AB81" s="44">
        <v>0</v>
      </c>
      <c r="AC81" s="44">
        <v>0</v>
      </c>
      <c r="AD81" s="44">
        <v>0</v>
      </c>
      <c r="AE81" s="44">
        <v>0</v>
      </c>
      <c r="AF81" s="44">
        <v>0</v>
      </c>
    </row>
    <row r="82" spans="1:32" x14ac:dyDescent="0.3">
      <c r="A82" s="38" t="s">
        <v>191</v>
      </c>
      <c r="B82" s="38" t="s">
        <v>174</v>
      </c>
      <c r="C82" s="38" t="s">
        <v>192</v>
      </c>
      <c r="D82" s="39" t="s">
        <v>183</v>
      </c>
      <c r="E82" s="39" t="s">
        <v>177</v>
      </c>
      <c r="F82" s="38" t="s">
        <v>132</v>
      </c>
      <c r="G82" s="38" t="s">
        <v>130</v>
      </c>
      <c r="H82" s="44"/>
      <c r="I82" s="44"/>
      <c r="J82" s="44"/>
      <c r="K82" s="44"/>
      <c r="L82" s="44"/>
      <c r="M82" s="44"/>
      <c r="N82" s="44"/>
      <c r="O82" s="44"/>
      <c r="P82" s="44"/>
      <c r="Q82" s="44"/>
      <c r="R82" s="44"/>
      <c r="S82" s="44"/>
      <c r="T82" s="44"/>
      <c r="U82" s="44"/>
      <c r="V82" s="44"/>
      <c r="W82" s="44"/>
      <c r="X82" s="44"/>
      <c r="Y82" s="44"/>
      <c r="Z82" s="44"/>
      <c r="AA82" s="44"/>
      <c r="AB82" s="44"/>
      <c r="AC82" s="44"/>
      <c r="AD82" s="44"/>
      <c r="AE82" s="44"/>
      <c r="AF82" s="44"/>
    </row>
    <row r="83" spans="1:32" x14ac:dyDescent="0.3">
      <c r="A83" s="38" t="s">
        <v>191</v>
      </c>
      <c r="B83" s="38" t="s">
        <v>174</v>
      </c>
      <c r="C83" s="38" t="s">
        <v>192</v>
      </c>
      <c r="D83" s="39" t="s">
        <v>183</v>
      </c>
      <c r="E83" s="39" t="s">
        <v>177</v>
      </c>
      <c r="F83" s="38" t="s">
        <v>133</v>
      </c>
      <c r="G83" s="38" t="s">
        <v>130</v>
      </c>
      <c r="H83" s="44"/>
      <c r="I83" s="44"/>
      <c r="J83" s="44"/>
      <c r="K83" s="44"/>
      <c r="L83" s="44"/>
      <c r="M83" s="44"/>
      <c r="N83" s="44"/>
      <c r="O83" s="44"/>
      <c r="P83" s="44"/>
      <c r="Q83" s="44"/>
      <c r="R83" s="44"/>
      <c r="S83" s="44"/>
      <c r="T83" s="44"/>
      <c r="U83" s="44"/>
      <c r="V83" s="44"/>
      <c r="W83" s="44"/>
      <c r="X83" s="44"/>
      <c r="Y83" s="44"/>
      <c r="Z83" s="44"/>
      <c r="AA83" s="44"/>
      <c r="AB83" s="44"/>
      <c r="AC83" s="44"/>
      <c r="AD83" s="44"/>
      <c r="AE83" s="44"/>
      <c r="AF83" s="44"/>
    </row>
    <row r="84" spans="1:32" x14ac:dyDescent="0.3">
      <c r="A84" s="38" t="s">
        <v>191</v>
      </c>
      <c r="B84" s="38" t="s">
        <v>174</v>
      </c>
      <c r="C84" s="38" t="s">
        <v>192</v>
      </c>
      <c r="D84" s="39" t="s">
        <v>183</v>
      </c>
      <c r="E84" s="39" t="s">
        <v>177</v>
      </c>
      <c r="F84" s="38" t="s">
        <v>134</v>
      </c>
      <c r="G84" s="38" t="s">
        <v>130</v>
      </c>
      <c r="H84" s="44"/>
      <c r="I84" s="44"/>
      <c r="J84" s="44"/>
      <c r="K84" s="44"/>
      <c r="L84" s="44"/>
      <c r="M84" s="44"/>
      <c r="N84" s="44"/>
      <c r="O84" s="44"/>
      <c r="P84" s="44"/>
      <c r="Q84" s="44"/>
      <c r="R84" s="44"/>
      <c r="S84" s="44"/>
      <c r="T84" s="44"/>
      <c r="U84" s="44"/>
      <c r="V84" s="44"/>
      <c r="W84" s="44"/>
      <c r="X84" s="44"/>
      <c r="Y84" s="44"/>
      <c r="Z84" s="44"/>
      <c r="AA84" s="44"/>
      <c r="AB84" s="44"/>
      <c r="AC84" s="44"/>
      <c r="AD84" s="44"/>
      <c r="AE84" s="44"/>
      <c r="AF84" s="44"/>
    </row>
    <row r="85" spans="1:32" x14ac:dyDescent="0.3">
      <c r="A85" s="38" t="s">
        <v>191</v>
      </c>
      <c r="B85" s="38" t="s">
        <v>174</v>
      </c>
      <c r="C85" s="38" t="s">
        <v>192</v>
      </c>
      <c r="D85" s="39" t="s">
        <v>183</v>
      </c>
      <c r="E85" s="39" t="s">
        <v>177</v>
      </c>
      <c r="F85" s="38" t="s">
        <v>135</v>
      </c>
      <c r="G85" s="38" t="s">
        <v>130</v>
      </c>
      <c r="H85" s="44"/>
      <c r="I85" s="44"/>
      <c r="J85" s="44"/>
      <c r="K85" s="44"/>
      <c r="L85" s="44"/>
      <c r="M85" s="44"/>
      <c r="N85" s="44"/>
      <c r="O85" s="44"/>
      <c r="P85" s="44"/>
      <c r="Q85" s="44"/>
      <c r="R85" s="44"/>
      <c r="S85" s="44"/>
      <c r="T85" s="44"/>
      <c r="U85" s="44"/>
      <c r="V85" s="44"/>
      <c r="W85" s="44"/>
      <c r="X85" s="44"/>
      <c r="Y85" s="44"/>
      <c r="Z85" s="44"/>
      <c r="AA85" s="44"/>
      <c r="AB85" s="44"/>
      <c r="AC85" s="44"/>
      <c r="AD85" s="44"/>
      <c r="AE85" s="44"/>
      <c r="AF85" s="44"/>
    </row>
    <row r="86" spans="1:32" x14ac:dyDescent="0.3">
      <c r="A86" s="38" t="s">
        <v>191</v>
      </c>
      <c r="B86" s="38" t="s">
        <v>174</v>
      </c>
      <c r="C86" s="38" t="s">
        <v>192</v>
      </c>
      <c r="D86" s="39" t="s">
        <v>183</v>
      </c>
      <c r="E86" s="39" t="s">
        <v>177</v>
      </c>
      <c r="F86" s="38" t="s">
        <v>136</v>
      </c>
      <c r="G86" s="38" t="s">
        <v>130</v>
      </c>
      <c r="H86" s="44">
        <f>SUM(I86:AF86)</f>
        <v>0</v>
      </c>
      <c r="I86" s="44">
        <f t="shared" ref="I86:AF86" si="18">IF(AND(ISBLANK(I89) = TRUE,ISBLANK(I88) = TRUE),I87,I88+I89)</f>
        <v>0</v>
      </c>
      <c r="J86" s="44">
        <f t="shared" si="18"/>
        <v>0</v>
      </c>
      <c r="K86" s="44">
        <f t="shared" si="18"/>
        <v>0</v>
      </c>
      <c r="L86" s="44">
        <f t="shared" si="18"/>
        <v>0</v>
      </c>
      <c r="M86" s="44">
        <f t="shared" si="18"/>
        <v>0</v>
      </c>
      <c r="N86" s="44">
        <f t="shared" si="18"/>
        <v>0</v>
      </c>
      <c r="O86" s="44">
        <f t="shared" si="18"/>
        <v>0</v>
      </c>
      <c r="P86" s="44">
        <f t="shared" si="18"/>
        <v>0</v>
      </c>
      <c r="Q86" s="44">
        <f t="shared" si="18"/>
        <v>0</v>
      </c>
      <c r="R86" s="44">
        <f t="shared" si="18"/>
        <v>0</v>
      </c>
      <c r="S86" s="44">
        <f t="shared" si="18"/>
        <v>0</v>
      </c>
      <c r="T86" s="44">
        <f t="shared" si="18"/>
        <v>0</v>
      </c>
      <c r="U86" s="44">
        <f t="shared" si="18"/>
        <v>0</v>
      </c>
      <c r="V86" s="44">
        <f t="shared" si="18"/>
        <v>0</v>
      </c>
      <c r="W86" s="44">
        <f t="shared" si="18"/>
        <v>0</v>
      </c>
      <c r="X86" s="44">
        <f t="shared" si="18"/>
        <v>0</v>
      </c>
      <c r="Y86" s="44">
        <f t="shared" si="18"/>
        <v>0</v>
      </c>
      <c r="Z86" s="44">
        <f t="shared" si="18"/>
        <v>0</v>
      </c>
      <c r="AA86" s="44">
        <f t="shared" si="18"/>
        <v>0</v>
      </c>
      <c r="AB86" s="44">
        <f t="shared" si="18"/>
        <v>0</v>
      </c>
      <c r="AC86" s="44">
        <f t="shared" si="18"/>
        <v>0</v>
      </c>
      <c r="AD86" s="44">
        <f t="shared" si="18"/>
        <v>0</v>
      </c>
      <c r="AE86" s="44">
        <f t="shared" si="18"/>
        <v>0</v>
      </c>
      <c r="AF86" s="44">
        <f t="shared" si="18"/>
        <v>0</v>
      </c>
    </row>
    <row r="87" spans="1:32" x14ac:dyDescent="0.3">
      <c r="A87" s="38" t="s">
        <v>191</v>
      </c>
      <c r="B87" s="38" t="s">
        <v>174</v>
      </c>
      <c r="C87" s="38" t="s">
        <v>192</v>
      </c>
      <c r="D87" s="39" t="s">
        <v>183</v>
      </c>
      <c r="E87" s="39" t="s">
        <v>177</v>
      </c>
      <c r="F87" s="38" t="s">
        <v>124</v>
      </c>
      <c r="G87" s="38" t="s">
        <v>130</v>
      </c>
      <c r="H87" s="44"/>
      <c r="I87" s="44"/>
      <c r="J87" s="44"/>
      <c r="K87" s="44"/>
      <c r="L87" s="44"/>
      <c r="M87" s="44"/>
      <c r="N87" s="44"/>
      <c r="O87" s="44"/>
      <c r="P87" s="44"/>
      <c r="Q87" s="44"/>
      <c r="R87" s="44"/>
      <c r="S87" s="44"/>
      <c r="T87" s="44"/>
      <c r="U87" s="44"/>
      <c r="V87" s="44"/>
      <c r="W87" s="44"/>
      <c r="X87" s="44"/>
      <c r="Y87" s="44"/>
      <c r="Z87" s="44"/>
      <c r="AA87" s="44"/>
      <c r="AB87" s="44"/>
      <c r="AC87" s="44"/>
      <c r="AD87" s="44"/>
      <c r="AE87" s="44"/>
      <c r="AF87" s="44"/>
    </row>
    <row r="88" spans="1:32" x14ac:dyDescent="0.3">
      <c r="A88" s="38" t="s">
        <v>191</v>
      </c>
      <c r="B88" s="38" t="s">
        <v>174</v>
      </c>
      <c r="C88" s="38" t="s">
        <v>192</v>
      </c>
      <c r="D88" s="39" t="s">
        <v>183</v>
      </c>
      <c r="E88" s="39" t="s">
        <v>177</v>
      </c>
      <c r="F88" s="38" t="s">
        <v>137</v>
      </c>
      <c r="G88" s="38" t="s">
        <v>130</v>
      </c>
      <c r="H88" s="44">
        <f>SUM(I88:AF88)</f>
        <v>0</v>
      </c>
      <c r="I88" s="44"/>
      <c r="J88" s="44"/>
      <c r="K88" s="44"/>
      <c r="L88" s="44"/>
      <c r="M88" s="44"/>
      <c r="N88" s="44"/>
      <c r="O88" s="44"/>
      <c r="P88" s="44"/>
      <c r="Q88" s="44"/>
      <c r="R88" s="44"/>
      <c r="S88" s="44"/>
      <c r="T88" s="44"/>
      <c r="U88" s="44"/>
      <c r="V88" s="44"/>
      <c r="W88" s="44"/>
      <c r="X88" s="44"/>
      <c r="Y88" s="44"/>
      <c r="Z88" s="44"/>
      <c r="AA88" s="44"/>
      <c r="AB88" s="44"/>
      <c r="AC88" s="44"/>
      <c r="AD88" s="44"/>
      <c r="AE88" s="44"/>
      <c r="AF88" s="44"/>
    </row>
    <row r="89" spans="1:32" x14ac:dyDescent="0.3">
      <c r="A89" s="38" t="s">
        <v>191</v>
      </c>
      <c r="B89" s="38" t="s">
        <v>174</v>
      </c>
      <c r="C89" s="38" t="s">
        <v>192</v>
      </c>
      <c r="D89" s="39" t="s">
        <v>183</v>
      </c>
      <c r="E89" s="39" t="s">
        <v>177</v>
      </c>
      <c r="F89" s="38" t="s">
        <v>138</v>
      </c>
      <c r="G89" s="38" t="s">
        <v>130</v>
      </c>
      <c r="H89" s="44">
        <f>SUM(I89:AF89)</f>
        <v>0</v>
      </c>
      <c r="I89" s="44"/>
      <c r="J89" s="44"/>
      <c r="K89" s="44"/>
      <c r="L89" s="44"/>
      <c r="M89" s="44"/>
      <c r="N89" s="44"/>
      <c r="O89" s="44"/>
      <c r="P89" s="44"/>
      <c r="Q89" s="44"/>
      <c r="R89" s="44"/>
      <c r="S89" s="44"/>
      <c r="T89" s="44"/>
      <c r="U89" s="44"/>
      <c r="V89" s="44"/>
      <c r="W89" s="44"/>
      <c r="X89" s="44"/>
      <c r="Y89" s="44"/>
      <c r="Z89" s="44"/>
      <c r="AA89" s="44"/>
      <c r="AB89" s="44"/>
      <c r="AC89" s="44"/>
      <c r="AD89" s="44"/>
      <c r="AE89" s="44"/>
      <c r="AF89" s="44"/>
    </row>
    <row r="90" spans="1:32" x14ac:dyDescent="0.3">
      <c r="A90" s="38" t="s">
        <v>191</v>
      </c>
      <c r="B90" s="38" t="s">
        <v>174</v>
      </c>
      <c r="C90" s="38" t="s">
        <v>192</v>
      </c>
      <c r="D90" s="39" t="s">
        <v>183</v>
      </c>
      <c r="E90" s="39" t="s">
        <v>177</v>
      </c>
      <c r="F90" s="38" t="s">
        <v>139</v>
      </c>
      <c r="G90" s="38" t="s">
        <v>130</v>
      </c>
      <c r="H90" s="44"/>
      <c r="I90" s="44"/>
      <c r="J90" s="44"/>
      <c r="K90" s="44"/>
      <c r="L90" s="44"/>
      <c r="M90" s="44"/>
      <c r="N90" s="44"/>
      <c r="O90" s="44"/>
      <c r="P90" s="44"/>
      <c r="Q90" s="44"/>
      <c r="R90" s="44"/>
      <c r="S90" s="44"/>
      <c r="T90" s="44"/>
      <c r="U90" s="44"/>
      <c r="V90" s="44"/>
      <c r="W90" s="44"/>
      <c r="X90" s="44"/>
      <c r="Y90" s="44"/>
      <c r="Z90" s="44"/>
      <c r="AA90" s="44"/>
      <c r="AB90" s="44"/>
      <c r="AC90" s="44"/>
      <c r="AD90" s="44"/>
      <c r="AE90" s="44"/>
      <c r="AF90" s="44"/>
    </row>
    <row r="91" spans="1:32" x14ac:dyDescent="0.3">
      <c r="A91" s="38" t="s">
        <v>191</v>
      </c>
      <c r="B91" s="38" t="s">
        <v>174</v>
      </c>
      <c r="C91" s="38" t="s">
        <v>192</v>
      </c>
      <c r="D91" s="39" t="s">
        <v>183</v>
      </c>
      <c r="E91" s="39" t="s">
        <v>177</v>
      </c>
      <c r="F91" s="38" t="s">
        <v>140</v>
      </c>
      <c r="G91" s="38" t="s">
        <v>130</v>
      </c>
      <c r="H91" s="44"/>
      <c r="I91" s="44">
        <f>I86-(I81+I80)+(I85+I84+I83+I82)</f>
        <v>-33</v>
      </c>
      <c r="J91" s="44">
        <f t="shared" ref="J91:AF91" si="19">I91+J86-J81</f>
        <v>-42</v>
      </c>
      <c r="K91" s="44">
        <f t="shared" si="19"/>
        <v>-42</v>
      </c>
      <c r="L91" s="44">
        <f t="shared" si="19"/>
        <v>-44</v>
      </c>
      <c r="M91" s="44">
        <f t="shared" si="19"/>
        <v>-44</v>
      </c>
      <c r="N91" s="44">
        <f t="shared" si="19"/>
        <v>-44</v>
      </c>
      <c r="O91" s="44">
        <f t="shared" si="19"/>
        <v>-44</v>
      </c>
      <c r="P91" s="44">
        <f t="shared" si="19"/>
        <v>-44</v>
      </c>
      <c r="Q91" s="44">
        <f t="shared" si="19"/>
        <v>-44</v>
      </c>
      <c r="R91" s="44">
        <f t="shared" si="19"/>
        <v>-44</v>
      </c>
      <c r="S91" s="44">
        <f t="shared" si="19"/>
        <v>-44</v>
      </c>
      <c r="T91" s="44">
        <f t="shared" si="19"/>
        <v>-44</v>
      </c>
      <c r="U91" s="44">
        <f t="shared" si="19"/>
        <v>-44</v>
      </c>
      <c r="V91" s="44">
        <f t="shared" si="19"/>
        <v>-44</v>
      </c>
      <c r="W91" s="44">
        <f t="shared" si="19"/>
        <v>-44</v>
      </c>
      <c r="X91" s="44">
        <f t="shared" si="19"/>
        <v>-44</v>
      </c>
      <c r="Y91" s="44">
        <f t="shared" si="19"/>
        <v>-44</v>
      </c>
      <c r="Z91" s="44">
        <f t="shared" si="19"/>
        <v>-44</v>
      </c>
      <c r="AA91" s="44">
        <f t="shared" si="19"/>
        <v>-44</v>
      </c>
      <c r="AB91" s="44">
        <f t="shared" si="19"/>
        <v>-44</v>
      </c>
      <c r="AC91" s="44">
        <f t="shared" si="19"/>
        <v>-44</v>
      </c>
      <c r="AD91" s="44">
        <f t="shared" si="19"/>
        <v>-44</v>
      </c>
      <c r="AE91" s="44">
        <f t="shared" si="19"/>
        <v>-44</v>
      </c>
      <c r="AF91" s="44">
        <f t="shared" si="19"/>
        <v>-44</v>
      </c>
    </row>
    <row r="92" spans="1:32" ht="15" thickBot="1" x14ac:dyDescent="0.35">
      <c r="A92" s="40" t="s">
        <v>191</v>
      </c>
      <c r="B92" s="40" t="s">
        <v>174</v>
      </c>
      <c r="C92" s="40" t="s">
        <v>192</v>
      </c>
      <c r="D92" s="41" t="s">
        <v>183</v>
      </c>
      <c r="E92" s="41" t="s">
        <v>177</v>
      </c>
      <c r="F92" s="40" t="s">
        <v>141</v>
      </c>
      <c r="G92" s="40" t="s">
        <v>130</v>
      </c>
      <c r="H92" s="45"/>
      <c r="I92" s="45">
        <f>I86-I90</f>
        <v>0</v>
      </c>
      <c r="J92" s="45">
        <f t="shared" ref="J92:AF92" si="20">I92+J86-J90</f>
        <v>0</v>
      </c>
      <c r="K92" s="45">
        <f t="shared" si="20"/>
        <v>0</v>
      </c>
      <c r="L92" s="45">
        <f t="shared" si="20"/>
        <v>0</v>
      </c>
      <c r="M92" s="45">
        <f t="shared" si="20"/>
        <v>0</v>
      </c>
      <c r="N92" s="45">
        <f t="shared" si="20"/>
        <v>0</v>
      </c>
      <c r="O92" s="45">
        <f t="shared" si="20"/>
        <v>0</v>
      </c>
      <c r="P92" s="45">
        <f t="shared" si="20"/>
        <v>0</v>
      </c>
      <c r="Q92" s="45">
        <f t="shared" si="20"/>
        <v>0</v>
      </c>
      <c r="R92" s="45">
        <f t="shared" si="20"/>
        <v>0</v>
      </c>
      <c r="S92" s="45">
        <f t="shared" si="20"/>
        <v>0</v>
      </c>
      <c r="T92" s="45">
        <f t="shared" si="20"/>
        <v>0</v>
      </c>
      <c r="U92" s="45">
        <f t="shared" si="20"/>
        <v>0</v>
      </c>
      <c r="V92" s="45">
        <f t="shared" si="20"/>
        <v>0</v>
      </c>
      <c r="W92" s="45">
        <f t="shared" si="20"/>
        <v>0</v>
      </c>
      <c r="X92" s="45">
        <f t="shared" si="20"/>
        <v>0</v>
      </c>
      <c r="Y92" s="45">
        <f t="shared" si="20"/>
        <v>0</v>
      </c>
      <c r="Z92" s="45">
        <f t="shared" si="20"/>
        <v>0</v>
      </c>
      <c r="AA92" s="45">
        <f t="shared" si="20"/>
        <v>0</v>
      </c>
      <c r="AB92" s="45">
        <f t="shared" si="20"/>
        <v>0</v>
      </c>
      <c r="AC92" s="45">
        <f t="shared" si="20"/>
        <v>0</v>
      </c>
      <c r="AD92" s="45">
        <f t="shared" si="20"/>
        <v>0</v>
      </c>
      <c r="AE92" s="45">
        <f t="shared" si="20"/>
        <v>0</v>
      </c>
      <c r="AF92" s="45">
        <f t="shared" si="20"/>
        <v>0</v>
      </c>
    </row>
    <row r="93" spans="1:32" x14ac:dyDescent="0.3">
      <c r="A93" s="38" t="s">
        <v>193</v>
      </c>
      <c r="B93" s="38" t="s">
        <v>174</v>
      </c>
      <c r="C93" s="38" t="s">
        <v>194</v>
      </c>
      <c r="D93" s="39" t="s">
        <v>176</v>
      </c>
      <c r="E93" s="39" t="s">
        <v>195</v>
      </c>
      <c r="F93" s="38" t="s">
        <v>129</v>
      </c>
      <c r="G93" s="38" t="s">
        <v>130</v>
      </c>
      <c r="H93" s="44">
        <v>10941</v>
      </c>
      <c r="I93" s="44">
        <v>10941</v>
      </c>
      <c r="J93" s="44"/>
      <c r="K93" s="44"/>
      <c r="L93" s="44"/>
      <c r="M93" s="44"/>
      <c r="N93" s="44"/>
      <c r="O93" s="44"/>
      <c r="P93" s="44"/>
      <c r="Q93" s="44"/>
      <c r="R93" s="44"/>
      <c r="S93" s="44"/>
      <c r="T93" s="44"/>
      <c r="U93" s="44"/>
      <c r="V93" s="44"/>
      <c r="W93" s="44"/>
      <c r="X93" s="44"/>
      <c r="Y93" s="44"/>
      <c r="Z93" s="44"/>
      <c r="AA93" s="44"/>
      <c r="AB93" s="44"/>
      <c r="AC93" s="44"/>
      <c r="AD93" s="44"/>
      <c r="AE93" s="44"/>
      <c r="AF93" s="44"/>
    </row>
    <row r="94" spans="1:32" x14ac:dyDescent="0.3">
      <c r="A94" s="38" t="s">
        <v>193</v>
      </c>
      <c r="B94" s="38" t="s">
        <v>174</v>
      </c>
      <c r="C94" s="38" t="s">
        <v>194</v>
      </c>
      <c r="D94" s="39" t="s">
        <v>176</v>
      </c>
      <c r="E94" s="39" t="s">
        <v>195</v>
      </c>
      <c r="F94" s="38" t="s">
        <v>131</v>
      </c>
      <c r="G94" s="38" t="s">
        <v>130</v>
      </c>
      <c r="H94" s="44">
        <v>5593</v>
      </c>
      <c r="I94" s="44">
        <v>588</v>
      </c>
      <c r="J94" s="44">
        <v>409</v>
      </c>
      <c r="K94" s="44">
        <v>604</v>
      </c>
      <c r="L94" s="44">
        <v>230</v>
      </c>
      <c r="M94" s="44">
        <v>556</v>
      </c>
      <c r="N94" s="44">
        <v>389</v>
      </c>
      <c r="O94" s="44">
        <v>189</v>
      </c>
      <c r="P94" s="44">
        <v>1486</v>
      </c>
      <c r="Q94" s="44">
        <v>460</v>
      </c>
      <c r="R94" s="44">
        <v>460</v>
      </c>
      <c r="S94" s="44">
        <v>60</v>
      </c>
      <c r="T94" s="44">
        <v>56</v>
      </c>
      <c r="U94" s="44">
        <v>50</v>
      </c>
      <c r="V94" s="44">
        <v>50</v>
      </c>
      <c r="W94" s="44">
        <v>0</v>
      </c>
      <c r="X94" s="44">
        <v>6</v>
      </c>
      <c r="Y94" s="44">
        <v>0</v>
      </c>
      <c r="Z94" s="44">
        <v>0</v>
      </c>
      <c r="AA94" s="44">
        <v>0</v>
      </c>
      <c r="AB94" s="44">
        <v>0</v>
      </c>
      <c r="AC94" s="44">
        <v>0</v>
      </c>
      <c r="AD94" s="44">
        <v>0</v>
      </c>
      <c r="AE94" s="44">
        <v>0</v>
      </c>
      <c r="AF94" s="44">
        <v>0</v>
      </c>
    </row>
    <row r="95" spans="1:32" x14ac:dyDescent="0.3">
      <c r="A95" s="38" t="s">
        <v>193</v>
      </c>
      <c r="B95" s="38" t="s">
        <v>174</v>
      </c>
      <c r="C95" s="38" t="s">
        <v>194</v>
      </c>
      <c r="D95" s="39" t="s">
        <v>176</v>
      </c>
      <c r="E95" s="39" t="s">
        <v>195</v>
      </c>
      <c r="F95" s="38" t="s">
        <v>132</v>
      </c>
      <c r="G95" s="38" t="s">
        <v>130</v>
      </c>
      <c r="H95" s="44">
        <v>1296</v>
      </c>
      <c r="I95" s="44">
        <v>1296</v>
      </c>
      <c r="J95" s="44"/>
      <c r="K95" s="44"/>
      <c r="L95" s="44"/>
      <c r="M95" s="44"/>
      <c r="N95" s="44"/>
      <c r="O95" s="44"/>
      <c r="P95" s="44"/>
      <c r="Q95" s="44"/>
      <c r="R95" s="44"/>
      <c r="S95" s="44"/>
      <c r="T95" s="44"/>
      <c r="U95" s="44"/>
      <c r="V95" s="44"/>
      <c r="W95" s="44"/>
      <c r="X95" s="44"/>
      <c r="Y95" s="44"/>
      <c r="Z95" s="44"/>
      <c r="AA95" s="44"/>
      <c r="AB95" s="44"/>
      <c r="AC95" s="44"/>
      <c r="AD95" s="44"/>
      <c r="AE95" s="44"/>
      <c r="AF95" s="44"/>
    </row>
    <row r="96" spans="1:32" x14ac:dyDescent="0.3">
      <c r="A96" s="38" t="s">
        <v>193</v>
      </c>
      <c r="B96" s="38" t="s">
        <v>174</v>
      </c>
      <c r="C96" s="38" t="s">
        <v>194</v>
      </c>
      <c r="D96" s="39" t="s">
        <v>176</v>
      </c>
      <c r="E96" s="39" t="s">
        <v>195</v>
      </c>
      <c r="F96" s="38" t="s">
        <v>133</v>
      </c>
      <c r="G96" s="38" t="s">
        <v>130</v>
      </c>
      <c r="H96" s="44">
        <v>0</v>
      </c>
      <c r="I96" s="44">
        <v>0</v>
      </c>
      <c r="J96" s="44"/>
      <c r="K96" s="44"/>
      <c r="L96" s="44"/>
      <c r="M96" s="44"/>
      <c r="N96" s="44"/>
      <c r="O96" s="44"/>
      <c r="P96" s="44"/>
      <c r="Q96" s="44"/>
      <c r="R96" s="44"/>
      <c r="S96" s="44"/>
      <c r="T96" s="44"/>
      <c r="U96" s="44"/>
      <c r="V96" s="44"/>
      <c r="W96" s="44"/>
      <c r="X96" s="44"/>
      <c r="Y96" s="44"/>
      <c r="Z96" s="44"/>
      <c r="AA96" s="44"/>
      <c r="AB96" s="44"/>
      <c r="AC96" s="44"/>
      <c r="AD96" s="44"/>
      <c r="AE96" s="44"/>
      <c r="AF96" s="44"/>
    </row>
    <row r="97" spans="1:32" x14ac:dyDescent="0.3">
      <c r="A97" s="38" t="s">
        <v>193</v>
      </c>
      <c r="B97" s="38" t="s">
        <v>174</v>
      </c>
      <c r="C97" s="38" t="s">
        <v>194</v>
      </c>
      <c r="D97" s="39" t="s">
        <v>176</v>
      </c>
      <c r="E97" s="39" t="s">
        <v>195</v>
      </c>
      <c r="F97" s="38" t="s">
        <v>134</v>
      </c>
      <c r="G97" s="38" t="s">
        <v>130</v>
      </c>
      <c r="H97" s="44">
        <v>0</v>
      </c>
      <c r="I97" s="44">
        <v>0</v>
      </c>
      <c r="J97" s="44"/>
      <c r="K97" s="44"/>
      <c r="L97" s="44"/>
      <c r="M97" s="44"/>
      <c r="N97" s="44"/>
      <c r="O97" s="44"/>
      <c r="P97" s="44"/>
      <c r="Q97" s="44"/>
      <c r="R97" s="44"/>
      <c r="S97" s="44"/>
      <c r="T97" s="44"/>
      <c r="U97" s="44"/>
      <c r="V97" s="44"/>
      <c r="W97" s="44"/>
      <c r="X97" s="44"/>
      <c r="Y97" s="44"/>
      <c r="Z97" s="44"/>
      <c r="AA97" s="44"/>
      <c r="AB97" s="44"/>
      <c r="AC97" s="44"/>
      <c r="AD97" s="44"/>
      <c r="AE97" s="44"/>
      <c r="AF97" s="44"/>
    </row>
    <row r="98" spans="1:32" x14ac:dyDescent="0.3">
      <c r="A98" s="38" t="s">
        <v>193</v>
      </c>
      <c r="B98" s="38" t="s">
        <v>174</v>
      </c>
      <c r="C98" s="38" t="s">
        <v>194</v>
      </c>
      <c r="D98" s="39" t="s">
        <v>176</v>
      </c>
      <c r="E98" s="39" t="s">
        <v>195</v>
      </c>
      <c r="F98" s="38" t="s">
        <v>135</v>
      </c>
      <c r="G98" s="38" t="s">
        <v>130</v>
      </c>
      <c r="H98" s="44"/>
      <c r="I98" s="44"/>
      <c r="J98" s="44"/>
      <c r="K98" s="44"/>
      <c r="L98" s="44"/>
      <c r="M98" s="44"/>
      <c r="N98" s="44"/>
      <c r="O98" s="44"/>
      <c r="P98" s="44"/>
      <c r="Q98" s="44"/>
      <c r="R98" s="44"/>
      <c r="S98" s="44"/>
      <c r="T98" s="44"/>
      <c r="U98" s="44"/>
      <c r="V98" s="44"/>
      <c r="W98" s="44"/>
      <c r="X98" s="44"/>
      <c r="Y98" s="44"/>
      <c r="Z98" s="44"/>
      <c r="AA98" s="44"/>
      <c r="AB98" s="44"/>
      <c r="AC98" s="44"/>
      <c r="AD98" s="44"/>
      <c r="AE98" s="44"/>
      <c r="AF98" s="44"/>
    </row>
    <row r="99" spans="1:32" x14ac:dyDescent="0.3">
      <c r="A99" s="38" t="s">
        <v>193</v>
      </c>
      <c r="B99" s="38" t="s">
        <v>174</v>
      </c>
      <c r="C99" s="38" t="s">
        <v>194</v>
      </c>
      <c r="D99" s="39" t="s">
        <v>176</v>
      </c>
      <c r="E99" s="39" t="s">
        <v>195</v>
      </c>
      <c r="F99" s="38" t="s">
        <v>136</v>
      </c>
      <c r="G99" s="38" t="s">
        <v>130</v>
      </c>
      <c r="H99" s="44">
        <f>SUM(I99:AF99)</f>
        <v>2106</v>
      </c>
      <c r="I99" s="44">
        <f t="shared" ref="I99:AF99" si="21">IF(AND(ISBLANK(I102) = TRUE,ISBLANK(I101) = TRUE),I100,I101+I102)</f>
        <v>0</v>
      </c>
      <c r="J99" s="44">
        <f t="shared" si="21"/>
        <v>0</v>
      </c>
      <c r="K99" s="44">
        <f t="shared" si="21"/>
        <v>0</v>
      </c>
      <c r="L99" s="44">
        <f t="shared" si="21"/>
        <v>0</v>
      </c>
      <c r="M99" s="44">
        <f t="shared" si="21"/>
        <v>0</v>
      </c>
      <c r="N99" s="44">
        <f t="shared" si="21"/>
        <v>0</v>
      </c>
      <c r="O99" s="44">
        <f t="shared" si="21"/>
        <v>0</v>
      </c>
      <c r="P99" s="44">
        <f t="shared" si="21"/>
        <v>2106</v>
      </c>
      <c r="Q99" s="44">
        <f t="shared" si="21"/>
        <v>0</v>
      </c>
      <c r="R99" s="44">
        <f t="shared" si="21"/>
        <v>0</v>
      </c>
      <c r="S99" s="44">
        <f t="shared" si="21"/>
        <v>0</v>
      </c>
      <c r="T99" s="44">
        <f t="shared" si="21"/>
        <v>0</v>
      </c>
      <c r="U99" s="44">
        <f t="shared" si="21"/>
        <v>0</v>
      </c>
      <c r="V99" s="44">
        <f t="shared" si="21"/>
        <v>0</v>
      </c>
      <c r="W99" s="44">
        <f t="shared" si="21"/>
        <v>0</v>
      </c>
      <c r="X99" s="44">
        <f t="shared" si="21"/>
        <v>0</v>
      </c>
      <c r="Y99" s="44">
        <f t="shared" si="21"/>
        <v>0</v>
      </c>
      <c r="Z99" s="44">
        <f t="shared" si="21"/>
        <v>0</v>
      </c>
      <c r="AA99" s="44">
        <f t="shared" si="21"/>
        <v>0</v>
      </c>
      <c r="AB99" s="44">
        <f t="shared" si="21"/>
        <v>0</v>
      </c>
      <c r="AC99" s="44">
        <f t="shared" si="21"/>
        <v>0</v>
      </c>
      <c r="AD99" s="44">
        <f t="shared" si="21"/>
        <v>0</v>
      </c>
      <c r="AE99" s="44">
        <f t="shared" si="21"/>
        <v>0</v>
      </c>
      <c r="AF99" s="44">
        <f t="shared" si="21"/>
        <v>0</v>
      </c>
    </row>
    <row r="100" spans="1:32" x14ac:dyDescent="0.3">
      <c r="A100" s="38" t="s">
        <v>193</v>
      </c>
      <c r="B100" s="38" t="s">
        <v>174</v>
      </c>
      <c r="C100" s="38" t="s">
        <v>194</v>
      </c>
      <c r="D100" s="39" t="s">
        <v>176</v>
      </c>
      <c r="E100" s="39" t="s">
        <v>195</v>
      </c>
      <c r="F100" s="38" t="s">
        <v>124</v>
      </c>
      <c r="G100" s="38" t="s">
        <v>130</v>
      </c>
      <c r="H100" s="44">
        <v>2106</v>
      </c>
      <c r="I100" s="44"/>
      <c r="J100" s="44"/>
      <c r="K100" s="44"/>
      <c r="L100" s="44"/>
      <c r="M100" s="44"/>
      <c r="N100" s="44"/>
      <c r="O100" s="44"/>
      <c r="P100" s="44">
        <v>2106</v>
      </c>
      <c r="Q100" s="44"/>
      <c r="R100" s="44"/>
      <c r="S100" s="44"/>
      <c r="T100" s="44"/>
      <c r="U100" s="44"/>
      <c r="V100" s="44"/>
      <c r="W100" s="44"/>
      <c r="X100" s="44"/>
      <c r="Y100" s="44"/>
      <c r="Z100" s="44"/>
      <c r="AA100" s="44"/>
      <c r="AB100" s="44"/>
      <c r="AC100" s="44"/>
      <c r="AD100" s="44"/>
      <c r="AE100" s="44"/>
      <c r="AF100" s="44"/>
    </row>
    <row r="101" spans="1:32" x14ac:dyDescent="0.3">
      <c r="A101" s="38" t="s">
        <v>193</v>
      </c>
      <c r="B101" s="38" t="s">
        <v>174</v>
      </c>
      <c r="C101" s="38" t="s">
        <v>194</v>
      </c>
      <c r="D101" s="39" t="s">
        <v>176</v>
      </c>
      <c r="E101" s="39" t="s">
        <v>195</v>
      </c>
      <c r="F101" s="38" t="s">
        <v>137</v>
      </c>
      <c r="G101" s="38" t="s">
        <v>130</v>
      </c>
      <c r="H101" s="44">
        <f>SUM(I101:AF101)</f>
        <v>0</v>
      </c>
      <c r="I101" s="44"/>
      <c r="J101" s="44"/>
      <c r="K101" s="44"/>
      <c r="L101" s="44"/>
      <c r="M101" s="44"/>
      <c r="N101" s="44"/>
      <c r="O101" s="44"/>
      <c r="P101" s="44"/>
      <c r="Q101" s="44"/>
      <c r="R101" s="44"/>
      <c r="S101" s="44"/>
      <c r="T101" s="44"/>
      <c r="U101" s="44"/>
      <c r="V101" s="44"/>
      <c r="W101" s="44"/>
      <c r="X101" s="44"/>
      <c r="Y101" s="44"/>
      <c r="Z101" s="44"/>
      <c r="AA101" s="44"/>
      <c r="AB101" s="44"/>
      <c r="AC101" s="44"/>
      <c r="AD101" s="44"/>
      <c r="AE101" s="44"/>
      <c r="AF101" s="44"/>
    </row>
    <row r="102" spans="1:32" x14ac:dyDescent="0.3">
      <c r="A102" s="38" t="s">
        <v>193</v>
      </c>
      <c r="B102" s="38" t="s">
        <v>174</v>
      </c>
      <c r="C102" s="38" t="s">
        <v>194</v>
      </c>
      <c r="D102" s="39" t="s">
        <v>176</v>
      </c>
      <c r="E102" s="39" t="s">
        <v>195</v>
      </c>
      <c r="F102" s="38" t="s">
        <v>138</v>
      </c>
      <c r="G102" s="38" t="s">
        <v>130</v>
      </c>
      <c r="H102" s="44">
        <f>SUM(I102:AF102)</f>
        <v>0</v>
      </c>
      <c r="I102" s="44"/>
      <c r="J102" s="44"/>
      <c r="K102" s="44"/>
      <c r="L102" s="44"/>
      <c r="M102" s="44"/>
      <c r="N102" s="44"/>
      <c r="O102" s="44"/>
      <c r="P102" s="44"/>
      <c r="Q102" s="44"/>
      <c r="R102" s="44"/>
      <c r="S102" s="44"/>
      <c r="T102" s="44"/>
      <c r="U102" s="44"/>
      <c r="V102" s="44"/>
      <c r="W102" s="44"/>
      <c r="X102" s="44"/>
      <c r="Y102" s="44"/>
      <c r="Z102" s="44"/>
      <c r="AA102" s="44"/>
      <c r="AB102" s="44"/>
      <c r="AC102" s="44"/>
      <c r="AD102" s="44"/>
      <c r="AE102" s="44"/>
      <c r="AF102" s="44"/>
    </row>
    <row r="103" spans="1:32" x14ac:dyDescent="0.3">
      <c r="A103" s="38" t="s">
        <v>193</v>
      </c>
      <c r="B103" s="38" t="s">
        <v>174</v>
      </c>
      <c r="C103" s="38" t="s">
        <v>194</v>
      </c>
      <c r="D103" s="39" t="s">
        <v>176</v>
      </c>
      <c r="E103" s="39" t="s">
        <v>195</v>
      </c>
      <c r="F103" s="38" t="s">
        <v>139</v>
      </c>
      <c r="G103" s="38" t="s">
        <v>130</v>
      </c>
      <c r="H103" s="44">
        <v>2106</v>
      </c>
      <c r="I103" s="44"/>
      <c r="J103" s="44"/>
      <c r="K103" s="44"/>
      <c r="L103" s="44"/>
      <c r="M103" s="44"/>
      <c r="N103" s="44"/>
      <c r="O103" s="44"/>
      <c r="P103" s="44">
        <v>2106</v>
      </c>
      <c r="Q103" s="44"/>
      <c r="R103" s="44"/>
      <c r="S103" s="44"/>
      <c r="T103" s="44"/>
      <c r="U103" s="44"/>
      <c r="V103" s="44"/>
      <c r="W103" s="44"/>
      <c r="X103" s="44"/>
      <c r="Y103" s="44"/>
      <c r="Z103" s="44"/>
      <c r="AA103" s="44"/>
      <c r="AB103" s="44"/>
      <c r="AC103" s="44"/>
      <c r="AD103" s="44"/>
      <c r="AE103" s="44"/>
      <c r="AF103" s="44"/>
    </row>
    <row r="104" spans="1:32" x14ac:dyDescent="0.3">
      <c r="A104" s="38" t="s">
        <v>193</v>
      </c>
      <c r="B104" s="38" t="s">
        <v>174</v>
      </c>
      <c r="C104" s="38" t="s">
        <v>194</v>
      </c>
      <c r="D104" s="39" t="s">
        <v>176</v>
      </c>
      <c r="E104" s="39" t="s">
        <v>195</v>
      </c>
      <c r="F104" s="38" t="s">
        <v>140</v>
      </c>
      <c r="G104" s="38" t="s">
        <v>130</v>
      </c>
      <c r="H104" s="44"/>
      <c r="I104" s="44">
        <f>I99-(I94+I93)+(I98+I97+I96+I95)</f>
        <v>-10233</v>
      </c>
      <c r="J104" s="44">
        <f t="shared" ref="J104:AF104" si="22">I104+J99-J94</f>
        <v>-10642</v>
      </c>
      <c r="K104" s="44">
        <f t="shared" si="22"/>
        <v>-11246</v>
      </c>
      <c r="L104" s="44">
        <f t="shared" si="22"/>
        <v>-11476</v>
      </c>
      <c r="M104" s="44">
        <f t="shared" si="22"/>
        <v>-12032</v>
      </c>
      <c r="N104" s="44">
        <f t="shared" si="22"/>
        <v>-12421</v>
      </c>
      <c r="O104" s="44">
        <f t="shared" si="22"/>
        <v>-12610</v>
      </c>
      <c r="P104" s="44">
        <f t="shared" si="22"/>
        <v>-11990</v>
      </c>
      <c r="Q104" s="44">
        <f t="shared" si="22"/>
        <v>-12450</v>
      </c>
      <c r="R104" s="44">
        <f t="shared" si="22"/>
        <v>-12910</v>
      </c>
      <c r="S104" s="44">
        <f t="shared" si="22"/>
        <v>-12970</v>
      </c>
      <c r="T104" s="44">
        <f t="shared" si="22"/>
        <v>-13026</v>
      </c>
      <c r="U104" s="44">
        <f t="shared" si="22"/>
        <v>-13076</v>
      </c>
      <c r="V104" s="44">
        <f t="shared" si="22"/>
        <v>-13126</v>
      </c>
      <c r="W104" s="44">
        <f t="shared" si="22"/>
        <v>-13126</v>
      </c>
      <c r="X104" s="44">
        <f t="shared" si="22"/>
        <v>-13132</v>
      </c>
      <c r="Y104" s="44">
        <f t="shared" si="22"/>
        <v>-13132</v>
      </c>
      <c r="Z104" s="44">
        <f t="shared" si="22"/>
        <v>-13132</v>
      </c>
      <c r="AA104" s="44">
        <f t="shared" si="22"/>
        <v>-13132</v>
      </c>
      <c r="AB104" s="44">
        <f t="shared" si="22"/>
        <v>-13132</v>
      </c>
      <c r="AC104" s="44">
        <f t="shared" si="22"/>
        <v>-13132</v>
      </c>
      <c r="AD104" s="44">
        <f t="shared" si="22"/>
        <v>-13132</v>
      </c>
      <c r="AE104" s="44">
        <f t="shared" si="22"/>
        <v>-13132</v>
      </c>
      <c r="AF104" s="44">
        <f t="shared" si="22"/>
        <v>-13132</v>
      </c>
    </row>
    <row r="105" spans="1:32" ht="15" thickBot="1" x14ac:dyDescent="0.35">
      <c r="A105" s="40" t="s">
        <v>193</v>
      </c>
      <c r="B105" s="40" t="s">
        <v>174</v>
      </c>
      <c r="C105" s="40" t="s">
        <v>194</v>
      </c>
      <c r="D105" s="41" t="s">
        <v>176</v>
      </c>
      <c r="E105" s="41" t="s">
        <v>195</v>
      </c>
      <c r="F105" s="40" t="s">
        <v>141</v>
      </c>
      <c r="G105" s="40" t="s">
        <v>130</v>
      </c>
      <c r="H105" s="45"/>
      <c r="I105" s="45">
        <f>I99-I103</f>
        <v>0</v>
      </c>
      <c r="J105" s="45">
        <f t="shared" ref="J105:AF105" si="23">I105+J99-J103</f>
        <v>0</v>
      </c>
      <c r="K105" s="45">
        <f t="shared" si="23"/>
        <v>0</v>
      </c>
      <c r="L105" s="45">
        <f t="shared" si="23"/>
        <v>0</v>
      </c>
      <c r="M105" s="45">
        <f t="shared" si="23"/>
        <v>0</v>
      </c>
      <c r="N105" s="45">
        <f t="shared" si="23"/>
        <v>0</v>
      </c>
      <c r="O105" s="45">
        <f t="shared" si="23"/>
        <v>0</v>
      </c>
      <c r="P105" s="45">
        <f t="shared" si="23"/>
        <v>0</v>
      </c>
      <c r="Q105" s="45">
        <f t="shared" si="23"/>
        <v>0</v>
      </c>
      <c r="R105" s="45">
        <f t="shared" si="23"/>
        <v>0</v>
      </c>
      <c r="S105" s="45">
        <f t="shared" si="23"/>
        <v>0</v>
      </c>
      <c r="T105" s="45">
        <f t="shared" si="23"/>
        <v>0</v>
      </c>
      <c r="U105" s="45">
        <f t="shared" si="23"/>
        <v>0</v>
      </c>
      <c r="V105" s="45">
        <f t="shared" si="23"/>
        <v>0</v>
      </c>
      <c r="W105" s="45">
        <f t="shared" si="23"/>
        <v>0</v>
      </c>
      <c r="X105" s="45">
        <f t="shared" si="23"/>
        <v>0</v>
      </c>
      <c r="Y105" s="45">
        <f t="shared" si="23"/>
        <v>0</v>
      </c>
      <c r="Z105" s="45">
        <f t="shared" si="23"/>
        <v>0</v>
      </c>
      <c r="AA105" s="45">
        <f t="shared" si="23"/>
        <v>0</v>
      </c>
      <c r="AB105" s="45">
        <f t="shared" si="23"/>
        <v>0</v>
      </c>
      <c r="AC105" s="45">
        <f t="shared" si="23"/>
        <v>0</v>
      </c>
      <c r="AD105" s="45">
        <f t="shared" si="23"/>
        <v>0</v>
      </c>
      <c r="AE105" s="45">
        <f t="shared" si="23"/>
        <v>0</v>
      </c>
      <c r="AF105" s="45">
        <f t="shared" si="23"/>
        <v>0</v>
      </c>
    </row>
    <row r="106" spans="1:32" x14ac:dyDescent="0.3">
      <c r="A106" s="38" t="s">
        <v>193</v>
      </c>
      <c r="B106" s="38" t="s">
        <v>174</v>
      </c>
      <c r="C106" s="38" t="s">
        <v>194</v>
      </c>
      <c r="D106" s="39" t="s">
        <v>176</v>
      </c>
      <c r="E106" s="39" t="s">
        <v>177</v>
      </c>
      <c r="F106" s="38" t="s">
        <v>129</v>
      </c>
      <c r="G106" s="38" t="s">
        <v>130</v>
      </c>
      <c r="H106" s="44">
        <v>597</v>
      </c>
      <c r="I106" s="44">
        <v>597</v>
      </c>
      <c r="J106" s="44"/>
      <c r="K106" s="44"/>
      <c r="L106" s="44"/>
      <c r="M106" s="44"/>
      <c r="N106" s="44"/>
      <c r="O106" s="44"/>
      <c r="P106" s="44"/>
      <c r="Q106" s="44"/>
      <c r="R106" s="44"/>
      <c r="S106" s="44"/>
      <c r="T106" s="44"/>
      <c r="U106" s="44"/>
      <c r="V106" s="44"/>
      <c r="W106" s="44"/>
      <c r="X106" s="44"/>
      <c r="Y106" s="44"/>
      <c r="Z106" s="44"/>
      <c r="AA106" s="44"/>
      <c r="AB106" s="44"/>
      <c r="AC106" s="44"/>
      <c r="AD106" s="44"/>
      <c r="AE106" s="44"/>
      <c r="AF106" s="44"/>
    </row>
    <row r="107" spans="1:32" x14ac:dyDescent="0.3">
      <c r="A107" s="38" t="s">
        <v>193</v>
      </c>
      <c r="B107" s="38" t="s">
        <v>174</v>
      </c>
      <c r="C107" s="38" t="s">
        <v>194</v>
      </c>
      <c r="D107" s="39" t="s">
        <v>176</v>
      </c>
      <c r="E107" s="39" t="s">
        <v>177</v>
      </c>
      <c r="F107" s="38" t="s">
        <v>131</v>
      </c>
      <c r="G107" s="38" t="s">
        <v>130</v>
      </c>
      <c r="H107" s="44">
        <v>81993</v>
      </c>
      <c r="I107" s="44">
        <v>200</v>
      </c>
      <c r="J107" s="44">
        <v>2630</v>
      </c>
      <c r="K107" s="44">
        <v>12285</v>
      </c>
      <c r="L107" s="44">
        <v>7761</v>
      </c>
      <c r="M107" s="44">
        <v>11765</v>
      </c>
      <c r="N107" s="44">
        <v>7577</v>
      </c>
      <c r="O107" s="44">
        <v>6882</v>
      </c>
      <c r="P107" s="44">
        <v>3393</v>
      </c>
      <c r="Q107" s="44">
        <v>3887</v>
      </c>
      <c r="R107" s="44">
        <v>3805</v>
      </c>
      <c r="S107" s="44">
        <v>2270</v>
      </c>
      <c r="T107" s="44">
        <v>2981</v>
      </c>
      <c r="U107" s="44">
        <v>2735</v>
      </c>
      <c r="V107" s="44">
        <v>2320</v>
      </c>
      <c r="W107" s="44">
        <v>3030</v>
      </c>
      <c r="X107" s="44">
        <v>2466</v>
      </c>
      <c r="Y107" s="44">
        <v>1640</v>
      </c>
      <c r="Z107" s="44">
        <v>1665</v>
      </c>
      <c r="AA107" s="44">
        <v>914</v>
      </c>
      <c r="AB107" s="44">
        <v>875</v>
      </c>
      <c r="AC107" s="44">
        <v>314</v>
      </c>
      <c r="AD107" s="44">
        <v>354</v>
      </c>
      <c r="AE107" s="44">
        <v>177</v>
      </c>
      <c r="AF107" s="44">
        <v>67</v>
      </c>
    </row>
    <row r="108" spans="1:32" x14ac:dyDescent="0.3">
      <c r="A108" s="38" t="s">
        <v>193</v>
      </c>
      <c r="B108" s="38" t="s">
        <v>174</v>
      </c>
      <c r="C108" s="38" t="s">
        <v>194</v>
      </c>
      <c r="D108" s="39" t="s">
        <v>176</v>
      </c>
      <c r="E108" s="39" t="s">
        <v>177</v>
      </c>
      <c r="F108" s="38" t="s">
        <v>132</v>
      </c>
      <c r="G108" s="38" t="s">
        <v>130</v>
      </c>
      <c r="H108" s="44">
        <v>9072</v>
      </c>
      <c r="I108" s="44">
        <v>9072</v>
      </c>
      <c r="J108" s="44"/>
      <c r="K108" s="44"/>
      <c r="L108" s="44"/>
      <c r="M108" s="44"/>
      <c r="N108" s="44"/>
      <c r="O108" s="44"/>
      <c r="P108" s="44"/>
      <c r="Q108" s="44"/>
      <c r="R108" s="44"/>
      <c r="S108" s="44"/>
      <c r="T108" s="44"/>
      <c r="U108" s="44"/>
      <c r="V108" s="44"/>
      <c r="W108" s="44"/>
      <c r="X108" s="44"/>
      <c r="Y108" s="44"/>
      <c r="Z108" s="44"/>
      <c r="AA108" s="44"/>
      <c r="AB108" s="44"/>
      <c r="AC108" s="44"/>
      <c r="AD108" s="44"/>
      <c r="AE108" s="44"/>
      <c r="AF108" s="44"/>
    </row>
    <row r="109" spans="1:32" x14ac:dyDescent="0.3">
      <c r="A109" s="38" t="s">
        <v>193</v>
      </c>
      <c r="B109" s="38" t="s">
        <v>174</v>
      </c>
      <c r="C109" s="38" t="s">
        <v>194</v>
      </c>
      <c r="D109" s="39" t="s">
        <v>176</v>
      </c>
      <c r="E109" s="39" t="s">
        <v>177</v>
      </c>
      <c r="F109" s="38" t="s">
        <v>133</v>
      </c>
      <c r="G109" s="38" t="s">
        <v>130</v>
      </c>
      <c r="H109" s="44">
        <v>0</v>
      </c>
      <c r="I109" s="44">
        <v>0</v>
      </c>
      <c r="J109" s="44"/>
      <c r="K109" s="44"/>
      <c r="L109" s="44"/>
      <c r="M109" s="44"/>
      <c r="N109" s="44"/>
      <c r="O109" s="44"/>
      <c r="P109" s="44"/>
      <c r="Q109" s="44"/>
      <c r="R109" s="44"/>
      <c r="S109" s="44"/>
      <c r="T109" s="44"/>
      <c r="U109" s="44"/>
      <c r="V109" s="44"/>
      <c r="W109" s="44"/>
      <c r="X109" s="44"/>
      <c r="Y109" s="44"/>
      <c r="Z109" s="44"/>
      <c r="AA109" s="44"/>
      <c r="AB109" s="44"/>
      <c r="AC109" s="44"/>
      <c r="AD109" s="44"/>
      <c r="AE109" s="44"/>
      <c r="AF109" s="44"/>
    </row>
    <row r="110" spans="1:32" x14ac:dyDescent="0.3">
      <c r="A110" s="38" t="s">
        <v>193</v>
      </c>
      <c r="B110" s="38" t="s">
        <v>174</v>
      </c>
      <c r="C110" s="38" t="s">
        <v>194</v>
      </c>
      <c r="D110" s="39" t="s">
        <v>176</v>
      </c>
      <c r="E110" s="39" t="s">
        <v>177</v>
      </c>
      <c r="F110" s="38" t="s">
        <v>134</v>
      </c>
      <c r="G110" s="38" t="s">
        <v>130</v>
      </c>
      <c r="H110" s="44">
        <v>28</v>
      </c>
      <c r="I110" s="44">
        <v>28</v>
      </c>
      <c r="J110" s="44"/>
      <c r="K110" s="44"/>
      <c r="L110" s="44"/>
      <c r="M110" s="44"/>
      <c r="N110" s="44"/>
      <c r="O110" s="44"/>
      <c r="P110" s="44"/>
      <c r="Q110" s="44"/>
      <c r="R110" s="44"/>
      <c r="S110" s="44"/>
      <c r="T110" s="44"/>
      <c r="U110" s="44"/>
      <c r="V110" s="44"/>
      <c r="W110" s="44"/>
      <c r="X110" s="44"/>
      <c r="Y110" s="44"/>
      <c r="Z110" s="44"/>
      <c r="AA110" s="44"/>
      <c r="AB110" s="44"/>
      <c r="AC110" s="44"/>
      <c r="AD110" s="44"/>
      <c r="AE110" s="44"/>
      <c r="AF110" s="44"/>
    </row>
    <row r="111" spans="1:32" x14ac:dyDescent="0.3">
      <c r="A111" s="38" t="s">
        <v>193</v>
      </c>
      <c r="B111" s="38" t="s">
        <v>174</v>
      </c>
      <c r="C111" s="38" t="s">
        <v>194</v>
      </c>
      <c r="D111" s="39" t="s">
        <v>176</v>
      </c>
      <c r="E111" s="39" t="s">
        <v>177</v>
      </c>
      <c r="F111" s="38" t="s">
        <v>135</v>
      </c>
      <c r="G111" s="38" t="s">
        <v>130</v>
      </c>
      <c r="H111" s="44"/>
      <c r="I111" s="44"/>
      <c r="J111" s="44"/>
      <c r="K111" s="44"/>
      <c r="L111" s="44"/>
      <c r="M111" s="44"/>
      <c r="N111" s="44"/>
      <c r="O111" s="44"/>
      <c r="P111" s="44"/>
      <c r="Q111" s="44"/>
      <c r="R111" s="44"/>
      <c r="S111" s="44"/>
      <c r="T111" s="44"/>
      <c r="U111" s="44"/>
      <c r="V111" s="44"/>
      <c r="W111" s="44"/>
      <c r="X111" s="44"/>
      <c r="Y111" s="44"/>
      <c r="Z111" s="44"/>
      <c r="AA111" s="44"/>
      <c r="AB111" s="44"/>
      <c r="AC111" s="44"/>
      <c r="AD111" s="44"/>
      <c r="AE111" s="44"/>
      <c r="AF111" s="44"/>
    </row>
    <row r="112" spans="1:32" x14ac:dyDescent="0.3">
      <c r="A112" s="38" t="s">
        <v>193</v>
      </c>
      <c r="B112" s="38" t="s">
        <v>174</v>
      </c>
      <c r="C112" s="38" t="s">
        <v>194</v>
      </c>
      <c r="D112" s="39" t="s">
        <v>176</v>
      </c>
      <c r="E112" s="39" t="s">
        <v>177</v>
      </c>
      <c r="F112" s="38" t="s">
        <v>136</v>
      </c>
      <c r="G112" s="38" t="s">
        <v>130</v>
      </c>
      <c r="H112" s="44">
        <f>SUM(I112:AF112)</f>
        <v>14429</v>
      </c>
      <c r="I112" s="44">
        <f t="shared" ref="I112:AF112" si="24">IF(AND(ISBLANK(I115) = TRUE,ISBLANK(I114) = TRUE),I113,I114+I115)</f>
        <v>0</v>
      </c>
      <c r="J112" s="44">
        <f t="shared" si="24"/>
        <v>0</v>
      </c>
      <c r="K112" s="44">
        <f t="shared" si="24"/>
        <v>0</v>
      </c>
      <c r="L112" s="44">
        <f t="shared" si="24"/>
        <v>0</v>
      </c>
      <c r="M112" s="44">
        <f t="shared" si="24"/>
        <v>9072</v>
      </c>
      <c r="N112" s="44">
        <f t="shared" si="24"/>
        <v>0</v>
      </c>
      <c r="O112" s="44">
        <f t="shared" si="24"/>
        <v>0</v>
      </c>
      <c r="P112" s="44">
        <f t="shared" si="24"/>
        <v>5357</v>
      </c>
      <c r="Q112" s="44">
        <f t="shared" si="24"/>
        <v>0</v>
      </c>
      <c r="R112" s="44">
        <f t="shared" si="24"/>
        <v>0</v>
      </c>
      <c r="S112" s="44">
        <f t="shared" si="24"/>
        <v>0</v>
      </c>
      <c r="T112" s="44">
        <f t="shared" si="24"/>
        <v>0</v>
      </c>
      <c r="U112" s="44">
        <f t="shared" si="24"/>
        <v>0</v>
      </c>
      <c r="V112" s="44">
        <f t="shared" si="24"/>
        <v>0</v>
      </c>
      <c r="W112" s="44">
        <f t="shared" si="24"/>
        <v>0</v>
      </c>
      <c r="X112" s="44">
        <f t="shared" si="24"/>
        <v>0</v>
      </c>
      <c r="Y112" s="44">
        <f t="shared" si="24"/>
        <v>0</v>
      </c>
      <c r="Z112" s="44">
        <f t="shared" si="24"/>
        <v>0</v>
      </c>
      <c r="AA112" s="44">
        <f t="shared" si="24"/>
        <v>0</v>
      </c>
      <c r="AB112" s="44">
        <f t="shared" si="24"/>
        <v>0</v>
      </c>
      <c r="AC112" s="44">
        <f t="shared" si="24"/>
        <v>0</v>
      </c>
      <c r="AD112" s="44">
        <f t="shared" si="24"/>
        <v>0</v>
      </c>
      <c r="AE112" s="44">
        <f t="shared" si="24"/>
        <v>0</v>
      </c>
      <c r="AF112" s="44">
        <f t="shared" si="24"/>
        <v>0</v>
      </c>
    </row>
    <row r="113" spans="1:32" x14ac:dyDescent="0.3">
      <c r="A113" s="38" t="s">
        <v>193</v>
      </c>
      <c r="B113" s="38" t="s">
        <v>174</v>
      </c>
      <c r="C113" s="38" t="s">
        <v>194</v>
      </c>
      <c r="D113" s="39" t="s">
        <v>176</v>
      </c>
      <c r="E113" s="39" t="s">
        <v>177</v>
      </c>
      <c r="F113" s="38" t="s">
        <v>124</v>
      </c>
      <c r="G113" s="38" t="s">
        <v>130</v>
      </c>
      <c r="H113" s="44">
        <v>14429</v>
      </c>
      <c r="I113" s="44"/>
      <c r="J113" s="44"/>
      <c r="K113" s="44"/>
      <c r="L113" s="44"/>
      <c r="M113" s="44">
        <v>9072</v>
      </c>
      <c r="N113" s="44"/>
      <c r="O113" s="44"/>
      <c r="P113" s="44">
        <v>5357</v>
      </c>
      <c r="Q113" s="44"/>
      <c r="R113" s="44"/>
      <c r="S113" s="44"/>
      <c r="T113" s="44"/>
      <c r="U113" s="44"/>
      <c r="V113" s="44"/>
      <c r="W113" s="44"/>
      <c r="X113" s="44"/>
      <c r="Y113" s="44"/>
      <c r="Z113" s="44"/>
      <c r="AA113" s="44"/>
      <c r="AB113" s="44"/>
      <c r="AC113" s="44"/>
      <c r="AD113" s="44"/>
      <c r="AE113" s="44"/>
      <c r="AF113" s="44"/>
    </row>
    <row r="114" spans="1:32" x14ac:dyDescent="0.3">
      <c r="A114" s="38" t="s">
        <v>193</v>
      </c>
      <c r="B114" s="38" t="s">
        <v>174</v>
      </c>
      <c r="C114" s="38" t="s">
        <v>194</v>
      </c>
      <c r="D114" s="39" t="s">
        <v>176</v>
      </c>
      <c r="E114" s="39" t="s">
        <v>177</v>
      </c>
      <c r="F114" s="38" t="s">
        <v>137</v>
      </c>
      <c r="G114" s="38" t="s">
        <v>130</v>
      </c>
      <c r="H114" s="44">
        <f>SUM(I114:AF114)</f>
        <v>0</v>
      </c>
      <c r="I114" s="44"/>
      <c r="J114" s="44"/>
      <c r="K114" s="44"/>
      <c r="L114" s="44"/>
      <c r="M114" s="44"/>
      <c r="N114" s="44"/>
      <c r="O114" s="44"/>
      <c r="P114" s="44"/>
      <c r="Q114" s="44"/>
      <c r="R114" s="44"/>
      <c r="S114" s="44"/>
      <c r="T114" s="44"/>
      <c r="U114" s="44"/>
      <c r="V114" s="44"/>
      <c r="W114" s="44"/>
      <c r="X114" s="44"/>
      <c r="Y114" s="44"/>
      <c r="Z114" s="44"/>
      <c r="AA114" s="44"/>
      <c r="AB114" s="44"/>
      <c r="AC114" s="44"/>
      <c r="AD114" s="44"/>
      <c r="AE114" s="44"/>
      <c r="AF114" s="44"/>
    </row>
    <row r="115" spans="1:32" x14ac:dyDescent="0.3">
      <c r="A115" s="38" t="s">
        <v>193</v>
      </c>
      <c r="B115" s="38" t="s">
        <v>174</v>
      </c>
      <c r="C115" s="38" t="s">
        <v>194</v>
      </c>
      <c r="D115" s="39" t="s">
        <v>176</v>
      </c>
      <c r="E115" s="39" t="s">
        <v>177</v>
      </c>
      <c r="F115" s="38" t="s">
        <v>138</v>
      </c>
      <c r="G115" s="38" t="s">
        <v>130</v>
      </c>
      <c r="H115" s="44">
        <f>SUM(I115:AF115)</f>
        <v>0</v>
      </c>
      <c r="I115" s="44"/>
      <c r="J115" s="44"/>
      <c r="K115" s="44"/>
      <c r="L115" s="44"/>
      <c r="M115" s="44"/>
      <c r="N115" s="44"/>
      <c r="O115" s="44"/>
      <c r="P115" s="44"/>
      <c r="Q115" s="44"/>
      <c r="R115" s="44"/>
      <c r="S115" s="44"/>
      <c r="T115" s="44"/>
      <c r="U115" s="44"/>
      <c r="V115" s="44"/>
      <c r="W115" s="44"/>
      <c r="X115" s="44"/>
      <c r="Y115" s="44"/>
      <c r="Z115" s="44"/>
      <c r="AA115" s="44"/>
      <c r="AB115" s="44"/>
      <c r="AC115" s="44"/>
      <c r="AD115" s="44"/>
      <c r="AE115" s="44"/>
      <c r="AF115" s="44"/>
    </row>
    <row r="116" spans="1:32" x14ac:dyDescent="0.3">
      <c r="A116" s="38" t="s">
        <v>193</v>
      </c>
      <c r="B116" s="38" t="s">
        <v>174</v>
      </c>
      <c r="C116" s="38" t="s">
        <v>194</v>
      </c>
      <c r="D116" s="39" t="s">
        <v>176</v>
      </c>
      <c r="E116" s="39" t="s">
        <v>177</v>
      </c>
      <c r="F116" s="38" t="s">
        <v>139</v>
      </c>
      <c r="G116" s="38" t="s">
        <v>130</v>
      </c>
      <c r="H116" s="44">
        <v>14429</v>
      </c>
      <c r="I116" s="44"/>
      <c r="J116" s="44"/>
      <c r="K116" s="44"/>
      <c r="L116" s="44"/>
      <c r="M116" s="44">
        <v>9072</v>
      </c>
      <c r="N116" s="44"/>
      <c r="O116" s="44"/>
      <c r="P116" s="44">
        <v>5357</v>
      </c>
      <c r="Q116" s="44"/>
      <c r="R116" s="44"/>
      <c r="S116" s="44"/>
      <c r="T116" s="44"/>
      <c r="U116" s="44"/>
      <c r="V116" s="44"/>
      <c r="W116" s="44"/>
      <c r="X116" s="44"/>
      <c r="Y116" s="44"/>
      <c r="Z116" s="44"/>
      <c r="AA116" s="44"/>
      <c r="AB116" s="44"/>
      <c r="AC116" s="44"/>
      <c r="AD116" s="44"/>
      <c r="AE116" s="44"/>
      <c r="AF116" s="44"/>
    </row>
    <row r="117" spans="1:32" x14ac:dyDescent="0.3">
      <c r="A117" s="38" t="s">
        <v>193</v>
      </c>
      <c r="B117" s="38" t="s">
        <v>174</v>
      </c>
      <c r="C117" s="38" t="s">
        <v>194</v>
      </c>
      <c r="D117" s="39" t="s">
        <v>176</v>
      </c>
      <c r="E117" s="39" t="s">
        <v>177</v>
      </c>
      <c r="F117" s="38" t="s">
        <v>140</v>
      </c>
      <c r="G117" s="38" t="s">
        <v>130</v>
      </c>
      <c r="H117" s="44"/>
      <c r="I117" s="44">
        <f>I112-(I107+I106)+(I111+I110+I109+I108)</f>
        <v>8303</v>
      </c>
      <c r="J117" s="44">
        <f t="shared" ref="J117:AF117" si="25">I117+J112-J107</f>
        <v>5673</v>
      </c>
      <c r="K117" s="44">
        <f t="shared" si="25"/>
        <v>-6612</v>
      </c>
      <c r="L117" s="44">
        <f t="shared" si="25"/>
        <v>-14373</v>
      </c>
      <c r="M117" s="44">
        <f t="shared" si="25"/>
        <v>-17066</v>
      </c>
      <c r="N117" s="44">
        <f t="shared" si="25"/>
        <v>-24643</v>
      </c>
      <c r="O117" s="44">
        <f t="shared" si="25"/>
        <v>-31525</v>
      </c>
      <c r="P117" s="44">
        <f t="shared" si="25"/>
        <v>-29561</v>
      </c>
      <c r="Q117" s="44">
        <f t="shared" si="25"/>
        <v>-33448</v>
      </c>
      <c r="R117" s="44">
        <f t="shared" si="25"/>
        <v>-37253</v>
      </c>
      <c r="S117" s="44">
        <f t="shared" si="25"/>
        <v>-39523</v>
      </c>
      <c r="T117" s="44">
        <f t="shared" si="25"/>
        <v>-42504</v>
      </c>
      <c r="U117" s="44">
        <f t="shared" si="25"/>
        <v>-45239</v>
      </c>
      <c r="V117" s="44">
        <f t="shared" si="25"/>
        <v>-47559</v>
      </c>
      <c r="W117" s="44">
        <f t="shared" si="25"/>
        <v>-50589</v>
      </c>
      <c r="X117" s="44">
        <f t="shared" si="25"/>
        <v>-53055</v>
      </c>
      <c r="Y117" s="44">
        <f t="shared" si="25"/>
        <v>-54695</v>
      </c>
      <c r="Z117" s="44">
        <f t="shared" si="25"/>
        <v>-56360</v>
      </c>
      <c r="AA117" s="44">
        <f t="shared" si="25"/>
        <v>-57274</v>
      </c>
      <c r="AB117" s="44">
        <f t="shared" si="25"/>
        <v>-58149</v>
      </c>
      <c r="AC117" s="44">
        <f t="shared" si="25"/>
        <v>-58463</v>
      </c>
      <c r="AD117" s="44">
        <f t="shared" si="25"/>
        <v>-58817</v>
      </c>
      <c r="AE117" s="44">
        <f t="shared" si="25"/>
        <v>-58994</v>
      </c>
      <c r="AF117" s="44">
        <f t="shared" si="25"/>
        <v>-59061</v>
      </c>
    </row>
    <row r="118" spans="1:32" ht="15" thickBot="1" x14ac:dyDescent="0.35">
      <c r="A118" s="40" t="s">
        <v>193</v>
      </c>
      <c r="B118" s="40" t="s">
        <v>174</v>
      </c>
      <c r="C118" s="40" t="s">
        <v>194</v>
      </c>
      <c r="D118" s="41" t="s">
        <v>176</v>
      </c>
      <c r="E118" s="41" t="s">
        <v>177</v>
      </c>
      <c r="F118" s="40" t="s">
        <v>141</v>
      </c>
      <c r="G118" s="40" t="s">
        <v>130</v>
      </c>
      <c r="H118" s="45"/>
      <c r="I118" s="45">
        <f>I112-I116</f>
        <v>0</v>
      </c>
      <c r="J118" s="45">
        <f t="shared" ref="J118:AF118" si="26">I118+J112-J116</f>
        <v>0</v>
      </c>
      <c r="K118" s="45">
        <f t="shared" si="26"/>
        <v>0</v>
      </c>
      <c r="L118" s="45">
        <f t="shared" si="26"/>
        <v>0</v>
      </c>
      <c r="M118" s="45">
        <f t="shared" si="26"/>
        <v>0</v>
      </c>
      <c r="N118" s="45">
        <f t="shared" si="26"/>
        <v>0</v>
      </c>
      <c r="O118" s="45">
        <f t="shared" si="26"/>
        <v>0</v>
      </c>
      <c r="P118" s="45">
        <f t="shared" si="26"/>
        <v>0</v>
      </c>
      <c r="Q118" s="45">
        <f t="shared" si="26"/>
        <v>0</v>
      </c>
      <c r="R118" s="45">
        <f t="shared" si="26"/>
        <v>0</v>
      </c>
      <c r="S118" s="45">
        <f t="shared" si="26"/>
        <v>0</v>
      </c>
      <c r="T118" s="45">
        <f t="shared" si="26"/>
        <v>0</v>
      </c>
      <c r="U118" s="45">
        <f t="shared" si="26"/>
        <v>0</v>
      </c>
      <c r="V118" s="45">
        <f t="shared" si="26"/>
        <v>0</v>
      </c>
      <c r="W118" s="45">
        <f t="shared" si="26"/>
        <v>0</v>
      </c>
      <c r="X118" s="45">
        <f t="shared" si="26"/>
        <v>0</v>
      </c>
      <c r="Y118" s="45">
        <f t="shared" si="26"/>
        <v>0</v>
      </c>
      <c r="Z118" s="45">
        <f t="shared" si="26"/>
        <v>0</v>
      </c>
      <c r="AA118" s="45">
        <f t="shared" si="26"/>
        <v>0</v>
      </c>
      <c r="AB118" s="45">
        <f t="shared" si="26"/>
        <v>0</v>
      </c>
      <c r="AC118" s="45">
        <f t="shared" si="26"/>
        <v>0</v>
      </c>
      <c r="AD118" s="45">
        <f t="shared" si="26"/>
        <v>0</v>
      </c>
      <c r="AE118" s="45">
        <f t="shared" si="26"/>
        <v>0</v>
      </c>
      <c r="AF118" s="45">
        <f t="shared" si="26"/>
        <v>0</v>
      </c>
    </row>
    <row r="119" spans="1:32" x14ac:dyDescent="0.3">
      <c r="A119" s="38" t="s">
        <v>196</v>
      </c>
      <c r="B119" s="38" t="s">
        <v>174</v>
      </c>
      <c r="C119" s="38" t="s">
        <v>197</v>
      </c>
      <c r="D119" s="39" t="s">
        <v>198</v>
      </c>
      <c r="E119" s="39" t="s">
        <v>177</v>
      </c>
      <c r="F119" s="38" t="s">
        <v>129</v>
      </c>
      <c r="G119" s="38" t="s">
        <v>130</v>
      </c>
      <c r="H119" s="44">
        <v>16786.75</v>
      </c>
      <c r="I119" s="44">
        <v>16786.75</v>
      </c>
      <c r="J119" s="44"/>
      <c r="K119" s="44"/>
      <c r="L119" s="44"/>
      <c r="M119" s="44"/>
      <c r="N119" s="44"/>
      <c r="O119" s="44"/>
      <c r="P119" s="44"/>
      <c r="Q119" s="44"/>
      <c r="R119" s="44"/>
      <c r="S119" s="44"/>
      <c r="T119" s="44"/>
      <c r="U119" s="44"/>
      <c r="V119" s="44"/>
      <c r="W119" s="44"/>
      <c r="X119" s="44"/>
      <c r="Y119" s="44"/>
      <c r="Z119" s="44"/>
      <c r="AA119" s="44"/>
      <c r="AB119" s="44"/>
      <c r="AC119" s="44"/>
      <c r="AD119" s="44"/>
      <c r="AE119" s="44"/>
      <c r="AF119" s="44"/>
    </row>
    <row r="120" spans="1:32" x14ac:dyDescent="0.3">
      <c r="A120" s="38" t="s">
        <v>196</v>
      </c>
      <c r="B120" s="38" t="s">
        <v>174</v>
      </c>
      <c r="C120" s="38" t="s">
        <v>197</v>
      </c>
      <c r="D120" s="39" t="s">
        <v>198</v>
      </c>
      <c r="E120" s="39" t="s">
        <v>177</v>
      </c>
      <c r="F120" s="38" t="s">
        <v>131</v>
      </c>
      <c r="G120" s="38" t="s">
        <v>130</v>
      </c>
      <c r="H120" s="44">
        <v>324479</v>
      </c>
      <c r="I120" s="44">
        <v>4914.25</v>
      </c>
      <c r="J120" s="44">
        <v>4580.5</v>
      </c>
      <c r="K120" s="44">
        <v>4440.5</v>
      </c>
      <c r="L120" s="44">
        <v>4413</v>
      </c>
      <c r="M120" s="44">
        <v>4447.25</v>
      </c>
      <c r="N120" s="44">
        <v>4643</v>
      </c>
      <c r="O120" s="44">
        <v>4396.75</v>
      </c>
      <c r="P120" s="44">
        <v>4372.25</v>
      </c>
      <c r="Q120" s="44">
        <v>4428.5</v>
      </c>
      <c r="R120" s="44">
        <v>4553</v>
      </c>
      <c r="S120" s="44">
        <v>4410</v>
      </c>
      <c r="T120" s="44">
        <v>4414.25</v>
      </c>
      <c r="U120" s="44">
        <v>4255</v>
      </c>
      <c r="V120" s="44">
        <v>3255.25</v>
      </c>
      <c r="W120" s="44">
        <v>24404.75</v>
      </c>
      <c r="X120" s="44">
        <v>24368.5</v>
      </c>
      <c r="Y120" s="44">
        <v>24615.25</v>
      </c>
      <c r="Z120" s="44">
        <v>24243.5</v>
      </c>
      <c r="AA120" s="44">
        <v>24257.5</v>
      </c>
      <c r="AB120" s="44">
        <v>33074</v>
      </c>
      <c r="AC120" s="44">
        <v>33060.75</v>
      </c>
      <c r="AD120" s="44">
        <v>26376.75</v>
      </c>
      <c r="AE120" s="44">
        <v>24277.75</v>
      </c>
      <c r="AF120" s="44">
        <v>24276.75</v>
      </c>
    </row>
    <row r="121" spans="1:32" x14ac:dyDescent="0.3">
      <c r="A121" s="38" t="s">
        <v>196</v>
      </c>
      <c r="B121" s="38" t="s">
        <v>174</v>
      </c>
      <c r="C121" s="38" t="s">
        <v>197</v>
      </c>
      <c r="D121" s="39" t="s">
        <v>198</v>
      </c>
      <c r="E121" s="39" t="s">
        <v>177</v>
      </c>
      <c r="F121" s="38" t="s">
        <v>132</v>
      </c>
      <c r="G121" s="38" t="s">
        <v>130</v>
      </c>
      <c r="H121" s="44">
        <v>807508</v>
      </c>
      <c r="I121" s="44">
        <v>807508</v>
      </c>
      <c r="J121" s="44"/>
      <c r="K121" s="44"/>
      <c r="L121" s="44"/>
      <c r="M121" s="44"/>
      <c r="N121" s="44"/>
      <c r="O121" s="44"/>
      <c r="P121" s="44"/>
      <c r="Q121" s="44"/>
      <c r="R121" s="44"/>
      <c r="S121" s="44"/>
      <c r="T121" s="44"/>
      <c r="U121" s="44"/>
      <c r="V121" s="44"/>
      <c r="W121" s="44"/>
      <c r="X121" s="44"/>
      <c r="Y121" s="44"/>
      <c r="Z121" s="44"/>
      <c r="AA121" s="44"/>
      <c r="AB121" s="44"/>
      <c r="AC121" s="44"/>
      <c r="AD121" s="44"/>
      <c r="AE121" s="44"/>
      <c r="AF121" s="44"/>
    </row>
    <row r="122" spans="1:32" x14ac:dyDescent="0.3">
      <c r="A122" s="38" t="s">
        <v>196</v>
      </c>
      <c r="B122" s="38" t="s">
        <v>174</v>
      </c>
      <c r="C122" s="38" t="s">
        <v>197</v>
      </c>
      <c r="D122" s="39" t="s">
        <v>198</v>
      </c>
      <c r="E122" s="39" t="s">
        <v>177</v>
      </c>
      <c r="F122" s="38" t="s">
        <v>133</v>
      </c>
      <c r="G122" s="38" t="s">
        <v>130</v>
      </c>
      <c r="H122" s="44">
        <v>0</v>
      </c>
      <c r="I122" s="44">
        <v>0</v>
      </c>
      <c r="J122" s="44"/>
      <c r="K122" s="44"/>
      <c r="L122" s="44"/>
      <c r="M122" s="44"/>
      <c r="N122" s="44"/>
      <c r="O122" s="44"/>
      <c r="P122" s="44"/>
      <c r="Q122" s="44"/>
      <c r="R122" s="44"/>
      <c r="S122" s="44"/>
      <c r="T122" s="44"/>
      <c r="U122" s="44"/>
      <c r="V122" s="44"/>
      <c r="W122" s="44"/>
      <c r="X122" s="44"/>
      <c r="Y122" s="44"/>
      <c r="Z122" s="44"/>
      <c r="AA122" s="44"/>
      <c r="AB122" s="44"/>
      <c r="AC122" s="44"/>
      <c r="AD122" s="44"/>
      <c r="AE122" s="44"/>
      <c r="AF122" s="44"/>
    </row>
    <row r="123" spans="1:32" x14ac:dyDescent="0.3">
      <c r="A123" s="38" t="s">
        <v>196</v>
      </c>
      <c r="B123" s="38" t="s">
        <v>174</v>
      </c>
      <c r="C123" s="38" t="s">
        <v>197</v>
      </c>
      <c r="D123" s="39" t="s">
        <v>198</v>
      </c>
      <c r="E123" s="39" t="s">
        <v>177</v>
      </c>
      <c r="F123" s="38" t="s">
        <v>134</v>
      </c>
      <c r="G123" s="38" t="s">
        <v>130</v>
      </c>
      <c r="H123" s="44">
        <v>27038</v>
      </c>
      <c r="I123" s="44">
        <v>27038</v>
      </c>
      <c r="J123" s="44"/>
      <c r="K123" s="44"/>
      <c r="L123" s="44"/>
      <c r="M123" s="44"/>
      <c r="N123" s="44"/>
      <c r="O123" s="44"/>
      <c r="P123" s="44"/>
      <c r="Q123" s="44"/>
      <c r="R123" s="44"/>
      <c r="S123" s="44"/>
      <c r="T123" s="44"/>
      <c r="U123" s="44"/>
      <c r="V123" s="44"/>
      <c r="W123" s="44"/>
      <c r="X123" s="44"/>
      <c r="Y123" s="44"/>
      <c r="Z123" s="44"/>
      <c r="AA123" s="44"/>
      <c r="AB123" s="44"/>
      <c r="AC123" s="44"/>
      <c r="AD123" s="44"/>
      <c r="AE123" s="44"/>
      <c r="AF123" s="44"/>
    </row>
    <row r="124" spans="1:32" x14ac:dyDescent="0.3">
      <c r="A124" s="38" t="s">
        <v>196</v>
      </c>
      <c r="B124" s="38" t="s">
        <v>174</v>
      </c>
      <c r="C124" s="38" t="s">
        <v>197</v>
      </c>
      <c r="D124" s="39" t="s">
        <v>198</v>
      </c>
      <c r="E124" s="39" t="s">
        <v>177</v>
      </c>
      <c r="F124" s="38" t="s">
        <v>135</v>
      </c>
      <c r="G124" s="38" t="s">
        <v>130</v>
      </c>
      <c r="H124" s="44">
        <v>50544</v>
      </c>
      <c r="I124" s="44">
        <v>50544</v>
      </c>
      <c r="J124" s="44"/>
      <c r="K124" s="44"/>
      <c r="L124" s="44"/>
      <c r="M124" s="44"/>
      <c r="N124" s="44"/>
      <c r="O124" s="44"/>
      <c r="P124" s="44"/>
      <c r="Q124" s="44"/>
      <c r="R124" s="44"/>
      <c r="S124" s="44"/>
      <c r="T124" s="44"/>
      <c r="U124" s="44"/>
      <c r="V124" s="44"/>
      <c r="W124" s="44"/>
      <c r="X124" s="44"/>
      <c r="Y124" s="44"/>
      <c r="Z124" s="44"/>
      <c r="AA124" s="44"/>
      <c r="AB124" s="44"/>
      <c r="AC124" s="44"/>
      <c r="AD124" s="44"/>
      <c r="AE124" s="44"/>
      <c r="AF124" s="44"/>
    </row>
    <row r="125" spans="1:32" x14ac:dyDescent="0.3">
      <c r="A125" s="38" t="s">
        <v>196</v>
      </c>
      <c r="B125" s="38" t="s">
        <v>174</v>
      </c>
      <c r="C125" s="38" t="s">
        <v>197</v>
      </c>
      <c r="D125" s="39" t="s">
        <v>198</v>
      </c>
      <c r="E125" s="39" t="s">
        <v>177</v>
      </c>
      <c r="F125" s="38" t="s">
        <v>136</v>
      </c>
      <c r="G125" s="38" t="s">
        <v>130</v>
      </c>
      <c r="H125" s="44">
        <f>SUM(I125:AF125)</f>
        <v>1220448</v>
      </c>
      <c r="I125" s="44">
        <f t="shared" ref="I125:AF125" si="27">IF(AND(ISBLANK(I128) = TRUE,ISBLANK(I127) = TRUE),I126,I127+I128)</f>
        <v>110448</v>
      </c>
      <c r="J125" s="44">
        <f t="shared" si="27"/>
        <v>0</v>
      </c>
      <c r="K125" s="44">
        <f t="shared" si="27"/>
        <v>60000</v>
      </c>
      <c r="L125" s="44">
        <f t="shared" si="27"/>
        <v>150000</v>
      </c>
      <c r="M125" s="44">
        <f t="shared" si="27"/>
        <v>150000</v>
      </c>
      <c r="N125" s="44">
        <f t="shared" si="27"/>
        <v>150000</v>
      </c>
      <c r="O125" s="44">
        <f t="shared" si="27"/>
        <v>100000</v>
      </c>
      <c r="P125" s="44">
        <f t="shared" si="27"/>
        <v>100000</v>
      </c>
      <c r="Q125" s="44">
        <f t="shared" si="27"/>
        <v>150000</v>
      </c>
      <c r="R125" s="44">
        <f t="shared" si="27"/>
        <v>150000</v>
      </c>
      <c r="S125" s="44">
        <f t="shared" si="27"/>
        <v>0</v>
      </c>
      <c r="T125" s="44">
        <f t="shared" si="27"/>
        <v>0</v>
      </c>
      <c r="U125" s="44">
        <f t="shared" si="27"/>
        <v>50000</v>
      </c>
      <c r="V125" s="44">
        <f t="shared" si="27"/>
        <v>50000</v>
      </c>
      <c r="W125" s="44">
        <f t="shared" si="27"/>
        <v>0</v>
      </c>
      <c r="X125" s="44">
        <f t="shared" si="27"/>
        <v>0</v>
      </c>
      <c r="Y125" s="44">
        <f t="shared" si="27"/>
        <v>0</v>
      </c>
      <c r="Z125" s="44">
        <f t="shared" si="27"/>
        <v>0</v>
      </c>
      <c r="AA125" s="44">
        <f t="shared" si="27"/>
        <v>0</v>
      </c>
      <c r="AB125" s="44">
        <f t="shared" si="27"/>
        <v>0</v>
      </c>
      <c r="AC125" s="44">
        <f t="shared" si="27"/>
        <v>0</v>
      </c>
      <c r="AD125" s="44">
        <f t="shared" si="27"/>
        <v>0</v>
      </c>
      <c r="AE125" s="44">
        <f t="shared" si="27"/>
        <v>0</v>
      </c>
      <c r="AF125" s="44">
        <f t="shared" si="27"/>
        <v>0</v>
      </c>
    </row>
    <row r="126" spans="1:32" x14ac:dyDescent="0.3">
      <c r="A126" s="38" t="s">
        <v>196</v>
      </c>
      <c r="B126" s="38" t="s">
        <v>174</v>
      </c>
      <c r="C126" s="38" t="s">
        <v>197</v>
      </c>
      <c r="D126" s="39" t="s">
        <v>198</v>
      </c>
      <c r="E126" s="39" t="s">
        <v>177</v>
      </c>
      <c r="F126" s="38" t="s">
        <v>124</v>
      </c>
      <c r="G126" s="38" t="s">
        <v>130</v>
      </c>
      <c r="H126" s="44">
        <v>1220448</v>
      </c>
      <c r="I126" s="44">
        <v>110448</v>
      </c>
      <c r="J126" s="44"/>
      <c r="K126" s="44">
        <v>60000</v>
      </c>
      <c r="L126" s="44">
        <v>150000</v>
      </c>
      <c r="M126" s="44">
        <v>150000</v>
      </c>
      <c r="N126" s="44">
        <v>150000</v>
      </c>
      <c r="O126" s="44">
        <v>100000</v>
      </c>
      <c r="P126" s="44">
        <v>100000</v>
      </c>
      <c r="Q126" s="44">
        <v>150000</v>
      </c>
      <c r="R126" s="44">
        <v>150000</v>
      </c>
      <c r="S126" s="44"/>
      <c r="T126" s="44"/>
      <c r="U126" s="44">
        <v>50000</v>
      </c>
      <c r="V126" s="44">
        <v>50000</v>
      </c>
      <c r="W126" s="44"/>
      <c r="X126" s="44"/>
      <c r="Y126" s="44"/>
      <c r="Z126" s="44"/>
      <c r="AA126" s="44"/>
      <c r="AB126" s="44"/>
      <c r="AC126" s="44"/>
      <c r="AD126" s="44"/>
      <c r="AE126" s="44"/>
      <c r="AF126" s="44"/>
    </row>
    <row r="127" spans="1:32" x14ac:dyDescent="0.3">
      <c r="A127" s="38" t="s">
        <v>196</v>
      </c>
      <c r="B127" s="38" t="s">
        <v>174</v>
      </c>
      <c r="C127" s="38" t="s">
        <v>197</v>
      </c>
      <c r="D127" s="39" t="s">
        <v>198</v>
      </c>
      <c r="E127" s="39" t="s">
        <v>177</v>
      </c>
      <c r="F127" s="38" t="s">
        <v>137</v>
      </c>
      <c r="G127" s="38" t="s">
        <v>130</v>
      </c>
      <c r="H127" s="44">
        <f>SUM(I127:AF127)</f>
        <v>0</v>
      </c>
      <c r="I127" s="44"/>
      <c r="J127" s="44"/>
      <c r="K127" s="44"/>
      <c r="L127" s="44"/>
      <c r="M127" s="44"/>
      <c r="N127" s="44"/>
      <c r="O127" s="44"/>
      <c r="P127" s="44"/>
      <c r="Q127" s="44"/>
      <c r="R127" s="44"/>
      <c r="S127" s="44"/>
      <c r="T127" s="44"/>
      <c r="U127" s="44"/>
      <c r="V127" s="44"/>
      <c r="W127" s="44"/>
      <c r="X127" s="44"/>
      <c r="Y127" s="44"/>
      <c r="Z127" s="44"/>
      <c r="AA127" s="44"/>
      <c r="AB127" s="44"/>
      <c r="AC127" s="44"/>
      <c r="AD127" s="44"/>
      <c r="AE127" s="44"/>
      <c r="AF127" s="44"/>
    </row>
    <row r="128" spans="1:32" x14ac:dyDescent="0.3">
      <c r="A128" s="38" t="s">
        <v>196</v>
      </c>
      <c r="B128" s="38" t="s">
        <v>174</v>
      </c>
      <c r="C128" s="38" t="s">
        <v>197</v>
      </c>
      <c r="D128" s="39" t="s">
        <v>198</v>
      </c>
      <c r="E128" s="39" t="s">
        <v>177</v>
      </c>
      <c r="F128" s="38" t="s">
        <v>138</v>
      </c>
      <c r="G128" s="38" t="s">
        <v>130</v>
      </c>
      <c r="H128" s="44">
        <f>SUM(I128:AF128)</f>
        <v>0</v>
      </c>
      <c r="I128" s="44"/>
      <c r="J128" s="44"/>
      <c r="K128" s="44"/>
      <c r="L128" s="44"/>
      <c r="M128" s="44"/>
      <c r="N128" s="44"/>
      <c r="O128" s="44"/>
      <c r="P128" s="44"/>
      <c r="Q128" s="44"/>
      <c r="R128" s="44"/>
      <c r="S128" s="44"/>
      <c r="T128" s="44"/>
      <c r="U128" s="44"/>
      <c r="V128" s="44"/>
      <c r="W128" s="44"/>
      <c r="X128" s="44"/>
      <c r="Y128" s="44"/>
      <c r="Z128" s="44"/>
      <c r="AA128" s="44"/>
      <c r="AB128" s="44"/>
      <c r="AC128" s="44"/>
      <c r="AD128" s="44"/>
      <c r="AE128" s="44"/>
      <c r="AF128" s="44"/>
    </row>
    <row r="129" spans="1:32" x14ac:dyDescent="0.3">
      <c r="A129" s="38" t="s">
        <v>196</v>
      </c>
      <c r="B129" s="38" t="s">
        <v>174</v>
      </c>
      <c r="C129" s="38" t="s">
        <v>197</v>
      </c>
      <c r="D129" s="39" t="s">
        <v>198</v>
      </c>
      <c r="E129" s="39" t="s">
        <v>177</v>
      </c>
      <c r="F129" s="38" t="s">
        <v>139</v>
      </c>
      <c r="G129" s="38" t="s">
        <v>130</v>
      </c>
      <c r="H129" s="44">
        <v>1220448</v>
      </c>
      <c r="I129" s="44">
        <v>110448</v>
      </c>
      <c r="J129" s="44"/>
      <c r="K129" s="44">
        <v>60000</v>
      </c>
      <c r="L129" s="44">
        <v>150000</v>
      </c>
      <c r="M129" s="44">
        <v>150000</v>
      </c>
      <c r="N129" s="44">
        <v>150000</v>
      </c>
      <c r="O129" s="44">
        <v>100000</v>
      </c>
      <c r="P129" s="44">
        <v>100000</v>
      </c>
      <c r="Q129" s="44">
        <v>150000</v>
      </c>
      <c r="R129" s="44">
        <v>150000</v>
      </c>
      <c r="S129" s="44"/>
      <c r="T129" s="44"/>
      <c r="U129" s="44">
        <v>50000</v>
      </c>
      <c r="V129" s="44">
        <v>50000</v>
      </c>
      <c r="W129" s="44"/>
      <c r="X129" s="44"/>
      <c r="Y129" s="44"/>
      <c r="Z129" s="44"/>
      <c r="AA129" s="44"/>
      <c r="AB129" s="44"/>
      <c r="AC129" s="44"/>
      <c r="AD129" s="44"/>
      <c r="AE129" s="44"/>
      <c r="AF129" s="44"/>
    </row>
    <row r="130" spans="1:32" x14ac:dyDescent="0.3">
      <c r="A130" s="38" t="s">
        <v>196</v>
      </c>
      <c r="B130" s="38" t="s">
        <v>174</v>
      </c>
      <c r="C130" s="38" t="s">
        <v>197</v>
      </c>
      <c r="D130" s="39" t="s">
        <v>198</v>
      </c>
      <c r="E130" s="39" t="s">
        <v>177</v>
      </c>
      <c r="F130" s="38" t="s">
        <v>140</v>
      </c>
      <c r="G130" s="38" t="s">
        <v>130</v>
      </c>
      <c r="H130" s="44"/>
      <c r="I130" s="44">
        <f>I125-(I120+I119)+(I124+I123+I122+I121)</f>
        <v>973837</v>
      </c>
      <c r="J130" s="44">
        <f t="shared" ref="J130:AF130" si="28">I130+J125-J120</f>
        <v>969256.5</v>
      </c>
      <c r="K130" s="44">
        <f t="shared" si="28"/>
        <v>1024816</v>
      </c>
      <c r="L130" s="44">
        <f t="shared" si="28"/>
        <v>1170403</v>
      </c>
      <c r="M130" s="44">
        <f t="shared" si="28"/>
        <v>1315955.75</v>
      </c>
      <c r="N130" s="44">
        <f t="shared" si="28"/>
        <v>1461312.75</v>
      </c>
      <c r="O130" s="44">
        <f t="shared" si="28"/>
        <v>1556916</v>
      </c>
      <c r="P130" s="44">
        <f t="shared" si="28"/>
        <v>1652543.75</v>
      </c>
      <c r="Q130" s="44">
        <f t="shared" si="28"/>
        <v>1798115.25</v>
      </c>
      <c r="R130" s="44">
        <f t="shared" si="28"/>
        <v>1943562.25</v>
      </c>
      <c r="S130" s="44">
        <f t="shared" si="28"/>
        <v>1939152.25</v>
      </c>
      <c r="T130" s="44">
        <f t="shared" si="28"/>
        <v>1934738</v>
      </c>
      <c r="U130" s="44">
        <f t="shared" si="28"/>
        <v>1980483</v>
      </c>
      <c r="V130" s="44">
        <f t="shared" si="28"/>
        <v>2027227.75</v>
      </c>
      <c r="W130" s="44">
        <f t="shared" si="28"/>
        <v>2002823</v>
      </c>
      <c r="X130" s="44">
        <f t="shared" si="28"/>
        <v>1978454.5</v>
      </c>
      <c r="Y130" s="44">
        <f t="shared" si="28"/>
        <v>1953839.25</v>
      </c>
      <c r="Z130" s="44">
        <f t="shared" si="28"/>
        <v>1929595.75</v>
      </c>
      <c r="AA130" s="44">
        <f t="shared" si="28"/>
        <v>1905338.25</v>
      </c>
      <c r="AB130" s="44">
        <f t="shared" si="28"/>
        <v>1872264.25</v>
      </c>
      <c r="AC130" s="44">
        <f t="shared" si="28"/>
        <v>1839203.5</v>
      </c>
      <c r="AD130" s="44">
        <f t="shared" si="28"/>
        <v>1812826.75</v>
      </c>
      <c r="AE130" s="44">
        <f t="shared" si="28"/>
        <v>1788549</v>
      </c>
      <c r="AF130" s="44">
        <f t="shared" si="28"/>
        <v>1764272.25</v>
      </c>
    </row>
    <row r="131" spans="1:32" ht="15" thickBot="1" x14ac:dyDescent="0.35">
      <c r="A131" s="40" t="s">
        <v>196</v>
      </c>
      <c r="B131" s="40" t="s">
        <v>174</v>
      </c>
      <c r="C131" s="40" t="s">
        <v>197</v>
      </c>
      <c r="D131" s="41" t="s">
        <v>198</v>
      </c>
      <c r="E131" s="41" t="s">
        <v>177</v>
      </c>
      <c r="F131" s="40" t="s">
        <v>141</v>
      </c>
      <c r="G131" s="40" t="s">
        <v>130</v>
      </c>
      <c r="H131" s="45"/>
      <c r="I131" s="45">
        <f>I125-I129</f>
        <v>0</v>
      </c>
      <c r="J131" s="45">
        <f t="shared" ref="J131:AF131" si="29">I131+J125-J129</f>
        <v>0</v>
      </c>
      <c r="K131" s="45">
        <f t="shared" si="29"/>
        <v>0</v>
      </c>
      <c r="L131" s="45">
        <f t="shared" si="29"/>
        <v>0</v>
      </c>
      <c r="M131" s="45">
        <f t="shared" si="29"/>
        <v>0</v>
      </c>
      <c r="N131" s="45">
        <f t="shared" si="29"/>
        <v>0</v>
      </c>
      <c r="O131" s="45">
        <f t="shared" si="29"/>
        <v>0</v>
      </c>
      <c r="P131" s="45">
        <f t="shared" si="29"/>
        <v>0</v>
      </c>
      <c r="Q131" s="45">
        <f t="shared" si="29"/>
        <v>0</v>
      </c>
      <c r="R131" s="45">
        <f t="shared" si="29"/>
        <v>0</v>
      </c>
      <c r="S131" s="45">
        <f t="shared" si="29"/>
        <v>0</v>
      </c>
      <c r="T131" s="45">
        <f t="shared" si="29"/>
        <v>0</v>
      </c>
      <c r="U131" s="45">
        <f t="shared" si="29"/>
        <v>0</v>
      </c>
      <c r="V131" s="45">
        <f t="shared" si="29"/>
        <v>0</v>
      </c>
      <c r="W131" s="45">
        <f t="shared" si="29"/>
        <v>0</v>
      </c>
      <c r="X131" s="45">
        <f t="shared" si="29"/>
        <v>0</v>
      </c>
      <c r="Y131" s="45">
        <f t="shared" si="29"/>
        <v>0</v>
      </c>
      <c r="Z131" s="45">
        <f t="shared" si="29"/>
        <v>0</v>
      </c>
      <c r="AA131" s="45">
        <f t="shared" si="29"/>
        <v>0</v>
      </c>
      <c r="AB131" s="45">
        <f t="shared" si="29"/>
        <v>0</v>
      </c>
      <c r="AC131" s="45">
        <f t="shared" si="29"/>
        <v>0</v>
      </c>
      <c r="AD131" s="45">
        <f t="shared" si="29"/>
        <v>0</v>
      </c>
      <c r="AE131" s="45">
        <f t="shared" si="29"/>
        <v>0</v>
      </c>
      <c r="AF131" s="45">
        <f t="shared" si="29"/>
        <v>0</v>
      </c>
    </row>
    <row r="132" spans="1:32" x14ac:dyDescent="0.3">
      <c r="A132" s="38" t="s">
        <v>199</v>
      </c>
      <c r="B132" s="38" t="s">
        <v>174</v>
      </c>
      <c r="C132" s="38" t="s">
        <v>197</v>
      </c>
      <c r="D132" s="39" t="s">
        <v>183</v>
      </c>
      <c r="E132" s="39" t="s">
        <v>195</v>
      </c>
      <c r="F132" s="38" t="s">
        <v>129</v>
      </c>
      <c r="G132" s="38" t="s">
        <v>130</v>
      </c>
      <c r="H132" s="44">
        <v>13968</v>
      </c>
      <c r="I132" s="44">
        <v>13968</v>
      </c>
      <c r="J132" s="44"/>
      <c r="K132" s="44"/>
      <c r="L132" s="44"/>
      <c r="M132" s="44"/>
      <c r="N132" s="44"/>
      <c r="O132" s="44"/>
      <c r="P132" s="44"/>
      <c r="Q132" s="44"/>
      <c r="R132" s="44"/>
      <c r="S132" s="44"/>
      <c r="T132" s="44"/>
      <c r="U132" s="44"/>
      <c r="V132" s="44"/>
      <c r="W132" s="44"/>
      <c r="X132" s="44"/>
      <c r="Y132" s="44"/>
      <c r="Z132" s="44"/>
      <c r="AA132" s="44"/>
      <c r="AB132" s="44"/>
      <c r="AC132" s="44"/>
      <c r="AD132" s="44"/>
      <c r="AE132" s="44"/>
      <c r="AF132" s="44"/>
    </row>
    <row r="133" spans="1:32" x14ac:dyDescent="0.3">
      <c r="A133" s="38" t="s">
        <v>199</v>
      </c>
      <c r="B133" s="38" t="s">
        <v>174</v>
      </c>
      <c r="C133" s="38" t="s">
        <v>197</v>
      </c>
      <c r="D133" s="39" t="s">
        <v>183</v>
      </c>
      <c r="E133" s="39" t="s">
        <v>195</v>
      </c>
      <c r="F133" s="38" t="s">
        <v>131</v>
      </c>
      <c r="G133" s="38" t="s">
        <v>130</v>
      </c>
      <c r="H133" s="44">
        <v>92947</v>
      </c>
      <c r="I133" s="44">
        <v>4879</v>
      </c>
      <c r="J133" s="44">
        <v>4218</v>
      </c>
      <c r="K133" s="44">
        <v>3980</v>
      </c>
      <c r="L133" s="44">
        <v>3162</v>
      </c>
      <c r="M133" s="44">
        <v>5893</v>
      </c>
      <c r="N133" s="44">
        <v>6284</v>
      </c>
      <c r="O133" s="44">
        <v>6473</v>
      </c>
      <c r="P133" s="44">
        <v>6183</v>
      </c>
      <c r="Q133" s="44">
        <v>5538</v>
      </c>
      <c r="R133" s="44">
        <v>5053</v>
      </c>
      <c r="S133" s="44">
        <v>5052</v>
      </c>
      <c r="T133" s="44">
        <v>5052</v>
      </c>
      <c r="U133" s="44">
        <v>4764</v>
      </c>
      <c r="V133" s="44">
        <v>3032</v>
      </c>
      <c r="W133" s="44">
        <v>3032</v>
      </c>
      <c r="X133" s="44">
        <v>3031</v>
      </c>
      <c r="Y133" s="44">
        <v>3031</v>
      </c>
      <c r="Z133" s="44">
        <v>3263</v>
      </c>
      <c r="AA133" s="44">
        <v>3357</v>
      </c>
      <c r="AB133" s="44">
        <v>3355</v>
      </c>
      <c r="AC133" s="44">
        <v>3357</v>
      </c>
      <c r="AD133" s="44">
        <v>958</v>
      </c>
      <c r="AE133" s="44">
        <v>0</v>
      </c>
      <c r="AF133" s="44">
        <v>0</v>
      </c>
    </row>
    <row r="134" spans="1:32" x14ac:dyDescent="0.3">
      <c r="A134" s="38" t="s">
        <v>199</v>
      </c>
      <c r="B134" s="38" t="s">
        <v>174</v>
      </c>
      <c r="C134" s="38" t="s">
        <v>197</v>
      </c>
      <c r="D134" s="39" t="s">
        <v>183</v>
      </c>
      <c r="E134" s="39" t="s">
        <v>195</v>
      </c>
      <c r="F134" s="38" t="s">
        <v>132</v>
      </c>
      <c r="G134" s="38" t="s">
        <v>130</v>
      </c>
      <c r="H134" s="44">
        <v>36576</v>
      </c>
      <c r="I134" s="44">
        <v>36576</v>
      </c>
      <c r="J134" s="44"/>
      <c r="K134" s="44"/>
      <c r="L134" s="44"/>
      <c r="M134" s="44"/>
      <c r="N134" s="44"/>
      <c r="O134" s="44"/>
      <c r="P134" s="44"/>
      <c r="Q134" s="44"/>
      <c r="R134" s="44"/>
      <c r="S134" s="44"/>
      <c r="T134" s="44"/>
      <c r="U134" s="44"/>
      <c r="V134" s="44"/>
      <c r="W134" s="44"/>
      <c r="X134" s="44"/>
      <c r="Y134" s="44"/>
      <c r="Z134" s="44"/>
      <c r="AA134" s="44"/>
      <c r="AB134" s="44"/>
      <c r="AC134" s="44"/>
      <c r="AD134" s="44"/>
      <c r="AE134" s="44"/>
      <c r="AF134" s="44"/>
    </row>
    <row r="135" spans="1:32" x14ac:dyDescent="0.3">
      <c r="A135" s="38" t="s">
        <v>199</v>
      </c>
      <c r="B135" s="38" t="s">
        <v>174</v>
      </c>
      <c r="C135" s="38" t="s">
        <v>197</v>
      </c>
      <c r="D135" s="39" t="s">
        <v>183</v>
      </c>
      <c r="E135" s="39" t="s">
        <v>195</v>
      </c>
      <c r="F135" s="38" t="s">
        <v>133</v>
      </c>
      <c r="G135" s="38" t="s">
        <v>130</v>
      </c>
      <c r="H135" s="44">
        <v>0</v>
      </c>
      <c r="I135" s="44">
        <v>0</v>
      </c>
      <c r="J135" s="44"/>
      <c r="K135" s="44"/>
      <c r="L135" s="44"/>
      <c r="M135" s="44"/>
      <c r="N135" s="44"/>
      <c r="O135" s="44"/>
      <c r="P135" s="44"/>
      <c r="Q135" s="44"/>
      <c r="R135" s="44"/>
      <c r="S135" s="44"/>
      <c r="T135" s="44"/>
      <c r="U135" s="44"/>
      <c r="V135" s="44"/>
      <c r="W135" s="44"/>
      <c r="X135" s="44"/>
      <c r="Y135" s="44"/>
      <c r="Z135" s="44"/>
      <c r="AA135" s="44"/>
      <c r="AB135" s="44"/>
      <c r="AC135" s="44"/>
      <c r="AD135" s="44"/>
      <c r="AE135" s="44"/>
      <c r="AF135" s="44"/>
    </row>
    <row r="136" spans="1:32" x14ac:dyDescent="0.3">
      <c r="A136" s="38" t="s">
        <v>199</v>
      </c>
      <c r="B136" s="38" t="s">
        <v>174</v>
      </c>
      <c r="C136" s="38" t="s">
        <v>197</v>
      </c>
      <c r="D136" s="39" t="s">
        <v>183</v>
      </c>
      <c r="E136" s="39" t="s">
        <v>195</v>
      </c>
      <c r="F136" s="38" t="s">
        <v>134</v>
      </c>
      <c r="G136" s="38" t="s">
        <v>130</v>
      </c>
      <c r="H136" s="44">
        <v>682</v>
      </c>
      <c r="I136" s="44">
        <v>682</v>
      </c>
      <c r="J136" s="44"/>
      <c r="K136" s="44"/>
      <c r="L136" s="44"/>
      <c r="M136" s="44"/>
      <c r="N136" s="44"/>
      <c r="O136" s="44"/>
      <c r="P136" s="44"/>
      <c r="Q136" s="44"/>
      <c r="R136" s="44"/>
      <c r="S136" s="44"/>
      <c r="T136" s="44"/>
      <c r="U136" s="44"/>
      <c r="V136" s="44"/>
      <c r="W136" s="44"/>
      <c r="X136" s="44"/>
      <c r="Y136" s="44"/>
      <c r="Z136" s="44"/>
      <c r="AA136" s="44"/>
      <c r="AB136" s="44"/>
      <c r="AC136" s="44"/>
      <c r="AD136" s="44"/>
      <c r="AE136" s="44"/>
      <c r="AF136" s="44"/>
    </row>
    <row r="137" spans="1:32" x14ac:dyDescent="0.3">
      <c r="A137" s="38" t="s">
        <v>199</v>
      </c>
      <c r="B137" s="38" t="s">
        <v>174</v>
      </c>
      <c r="C137" s="38" t="s">
        <v>197</v>
      </c>
      <c r="D137" s="39" t="s">
        <v>183</v>
      </c>
      <c r="E137" s="39" t="s">
        <v>195</v>
      </c>
      <c r="F137" s="38" t="s">
        <v>135</v>
      </c>
      <c r="G137" s="38" t="s">
        <v>130</v>
      </c>
      <c r="H137" s="44"/>
      <c r="I137" s="44"/>
      <c r="J137" s="44"/>
      <c r="K137" s="44"/>
      <c r="L137" s="44"/>
      <c r="M137" s="44"/>
      <c r="N137" s="44"/>
      <c r="O137" s="44"/>
      <c r="P137" s="44"/>
      <c r="Q137" s="44"/>
      <c r="R137" s="44"/>
      <c r="S137" s="44"/>
      <c r="T137" s="44"/>
      <c r="U137" s="44"/>
      <c r="V137" s="44"/>
      <c r="W137" s="44"/>
      <c r="X137" s="44"/>
      <c r="Y137" s="44"/>
      <c r="Z137" s="44"/>
      <c r="AA137" s="44"/>
      <c r="AB137" s="44"/>
      <c r="AC137" s="44"/>
      <c r="AD137" s="44"/>
      <c r="AE137" s="44"/>
      <c r="AF137" s="44"/>
    </row>
    <row r="138" spans="1:32" x14ac:dyDescent="0.3">
      <c r="A138" s="38" t="s">
        <v>199</v>
      </c>
      <c r="B138" s="38" t="s">
        <v>174</v>
      </c>
      <c r="C138" s="38" t="s">
        <v>197</v>
      </c>
      <c r="D138" s="39" t="s">
        <v>183</v>
      </c>
      <c r="E138" s="39" t="s">
        <v>195</v>
      </c>
      <c r="F138" s="38" t="s">
        <v>136</v>
      </c>
      <c r="G138" s="38" t="s">
        <v>130</v>
      </c>
      <c r="H138" s="44">
        <f>SUM(I138:AF138)</f>
        <v>0</v>
      </c>
      <c r="I138" s="44">
        <f t="shared" ref="I138:AF138" si="30">IF(AND(ISBLANK(I141) = TRUE,ISBLANK(I140) = TRUE),I139,I140+I141)</f>
        <v>0</v>
      </c>
      <c r="J138" s="44">
        <f t="shared" si="30"/>
        <v>0</v>
      </c>
      <c r="K138" s="44">
        <f t="shared" si="30"/>
        <v>0</v>
      </c>
      <c r="L138" s="44">
        <f t="shared" si="30"/>
        <v>0</v>
      </c>
      <c r="M138" s="44">
        <f t="shared" si="30"/>
        <v>0</v>
      </c>
      <c r="N138" s="44">
        <f t="shared" si="30"/>
        <v>0</v>
      </c>
      <c r="O138" s="44">
        <f t="shared" si="30"/>
        <v>0</v>
      </c>
      <c r="P138" s="44">
        <f t="shared" si="30"/>
        <v>0</v>
      </c>
      <c r="Q138" s="44">
        <f t="shared" si="30"/>
        <v>0</v>
      </c>
      <c r="R138" s="44">
        <f t="shared" si="30"/>
        <v>0</v>
      </c>
      <c r="S138" s="44">
        <f t="shared" si="30"/>
        <v>0</v>
      </c>
      <c r="T138" s="44">
        <f t="shared" si="30"/>
        <v>0</v>
      </c>
      <c r="U138" s="44">
        <f t="shared" si="30"/>
        <v>0</v>
      </c>
      <c r="V138" s="44">
        <f t="shared" si="30"/>
        <v>0</v>
      </c>
      <c r="W138" s="44">
        <f t="shared" si="30"/>
        <v>0</v>
      </c>
      <c r="X138" s="44">
        <f t="shared" si="30"/>
        <v>0</v>
      </c>
      <c r="Y138" s="44">
        <f t="shared" si="30"/>
        <v>0</v>
      </c>
      <c r="Z138" s="44">
        <f t="shared" si="30"/>
        <v>0</v>
      </c>
      <c r="AA138" s="44">
        <f t="shared" si="30"/>
        <v>0</v>
      </c>
      <c r="AB138" s="44">
        <f t="shared" si="30"/>
        <v>0</v>
      </c>
      <c r="AC138" s="44">
        <f t="shared" si="30"/>
        <v>0</v>
      </c>
      <c r="AD138" s="44">
        <f t="shared" si="30"/>
        <v>0</v>
      </c>
      <c r="AE138" s="44">
        <f t="shared" si="30"/>
        <v>0</v>
      </c>
      <c r="AF138" s="44">
        <f t="shared" si="30"/>
        <v>0</v>
      </c>
    </row>
    <row r="139" spans="1:32" x14ac:dyDescent="0.3">
      <c r="A139" s="38" t="s">
        <v>199</v>
      </c>
      <c r="B139" s="38" t="s">
        <v>174</v>
      </c>
      <c r="C139" s="38" t="s">
        <v>197</v>
      </c>
      <c r="D139" s="39" t="s">
        <v>183</v>
      </c>
      <c r="E139" s="39" t="s">
        <v>195</v>
      </c>
      <c r="F139" s="38" t="s">
        <v>124</v>
      </c>
      <c r="G139" s="38" t="s">
        <v>130</v>
      </c>
      <c r="H139" s="44"/>
      <c r="I139" s="44"/>
      <c r="J139" s="44"/>
      <c r="K139" s="44"/>
      <c r="L139" s="44"/>
      <c r="M139" s="44"/>
      <c r="N139" s="44"/>
      <c r="O139" s="44"/>
      <c r="P139" s="44"/>
      <c r="Q139" s="44"/>
      <c r="R139" s="44"/>
      <c r="S139" s="44"/>
      <c r="T139" s="44"/>
      <c r="U139" s="44"/>
      <c r="V139" s="44"/>
      <c r="W139" s="44"/>
      <c r="X139" s="44"/>
      <c r="Y139" s="44"/>
      <c r="Z139" s="44"/>
      <c r="AA139" s="44"/>
      <c r="AB139" s="44"/>
      <c r="AC139" s="44"/>
      <c r="AD139" s="44"/>
      <c r="AE139" s="44"/>
      <c r="AF139" s="44"/>
    </row>
    <row r="140" spans="1:32" x14ac:dyDescent="0.3">
      <c r="A140" s="38" t="s">
        <v>199</v>
      </c>
      <c r="B140" s="38" t="s">
        <v>174</v>
      </c>
      <c r="C140" s="38" t="s">
        <v>197</v>
      </c>
      <c r="D140" s="39" t="s">
        <v>183</v>
      </c>
      <c r="E140" s="39" t="s">
        <v>195</v>
      </c>
      <c r="F140" s="38" t="s">
        <v>137</v>
      </c>
      <c r="G140" s="38" t="s">
        <v>130</v>
      </c>
      <c r="H140" s="44">
        <f>SUM(I140:AF140)</f>
        <v>0</v>
      </c>
      <c r="I140" s="44"/>
      <c r="J140" s="44"/>
      <c r="K140" s="44"/>
      <c r="L140" s="44"/>
      <c r="M140" s="44"/>
      <c r="N140" s="44"/>
      <c r="O140" s="44"/>
      <c r="P140" s="44"/>
      <c r="Q140" s="44"/>
      <c r="R140" s="44"/>
      <c r="S140" s="44"/>
      <c r="T140" s="44"/>
      <c r="U140" s="44"/>
      <c r="V140" s="44"/>
      <c r="W140" s="44"/>
      <c r="X140" s="44"/>
      <c r="Y140" s="44"/>
      <c r="Z140" s="44"/>
      <c r="AA140" s="44"/>
      <c r="AB140" s="44"/>
      <c r="AC140" s="44"/>
      <c r="AD140" s="44"/>
      <c r="AE140" s="44"/>
      <c r="AF140" s="44"/>
    </row>
    <row r="141" spans="1:32" x14ac:dyDescent="0.3">
      <c r="A141" s="38" t="s">
        <v>199</v>
      </c>
      <c r="B141" s="38" t="s">
        <v>174</v>
      </c>
      <c r="C141" s="38" t="s">
        <v>197</v>
      </c>
      <c r="D141" s="39" t="s">
        <v>183</v>
      </c>
      <c r="E141" s="39" t="s">
        <v>195</v>
      </c>
      <c r="F141" s="38" t="s">
        <v>138</v>
      </c>
      <c r="G141" s="38" t="s">
        <v>130</v>
      </c>
      <c r="H141" s="44">
        <f>SUM(I141:AF141)</f>
        <v>0</v>
      </c>
      <c r="I141" s="44"/>
      <c r="J141" s="44"/>
      <c r="K141" s="44"/>
      <c r="L141" s="44"/>
      <c r="M141" s="44"/>
      <c r="N141" s="44"/>
      <c r="O141" s="44"/>
      <c r="P141" s="44"/>
      <c r="Q141" s="44"/>
      <c r="R141" s="44"/>
      <c r="S141" s="44"/>
      <c r="T141" s="44"/>
      <c r="U141" s="44"/>
      <c r="V141" s="44"/>
      <c r="W141" s="44"/>
      <c r="X141" s="44"/>
      <c r="Y141" s="44"/>
      <c r="Z141" s="44"/>
      <c r="AA141" s="44"/>
      <c r="AB141" s="44"/>
      <c r="AC141" s="44"/>
      <c r="AD141" s="44"/>
      <c r="AE141" s="44"/>
      <c r="AF141" s="44"/>
    </row>
    <row r="142" spans="1:32" x14ac:dyDescent="0.3">
      <c r="A142" s="38" t="s">
        <v>199</v>
      </c>
      <c r="B142" s="38" t="s">
        <v>174</v>
      </c>
      <c r="C142" s="38" t="s">
        <v>197</v>
      </c>
      <c r="D142" s="39" t="s">
        <v>183</v>
      </c>
      <c r="E142" s="39" t="s">
        <v>195</v>
      </c>
      <c r="F142" s="38" t="s">
        <v>139</v>
      </c>
      <c r="G142" s="38" t="s">
        <v>130</v>
      </c>
      <c r="H142" s="44"/>
      <c r="I142" s="44"/>
      <c r="J142" s="44"/>
      <c r="K142" s="44"/>
      <c r="L142" s="44"/>
      <c r="M142" s="44"/>
      <c r="N142" s="44"/>
      <c r="O142" s="44"/>
      <c r="P142" s="44"/>
      <c r="Q142" s="44"/>
      <c r="R142" s="44"/>
      <c r="S142" s="44"/>
      <c r="T142" s="44"/>
      <c r="U142" s="44"/>
      <c r="V142" s="44"/>
      <c r="W142" s="44"/>
      <c r="X142" s="44"/>
      <c r="Y142" s="44"/>
      <c r="Z142" s="44"/>
      <c r="AA142" s="44"/>
      <c r="AB142" s="44"/>
      <c r="AC142" s="44"/>
      <c r="AD142" s="44"/>
      <c r="AE142" s="44"/>
      <c r="AF142" s="44"/>
    </row>
    <row r="143" spans="1:32" x14ac:dyDescent="0.3">
      <c r="A143" s="38" t="s">
        <v>199</v>
      </c>
      <c r="B143" s="38" t="s">
        <v>174</v>
      </c>
      <c r="C143" s="38" t="s">
        <v>197</v>
      </c>
      <c r="D143" s="39" t="s">
        <v>183</v>
      </c>
      <c r="E143" s="39" t="s">
        <v>195</v>
      </c>
      <c r="F143" s="38" t="s">
        <v>140</v>
      </c>
      <c r="G143" s="38" t="s">
        <v>130</v>
      </c>
      <c r="H143" s="44"/>
      <c r="I143" s="44">
        <f>I138-(I133+I132)+(I137+I136+I135+I134)</f>
        <v>18411</v>
      </c>
      <c r="J143" s="44">
        <f t="shared" ref="J143:AF143" si="31">I143+J138-J133</f>
        <v>14193</v>
      </c>
      <c r="K143" s="44">
        <f t="shared" si="31"/>
        <v>10213</v>
      </c>
      <c r="L143" s="44">
        <f t="shared" si="31"/>
        <v>7051</v>
      </c>
      <c r="M143" s="44">
        <f t="shared" si="31"/>
        <v>1158</v>
      </c>
      <c r="N143" s="44">
        <f t="shared" si="31"/>
        <v>-5126</v>
      </c>
      <c r="O143" s="44">
        <f t="shared" si="31"/>
        <v>-11599</v>
      </c>
      <c r="P143" s="44">
        <f t="shared" si="31"/>
        <v>-17782</v>
      </c>
      <c r="Q143" s="44">
        <f t="shared" si="31"/>
        <v>-23320</v>
      </c>
      <c r="R143" s="44">
        <f t="shared" si="31"/>
        <v>-28373</v>
      </c>
      <c r="S143" s="44">
        <f t="shared" si="31"/>
        <v>-33425</v>
      </c>
      <c r="T143" s="44">
        <f t="shared" si="31"/>
        <v>-38477</v>
      </c>
      <c r="U143" s="44">
        <f t="shared" si="31"/>
        <v>-43241</v>
      </c>
      <c r="V143" s="44">
        <f t="shared" si="31"/>
        <v>-46273</v>
      </c>
      <c r="W143" s="44">
        <f t="shared" si="31"/>
        <v>-49305</v>
      </c>
      <c r="X143" s="44">
        <f t="shared" si="31"/>
        <v>-52336</v>
      </c>
      <c r="Y143" s="44">
        <f t="shared" si="31"/>
        <v>-55367</v>
      </c>
      <c r="Z143" s="44">
        <f t="shared" si="31"/>
        <v>-58630</v>
      </c>
      <c r="AA143" s="44">
        <f t="shared" si="31"/>
        <v>-61987</v>
      </c>
      <c r="AB143" s="44">
        <f t="shared" si="31"/>
        <v>-65342</v>
      </c>
      <c r="AC143" s="44">
        <f t="shared" si="31"/>
        <v>-68699</v>
      </c>
      <c r="AD143" s="44">
        <f t="shared" si="31"/>
        <v>-69657</v>
      </c>
      <c r="AE143" s="44">
        <f t="shared" si="31"/>
        <v>-69657</v>
      </c>
      <c r="AF143" s="44">
        <f t="shared" si="31"/>
        <v>-69657</v>
      </c>
    </row>
    <row r="144" spans="1:32" ht="15" thickBot="1" x14ac:dyDescent="0.35">
      <c r="A144" s="40" t="s">
        <v>199</v>
      </c>
      <c r="B144" s="40" t="s">
        <v>174</v>
      </c>
      <c r="C144" s="40" t="s">
        <v>197</v>
      </c>
      <c r="D144" s="41" t="s">
        <v>183</v>
      </c>
      <c r="E144" s="41" t="s">
        <v>195</v>
      </c>
      <c r="F144" s="40" t="s">
        <v>141</v>
      </c>
      <c r="G144" s="40" t="s">
        <v>130</v>
      </c>
      <c r="H144" s="45"/>
      <c r="I144" s="45">
        <f>I138-I142</f>
        <v>0</v>
      </c>
      <c r="J144" s="45">
        <f t="shared" ref="J144:AF144" si="32">I144+J138-J142</f>
        <v>0</v>
      </c>
      <c r="K144" s="45">
        <f t="shared" si="32"/>
        <v>0</v>
      </c>
      <c r="L144" s="45">
        <f t="shared" si="32"/>
        <v>0</v>
      </c>
      <c r="M144" s="45">
        <f t="shared" si="32"/>
        <v>0</v>
      </c>
      <c r="N144" s="45">
        <f t="shared" si="32"/>
        <v>0</v>
      </c>
      <c r="O144" s="45">
        <f t="shared" si="32"/>
        <v>0</v>
      </c>
      <c r="P144" s="45">
        <f t="shared" si="32"/>
        <v>0</v>
      </c>
      <c r="Q144" s="45">
        <f t="shared" si="32"/>
        <v>0</v>
      </c>
      <c r="R144" s="45">
        <f t="shared" si="32"/>
        <v>0</v>
      </c>
      <c r="S144" s="45">
        <f t="shared" si="32"/>
        <v>0</v>
      </c>
      <c r="T144" s="45">
        <f t="shared" si="32"/>
        <v>0</v>
      </c>
      <c r="U144" s="45">
        <f t="shared" si="32"/>
        <v>0</v>
      </c>
      <c r="V144" s="45">
        <f t="shared" si="32"/>
        <v>0</v>
      </c>
      <c r="W144" s="45">
        <f t="shared" si="32"/>
        <v>0</v>
      </c>
      <c r="X144" s="45">
        <f t="shared" si="32"/>
        <v>0</v>
      </c>
      <c r="Y144" s="45">
        <f t="shared" si="32"/>
        <v>0</v>
      </c>
      <c r="Z144" s="45">
        <f t="shared" si="32"/>
        <v>0</v>
      </c>
      <c r="AA144" s="45">
        <f t="shared" si="32"/>
        <v>0</v>
      </c>
      <c r="AB144" s="45">
        <f t="shared" si="32"/>
        <v>0</v>
      </c>
      <c r="AC144" s="45">
        <f t="shared" si="32"/>
        <v>0</v>
      </c>
      <c r="AD144" s="45">
        <f t="shared" si="32"/>
        <v>0</v>
      </c>
      <c r="AE144" s="45">
        <f t="shared" si="32"/>
        <v>0</v>
      </c>
      <c r="AF144" s="45">
        <f t="shared" si="32"/>
        <v>0</v>
      </c>
    </row>
    <row r="145" spans="1:32" x14ac:dyDescent="0.3">
      <c r="A145" s="38" t="s">
        <v>199</v>
      </c>
      <c r="B145" s="38" t="s">
        <v>174</v>
      </c>
      <c r="C145" s="38" t="s">
        <v>197</v>
      </c>
      <c r="D145" s="39" t="s">
        <v>183</v>
      </c>
      <c r="E145" s="39" t="s">
        <v>177</v>
      </c>
      <c r="F145" s="38" t="s">
        <v>129</v>
      </c>
      <c r="G145" s="38" t="s">
        <v>130</v>
      </c>
      <c r="H145" s="44">
        <v>134761.75</v>
      </c>
      <c r="I145" s="44">
        <v>134761.75</v>
      </c>
      <c r="J145" s="44"/>
      <c r="K145" s="44"/>
      <c r="L145" s="44"/>
      <c r="M145" s="44"/>
      <c r="N145" s="44"/>
      <c r="O145" s="44"/>
      <c r="P145" s="44"/>
      <c r="Q145" s="44"/>
      <c r="R145" s="44"/>
      <c r="S145" s="44"/>
      <c r="T145" s="44"/>
      <c r="U145" s="44"/>
      <c r="V145" s="44"/>
      <c r="W145" s="44"/>
      <c r="X145" s="44"/>
      <c r="Y145" s="44"/>
      <c r="Z145" s="44"/>
      <c r="AA145" s="44"/>
      <c r="AB145" s="44"/>
      <c r="AC145" s="44"/>
      <c r="AD145" s="44"/>
      <c r="AE145" s="44"/>
      <c r="AF145" s="44"/>
    </row>
    <row r="146" spans="1:32" x14ac:dyDescent="0.3">
      <c r="A146" s="38" t="s">
        <v>199</v>
      </c>
      <c r="B146" s="38" t="s">
        <v>174</v>
      </c>
      <c r="C146" s="38" t="s">
        <v>197</v>
      </c>
      <c r="D146" s="39" t="s">
        <v>183</v>
      </c>
      <c r="E146" s="39" t="s">
        <v>177</v>
      </c>
      <c r="F146" s="38" t="s">
        <v>131</v>
      </c>
      <c r="G146" s="38" t="s">
        <v>130</v>
      </c>
      <c r="H146" s="44">
        <v>725986</v>
      </c>
      <c r="I146" s="44">
        <v>43872.25</v>
      </c>
      <c r="J146" s="44">
        <v>53791.5</v>
      </c>
      <c r="K146" s="44">
        <v>59476.5</v>
      </c>
      <c r="L146" s="44">
        <v>36959</v>
      </c>
      <c r="M146" s="44">
        <v>37929.25</v>
      </c>
      <c r="N146" s="44">
        <v>50591</v>
      </c>
      <c r="O146" s="44">
        <v>56005.75</v>
      </c>
      <c r="P146" s="44">
        <v>42380.25</v>
      </c>
      <c r="Q146" s="44">
        <v>32554.5</v>
      </c>
      <c r="R146" s="44">
        <v>36977</v>
      </c>
      <c r="S146" s="44">
        <v>32756</v>
      </c>
      <c r="T146" s="44">
        <v>30168.25</v>
      </c>
      <c r="U146" s="44">
        <v>26707</v>
      </c>
      <c r="V146" s="44">
        <v>24615.25</v>
      </c>
      <c r="W146" s="44">
        <v>22095.75</v>
      </c>
      <c r="X146" s="44">
        <v>21899.5</v>
      </c>
      <c r="Y146" s="44">
        <v>21025.25</v>
      </c>
      <c r="Z146" s="44">
        <v>19071.5</v>
      </c>
      <c r="AA146" s="44">
        <v>16082.5</v>
      </c>
      <c r="AB146" s="44">
        <v>14955</v>
      </c>
      <c r="AC146" s="44">
        <v>14454.75</v>
      </c>
      <c r="AD146" s="44">
        <v>11374.75</v>
      </c>
      <c r="AE146" s="44">
        <v>10165.75</v>
      </c>
      <c r="AF146" s="44">
        <v>10077.75</v>
      </c>
    </row>
    <row r="147" spans="1:32" x14ac:dyDescent="0.3">
      <c r="A147" s="38" t="s">
        <v>199</v>
      </c>
      <c r="B147" s="38" t="s">
        <v>174</v>
      </c>
      <c r="C147" s="38" t="s">
        <v>197</v>
      </c>
      <c r="D147" s="39" t="s">
        <v>183</v>
      </c>
      <c r="E147" s="39" t="s">
        <v>177</v>
      </c>
      <c r="F147" s="38" t="s">
        <v>132</v>
      </c>
      <c r="G147" s="38" t="s">
        <v>130</v>
      </c>
      <c r="H147" s="44">
        <v>168384</v>
      </c>
      <c r="I147" s="44">
        <v>168384</v>
      </c>
      <c r="J147" s="44"/>
      <c r="K147" s="44"/>
      <c r="L147" s="44"/>
      <c r="M147" s="44"/>
      <c r="N147" s="44"/>
      <c r="O147" s="44"/>
      <c r="P147" s="44"/>
      <c r="Q147" s="44"/>
      <c r="R147" s="44"/>
      <c r="S147" s="44"/>
      <c r="T147" s="44"/>
      <c r="U147" s="44"/>
      <c r="V147" s="44"/>
      <c r="W147" s="44"/>
      <c r="X147" s="44"/>
      <c r="Y147" s="44"/>
      <c r="Z147" s="44"/>
      <c r="AA147" s="44"/>
      <c r="AB147" s="44"/>
      <c r="AC147" s="44"/>
      <c r="AD147" s="44"/>
      <c r="AE147" s="44"/>
      <c r="AF147" s="44"/>
    </row>
    <row r="148" spans="1:32" x14ac:dyDescent="0.3">
      <c r="A148" s="38" t="s">
        <v>199</v>
      </c>
      <c r="B148" s="38" t="s">
        <v>174</v>
      </c>
      <c r="C148" s="38" t="s">
        <v>197</v>
      </c>
      <c r="D148" s="39" t="s">
        <v>183</v>
      </c>
      <c r="E148" s="39" t="s">
        <v>177</v>
      </c>
      <c r="F148" s="38" t="s">
        <v>133</v>
      </c>
      <c r="G148" s="38" t="s">
        <v>130</v>
      </c>
      <c r="H148" s="44">
        <v>0</v>
      </c>
      <c r="I148" s="44">
        <v>0</v>
      </c>
      <c r="J148" s="44"/>
      <c r="K148" s="44"/>
      <c r="L148" s="44"/>
      <c r="M148" s="44"/>
      <c r="N148" s="44"/>
      <c r="O148" s="44"/>
      <c r="P148" s="44"/>
      <c r="Q148" s="44"/>
      <c r="R148" s="44"/>
      <c r="S148" s="44"/>
      <c r="T148" s="44"/>
      <c r="U148" s="44"/>
      <c r="V148" s="44"/>
      <c r="W148" s="44"/>
      <c r="X148" s="44"/>
      <c r="Y148" s="44"/>
      <c r="Z148" s="44"/>
      <c r="AA148" s="44"/>
      <c r="AB148" s="44"/>
      <c r="AC148" s="44"/>
      <c r="AD148" s="44"/>
      <c r="AE148" s="44"/>
      <c r="AF148" s="44"/>
    </row>
    <row r="149" spans="1:32" x14ac:dyDescent="0.3">
      <c r="A149" s="38" t="s">
        <v>199</v>
      </c>
      <c r="B149" s="38" t="s">
        <v>174</v>
      </c>
      <c r="C149" s="38" t="s">
        <v>197</v>
      </c>
      <c r="D149" s="39" t="s">
        <v>183</v>
      </c>
      <c r="E149" s="39" t="s">
        <v>177</v>
      </c>
      <c r="F149" s="38" t="s">
        <v>134</v>
      </c>
      <c r="G149" s="38" t="s">
        <v>130</v>
      </c>
      <c r="H149" s="44">
        <v>73991</v>
      </c>
      <c r="I149" s="44">
        <v>73991</v>
      </c>
      <c r="J149" s="44"/>
      <c r="K149" s="44"/>
      <c r="L149" s="44"/>
      <c r="M149" s="44"/>
      <c r="N149" s="44"/>
      <c r="O149" s="44"/>
      <c r="P149" s="44"/>
      <c r="Q149" s="44"/>
      <c r="R149" s="44"/>
      <c r="S149" s="44"/>
      <c r="T149" s="44"/>
      <c r="U149" s="44"/>
      <c r="V149" s="44"/>
      <c r="W149" s="44"/>
      <c r="X149" s="44"/>
      <c r="Y149" s="44"/>
      <c r="Z149" s="44"/>
      <c r="AA149" s="44"/>
      <c r="AB149" s="44"/>
      <c r="AC149" s="44"/>
      <c r="AD149" s="44"/>
      <c r="AE149" s="44"/>
      <c r="AF149" s="44"/>
    </row>
    <row r="150" spans="1:32" x14ac:dyDescent="0.3">
      <c r="A150" s="38" t="s">
        <v>199</v>
      </c>
      <c r="B150" s="38" t="s">
        <v>174</v>
      </c>
      <c r="C150" s="38" t="s">
        <v>197</v>
      </c>
      <c r="D150" s="39" t="s">
        <v>183</v>
      </c>
      <c r="E150" s="39" t="s">
        <v>177</v>
      </c>
      <c r="F150" s="38" t="s">
        <v>135</v>
      </c>
      <c r="G150" s="38" t="s">
        <v>130</v>
      </c>
      <c r="H150" s="44">
        <v>86400</v>
      </c>
      <c r="I150" s="44">
        <v>86400</v>
      </c>
      <c r="J150" s="44"/>
      <c r="K150" s="44"/>
      <c r="L150" s="44"/>
      <c r="M150" s="44"/>
      <c r="N150" s="44"/>
      <c r="O150" s="44"/>
      <c r="P150" s="44"/>
      <c r="Q150" s="44"/>
      <c r="R150" s="44"/>
      <c r="S150" s="44"/>
      <c r="T150" s="44"/>
      <c r="U150" s="44"/>
      <c r="V150" s="44"/>
      <c r="W150" s="44"/>
      <c r="X150" s="44"/>
      <c r="Y150" s="44"/>
      <c r="Z150" s="44"/>
      <c r="AA150" s="44"/>
      <c r="AB150" s="44"/>
      <c r="AC150" s="44"/>
      <c r="AD150" s="44"/>
      <c r="AE150" s="44"/>
      <c r="AF150" s="44"/>
    </row>
    <row r="151" spans="1:32" x14ac:dyDescent="0.3">
      <c r="A151" s="38" t="s">
        <v>199</v>
      </c>
      <c r="B151" s="38" t="s">
        <v>174</v>
      </c>
      <c r="C151" s="38" t="s">
        <v>197</v>
      </c>
      <c r="D151" s="39" t="s">
        <v>183</v>
      </c>
      <c r="E151" s="39" t="s">
        <v>177</v>
      </c>
      <c r="F151" s="38" t="s">
        <v>136</v>
      </c>
      <c r="G151" s="38" t="s">
        <v>130</v>
      </c>
      <c r="H151" s="44">
        <f>SUM(I151:AF151)</f>
        <v>1877854</v>
      </c>
      <c r="I151" s="44">
        <f t="shared" ref="I151:AF151" si="33">IF(AND(ISBLANK(I154) = TRUE,ISBLANK(I153) = TRUE),I152,I153+I154)</f>
        <v>92254</v>
      </c>
      <c r="J151" s="44">
        <f t="shared" si="33"/>
        <v>0</v>
      </c>
      <c r="K151" s="44">
        <f t="shared" si="33"/>
        <v>345600</v>
      </c>
      <c r="L151" s="44">
        <f t="shared" si="33"/>
        <v>172800</v>
      </c>
      <c r="M151" s="44">
        <f t="shared" si="33"/>
        <v>172800</v>
      </c>
      <c r="N151" s="44">
        <f t="shared" si="33"/>
        <v>172800</v>
      </c>
      <c r="O151" s="44">
        <f t="shared" si="33"/>
        <v>115200</v>
      </c>
      <c r="P151" s="44">
        <f t="shared" si="33"/>
        <v>115200</v>
      </c>
      <c r="Q151" s="44">
        <f t="shared" si="33"/>
        <v>115200</v>
      </c>
      <c r="R151" s="44">
        <f t="shared" si="33"/>
        <v>115200</v>
      </c>
      <c r="S151" s="44">
        <f t="shared" si="33"/>
        <v>0</v>
      </c>
      <c r="T151" s="44">
        <f t="shared" si="33"/>
        <v>115200</v>
      </c>
      <c r="U151" s="44">
        <f t="shared" si="33"/>
        <v>230400</v>
      </c>
      <c r="V151" s="44">
        <f t="shared" si="33"/>
        <v>0</v>
      </c>
      <c r="W151" s="44">
        <f t="shared" si="33"/>
        <v>115200</v>
      </c>
      <c r="X151" s="44">
        <f t="shared" si="33"/>
        <v>0</v>
      </c>
      <c r="Y151" s="44">
        <f t="shared" si="33"/>
        <v>0</v>
      </c>
      <c r="Z151" s="44">
        <f t="shared" si="33"/>
        <v>0</v>
      </c>
      <c r="AA151" s="44">
        <f t="shared" si="33"/>
        <v>0</v>
      </c>
      <c r="AB151" s="44">
        <f t="shared" si="33"/>
        <v>0</v>
      </c>
      <c r="AC151" s="44">
        <f t="shared" si="33"/>
        <v>0</v>
      </c>
      <c r="AD151" s="44">
        <f t="shared" si="33"/>
        <v>0</v>
      </c>
      <c r="AE151" s="44">
        <f t="shared" si="33"/>
        <v>0</v>
      </c>
      <c r="AF151" s="44">
        <f t="shared" si="33"/>
        <v>0</v>
      </c>
    </row>
    <row r="152" spans="1:32" x14ac:dyDescent="0.3">
      <c r="A152" s="38" t="s">
        <v>199</v>
      </c>
      <c r="B152" s="38" t="s">
        <v>174</v>
      </c>
      <c r="C152" s="38" t="s">
        <v>197</v>
      </c>
      <c r="D152" s="39" t="s">
        <v>183</v>
      </c>
      <c r="E152" s="39" t="s">
        <v>177</v>
      </c>
      <c r="F152" s="38" t="s">
        <v>124</v>
      </c>
      <c r="G152" s="38" t="s">
        <v>130</v>
      </c>
      <c r="H152" s="44">
        <v>1877854</v>
      </c>
      <c r="I152" s="44">
        <v>92254</v>
      </c>
      <c r="J152" s="44"/>
      <c r="K152" s="44">
        <v>345600</v>
      </c>
      <c r="L152" s="44">
        <v>172800</v>
      </c>
      <c r="M152" s="44">
        <v>172800</v>
      </c>
      <c r="N152" s="44">
        <v>172800</v>
      </c>
      <c r="O152" s="44">
        <v>115200</v>
      </c>
      <c r="P152" s="44">
        <v>115200</v>
      </c>
      <c r="Q152" s="44">
        <v>115200</v>
      </c>
      <c r="R152" s="44">
        <v>115200</v>
      </c>
      <c r="S152" s="44"/>
      <c r="T152" s="44">
        <v>115200</v>
      </c>
      <c r="U152" s="44">
        <v>230400</v>
      </c>
      <c r="V152" s="44"/>
      <c r="W152" s="44">
        <v>115200</v>
      </c>
      <c r="X152" s="44"/>
      <c r="Y152" s="44"/>
      <c r="Z152" s="44"/>
      <c r="AA152" s="44"/>
      <c r="AB152" s="44"/>
      <c r="AC152" s="44"/>
      <c r="AD152" s="44"/>
      <c r="AE152" s="44"/>
      <c r="AF152" s="44"/>
    </row>
    <row r="153" spans="1:32" x14ac:dyDescent="0.3">
      <c r="A153" s="38" t="s">
        <v>199</v>
      </c>
      <c r="B153" s="38" t="s">
        <v>174</v>
      </c>
      <c r="C153" s="38" t="s">
        <v>197</v>
      </c>
      <c r="D153" s="39" t="s">
        <v>183</v>
      </c>
      <c r="E153" s="39" t="s">
        <v>177</v>
      </c>
      <c r="F153" s="38" t="s">
        <v>137</v>
      </c>
      <c r="G153" s="38" t="s">
        <v>130</v>
      </c>
      <c r="H153" s="44">
        <f>SUM(I153:AF153)</f>
        <v>0</v>
      </c>
      <c r="I153" s="44"/>
      <c r="J153" s="44"/>
      <c r="K153" s="44"/>
      <c r="L153" s="44"/>
      <c r="M153" s="44"/>
      <c r="N153" s="44"/>
      <c r="O153" s="44"/>
      <c r="P153" s="44"/>
      <c r="Q153" s="44"/>
      <c r="R153" s="44"/>
      <c r="S153" s="44"/>
      <c r="T153" s="44"/>
      <c r="U153" s="44"/>
      <c r="V153" s="44"/>
      <c r="W153" s="44"/>
      <c r="X153" s="44"/>
      <c r="Y153" s="44"/>
      <c r="Z153" s="44"/>
      <c r="AA153" s="44"/>
      <c r="AB153" s="44"/>
      <c r="AC153" s="44"/>
      <c r="AD153" s="44"/>
      <c r="AE153" s="44"/>
      <c r="AF153" s="44"/>
    </row>
    <row r="154" spans="1:32" x14ac:dyDescent="0.3">
      <c r="A154" s="38" t="s">
        <v>199</v>
      </c>
      <c r="B154" s="38" t="s">
        <v>174</v>
      </c>
      <c r="C154" s="38" t="s">
        <v>197</v>
      </c>
      <c r="D154" s="39" t="s">
        <v>183</v>
      </c>
      <c r="E154" s="39" t="s">
        <v>177</v>
      </c>
      <c r="F154" s="38" t="s">
        <v>138</v>
      </c>
      <c r="G154" s="38" t="s">
        <v>130</v>
      </c>
      <c r="H154" s="44">
        <f>SUM(I154:AF154)</f>
        <v>0</v>
      </c>
      <c r="I154" s="44"/>
      <c r="J154" s="44"/>
      <c r="K154" s="44"/>
      <c r="L154" s="44"/>
      <c r="M154" s="44"/>
      <c r="N154" s="44"/>
      <c r="O154" s="44"/>
      <c r="P154" s="44"/>
      <c r="Q154" s="44"/>
      <c r="R154" s="44"/>
      <c r="S154" s="44"/>
      <c r="T154" s="44"/>
      <c r="U154" s="44"/>
      <c r="V154" s="44"/>
      <c r="W154" s="44"/>
      <c r="X154" s="44"/>
      <c r="Y154" s="44"/>
      <c r="Z154" s="44"/>
      <c r="AA154" s="44"/>
      <c r="AB154" s="44"/>
      <c r="AC154" s="44"/>
      <c r="AD154" s="44"/>
      <c r="AE154" s="44"/>
      <c r="AF154" s="44"/>
    </row>
    <row r="155" spans="1:32" x14ac:dyDescent="0.3">
      <c r="A155" s="38" t="s">
        <v>199</v>
      </c>
      <c r="B155" s="38" t="s">
        <v>174</v>
      </c>
      <c r="C155" s="38" t="s">
        <v>197</v>
      </c>
      <c r="D155" s="39" t="s">
        <v>183</v>
      </c>
      <c r="E155" s="39" t="s">
        <v>177</v>
      </c>
      <c r="F155" s="38" t="s">
        <v>139</v>
      </c>
      <c r="G155" s="38" t="s">
        <v>130</v>
      </c>
      <c r="H155" s="44">
        <v>1877854</v>
      </c>
      <c r="I155" s="44">
        <v>92254</v>
      </c>
      <c r="J155" s="44"/>
      <c r="K155" s="44">
        <v>345600</v>
      </c>
      <c r="L155" s="44">
        <v>172800</v>
      </c>
      <c r="M155" s="44">
        <v>172800</v>
      </c>
      <c r="N155" s="44">
        <v>172800</v>
      </c>
      <c r="O155" s="44">
        <v>115200</v>
      </c>
      <c r="P155" s="44">
        <v>115200</v>
      </c>
      <c r="Q155" s="44">
        <v>115200</v>
      </c>
      <c r="R155" s="44">
        <v>115200</v>
      </c>
      <c r="S155" s="44"/>
      <c r="T155" s="44">
        <v>115200</v>
      </c>
      <c r="U155" s="44">
        <v>230400</v>
      </c>
      <c r="V155" s="44"/>
      <c r="W155" s="44">
        <v>115200</v>
      </c>
      <c r="X155" s="44"/>
      <c r="Y155" s="44"/>
      <c r="Z155" s="44"/>
      <c r="AA155" s="44"/>
      <c r="AB155" s="44"/>
      <c r="AC155" s="44"/>
      <c r="AD155" s="44"/>
      <c r="AE155" s="44"/>
      <c r="AF155" s="44"/>
    </row>
    <row r="156" spans="1:32" x14ac:dyDescent="0.3">
      <c r="A156" s="38" t="s">
        <v>199</v>
      </c>
      <c r="B156" s="38" t="s">
        <v>174</v>
      </c>
      <c r="C156" s="38" t="s">
        <v>197</v>
      </c>
      <c r="D156" s="39" t="s">
        <v>183</v>
      </c>
      <c r="E156" s="39" t="s">
        <v>177</v>
      </c>
      <c r="F156" s="38" t="s">
        <v>140</v>
      </c>
      <c r="G156" s="38" t="s">
        <v>130</v>
      </c>
      <c r="H156" s="44"/>
      <c r="I156" s="44">
        <f>I151-(I146+I145)+(I150+I149+I148+I147)</f>
        <v>242395</v>
      </c>
      <c r="J156" s="44">
        <f t="shared" ref="J156:AF156" si="34">I156+J151-J146</f>
        <v>188603.5</v>
      </c>
      <c r="K156" s="44">
        <f t="shared" si="34"/>
        <v>474727</v>
      </c>
      <c r="L156" s="44">
        <f t="shared" si="34"/>
        <v>610568</v>
      </c>
      <c r="M156" s="44">
        <f t="shared" si="34"/>
        <v>745438.75</v>
      </c>
      <c r="N156" s="44">
        <f t="shared" si="34"/>
        <v>867647.75</v>
      </c>
      <c r="O156" s="44">
        <f t="shared" si="34"/>
        <v>926842</v>
      </c>
      <c r="P156" s="44">
        <f t="shared" si="34"/>
        <v>999661.75</v>
      </c>
      <c r="Q156" s="44">
        <f t="shared" si="34"/>
        <v>1082307.25</v>
      </c>
      <c r="R156" s="44">
        <f t="shared" si="34"/>
        <v>1160530.25</v>
      </c>
      <c r="S156" s="44">
        <f t="shared" si="34"/>
        <v>1127774.25</v>
      </c>
      <c r="T156" s="44">
        <f t="shared" si="34"/>
        <v>1212806</v>
      </c>
      <c r="U156" s="44">
        <f t="shared" si="34"/>
        <v>1416499</v>
      </c>
      <c r="V156" s="44">
        <f t="shared" si="34"/>
        <v>1391883.75</v>
      </c>
      <c r="W156" s="44">
        <f t="shared" si="34"/>
        <v>1484988</v>
      </c>
      <c r="X156" s="44">
        <f t="shared" si="34"/>
        <v>1463088.5</v>
      </c>
      <c r="Y156" s="44">
        <f t="shared" si="34"/>
        <v>1442063.25</v>
      </c>
      <c r="Z156" s="44">
        <f t="shared" si="34"/>
        <v>1422991.75</v>
      </c>
      <c r="AA156" s="44">
        <f t="shared" si="34"/>
        <v>1406909.25</v>
      </c>
      <c r="AB156" s="44">
        <f t="shared" si="34"/>
        <v>1391954.25</v>
      </c>
      <c r="AC156" s="44">
        <f t="shared" si="34"/>
        <v>1377499.5</v>
      </c>
      <c r="AD156" s="44">
        <f t="shared" si="34"/>
        <v>1366124.75</v>
      </c>
      <c r="AE156" s="44">
        <f t="shared" si="34"/>
        <v>1355959</v>
      </c>
      <c r="AF156" s="44">
        <f t="shared" si="34"/>
        <v>1345881.25</v>
      </c>
    </row>
    <row r="157" spans="1:32" ht="15" thickBot="1" x14ac:dyDescent="0.35">
      <c r="A157" s="40" t="s">
        <v>199</v>
      </c>
      <c r="B157" s="40" t="s">
        <v>174</v>
      </c>
      <c r="C157" s="40" t="s">
        <v>197</v>
      </c>
      <c r="D157" s="41" t="s">
        <v>183</v>
      </c>
      <c r="E157" s="41" t="s">
        <v>177</v>
      </c>
      <c r="F157" s="40" t="s">
        <v>141</v>
      </c>
      <c r="G157" s="40" t="s">
        <v>130</v>
      </c>
      <c r="H157" s="45"/>
      <c r="I157" s="45">
        <f>I151-I155</f>
        <v>0</v>
      </c>
      <c r="J157" s="45">
        <f t="shared" ref="J157:AF157" si="35">I157+J151-J155</f>
        <v>0</v>
      </c>
      <c r="K157" s="45">
        <f t="shared" si="35"/>
        <v>0</v>
      </c>
      <c r="L157" s="45">
        <f t="shared" si="35"/>
        <v>0</v>
      </c>
      <c r="M157" s="45">
        <f t="shared" si="35"/>
        <v>0</v>
      </c>
      <c r="N157" s="45">
        <f t="shared" si="35"/>
        <v>0</v>
      </c>
      <c r="O157" s="45">
        <f t="shared" si="35"/>
        <v>0</v>
      </c>
      <c r="P157" s="45">
        <f t="shared" si="35"/>
        <v>0</v>
      </c>
      <c r="Q157" s="45">
        <f t="shared" si="35"/>
        <v>0</v>
      </c>
      <c r="R157" s="45">
        <f t="shared" si="35"/>
        <v>0</v>
      </c>
      <c r="S157" s="45">
        <f t="shared" si="35"/>
        <v>0</v>
      </c>
      <c r="T157" s="45">
        <f t="shared" si="35"/>
        <v>0</v>
      </c>
      <c r="U157" s="45">
        <f t="shared" si="35"/>
        <v>0</v>
      </c>
      <c r="V157" s="45">
        <f t="shared" si="35"/>
        <v>0</v>
      </c>
      <c r="W157" s="45">
        <f t="shared" si="35"/>
        <v>0</v>
      </c>
      <c r="X157" s="45">
        <f t="shared" si="35"/>
        <v>0</v>
      </c>
      <c r="Y157" s="45">
        <f t="shared" si="35"/>
        <v>0</v>
      </c>
      <c r="Z157" s="45">
        <f t="shared" si="35"/>
        <v>0</v>
      </c>
      <c r="AA157" s="45">
        <f t="shared" si="35"/>
        <v>0</v>
      </c>
      <c r="AB157" s="45">
        <f t="shared" si="35"/>
        <v>0</v>
      </c>
      <c r="AC157" s="45">
        <f t="shared" si="35"/>
        <v>0</v>
      </c>
      <c r="AD157" s="45">
        <f t="shared" si="35"/>
        <v>0</v>
      </c>
      <c r="AE157" s="45">
        <f t="shared" si="35"/>
        <v>0</v>
      </c>
      <c r="AF157" s="45">
        <f t="shared" si="35"/>
        <v>0</v>
      </c>
    </row>
    <row r="158" spans="1:32" x14ac:dyDescent="0.3">
      <c r="A158" s="38" t="s">
        <v>200</v>
      </c>
      <c r="B158" s="38" t="s">
        <v>174</v>
      </c>
      <c r="C158" s="38" t="s">
        <v>197</v>
      </c>
      <c r="D158" s="39" t="s">
        <v>198</v>
      </c>
      <c r="E158" s="39" t="s">
        <v>195</v>
      </c>
      <c r="F158" s="38" t="s">
        <v>129</v>
      </c>
      <c r="G158" s="38" t="s">
        <v>130</v>
      </c>
      <c r="H158" s="44">
        <v>11847</v>
      </c>
      <c r="I158" s="44">
        <v>11847</v>
      </c>
      <c r="J158" s="44"/>
      <c r="K158" s="44"/>
      <c r="L158" s="44"/>
      <c r="M158" s="44"/>
      <c r="N158" s="44"/>
      <c r="O158" s="44"/>
      <c r="P158" s="44"/>
      <c r="Q158" s="44"/>
      <c r="R158" s="44"/>
      <c r="S158" s="44"/>
      <c r="T158" s="44"/>
      <c r="U158" s="44"/>
      <c r="V158" s="44"/>
      <c r="W158" s="44"/>
      <c r="X158" s="44"/>
      <c r="Y158" s="44"/>
      <c r="Z158" s="44"/>
      <c r="AA158" s="44"/>
      <c r="AB158" s="44"/>
      <c r="AC158" s="44"/>
      <c r="AD158" s="44"/>
      <c r="AE158" s="44"/>
      <c r="AF158" s="44"/>
    </row>
    <row r="159" spans="1:32" x14ac:dyDescent="0.3">
      <c r="A159" s="38" t="s">
        <v>200</v>
      </c>
      <c r="B159" s="38" t="s">
        <v>174</v>
      </c>
      <c r="C159" s="38" t="s">
        <v>197</v>
      </c>
      <c r="D159" s="39" t="s">
        <v>198</v>
      </c>
      <c r="E159" s="39" t="s">
        <v>195</v>
      </c>
      <c r="F159" s="38" t="s">
        <v>131</v>
      </c>
      <c r="G159" s="38" t="s">
        <v>130</v>
      </c>
      <c r="H159" s="44">
        <v>383697</v>
      </c>
      <c r="I159" s="44">
        <v>12554</v>
      </c>
      <c r="J159" s="44">
        <v>26661</v>
      </c>
      <c r="K159" s="44">
        <v>23755</v>
      </c>
      <c r="L159" s="44">
        <v>32137</v>
      </c>
      <c r="M159" s="44">
        <v>22975</v>
      </c>
      <c r="N159" s="44">
        <v>48784</v>
      </c>
      <c r="O159" s="44">
        <v>21749</v>
      </c>
      <c r="P159" s="44">
        <v>14279</v>
      </c>
      <c r="Q159" s="44">
        <v>22029</v>
      </c>
      <c r="R159" s="44">
        <v>19845</v>
      </c>
      <c r="S159" s="44">
        <v>36994</v>
      </c>
      <c r="T159" s="44">
        <v>12294</v>
      </c>
      <c r="U159" s="44">
        <v>11305</v>
      </c>
      <c r="V159" s="44">
        <v>6999</v>
      </c>
      <c r="W159" s="44">
        <v>6049</v>
      </c>
      <c r="X159" s="44">
        <v>5548</v>
      </c>
      <c r="Y159" s="44">
        <v>5098</v>
      </c>
      <c r="Z159" s="44">
        <v>7458</v>
      </c>
      <c r="AA159" s="44">
        <v>7778</v>
      </c>
      <c r="AB159" s="44">
        <v>7778</v>
      </c>
      <c r="AC159" s="44">
        <v>7778</v>
      </c>
      <c r="AD159" s="44">
        <v>7944</v>
      </c>
      <c r="AE159" s="44">
        <v>7953</v>
      </c>
      <c r="AF159" s="44">
        <v>7953</v>
      </c>
    </row>
    <row r="160" spans="1:32" x14ac:dyDescent="0.3">
      <c r="A160" s="38" t="s">
        <v>200</v>
      </c>
      <c r="B160" s="38" t="s">
        <v>174</v>
      </c>
      <c r="C160" s="38" t="s">
        <v>197</v>
      </c>
      <c r="D160" s="39" t="s">
        <v>198</v>
      </c>
      <c r="E160" s="39" t="s">
        <v>195</v>
      </c>
      <c r="F160" s="38" t="s">
        <v>132</v>
      </c>
      <c r="G160" s="38" t="s">
        <v>130</v>
      </c>
      <c r="H160" s="44">
        <v>0</v>
      </c>
      <c r="I160" s="44">
        <v>0</v>
      </c>
      <c r="J160" s="44"/>
      <c r="K160" s="44"/>
      <c r="L160" s="44"/>
      <c r="M160" s="44"/>
      <c r="N160" s="44"/>
      <c r="O160" s="44"/>
      <c r="P160" s="44"/>
      <c r="Q160" s="44"/>
      <c r="R160" s="44"/>
      <c r="S160" s="44"/>
      <c r="T160" s="44"/>
      <c r="U160" s="44"/>
      <c r="V160" s="44"/>
      <c r="W160" s="44"/>
      <c r="X160" s="44"/>
      <c r="Y160" s="44"/>
      <c r="Z160" s="44"/>
      <c r="AA160" s="44"/>
      <c r="AB160" s="44"/>
      <c r="AC160" s="44"/>
      <c r="AD160" s="44"/>
      <c r="AE160" s="44"/>
      <c r="AF160" s="44"/>
    </row>
    <row r="161" spans="1:32" x14ac:dyDescent="0.3">
      <c r="A161" s="38" t="s">
        <v>200</v>
      </c>
      <c r="B161" s="38" t="s">
        <v>174</v>
      </c>
      <c r="C161" s="38" t="s">
        <v>197</v>
      </c>
      <c r="D161" s="39" t="s">
        <v>198</v>
      </c>
      <c r="E161" s="39" t="s">
        <v>195</v>
      </c>
      <c r="F161" s="38" t="s">
        <v>133</v>
      </c>
      <c r="G161" s="38" t="s">
        <v>130</v>
      </c>
      <c r="H161" s="44">
        <v>0</v>
      </c>
      <c r="I161" s="44">
        <v>0</v>
      </c>
      <c r="J161" s="44"/>
      <c r="K161" s="44"/>
      <c r="L161" s="44"/>
      <c r="M161" s="44"/>
      <c r="N161" s="44"/>
      <c r="O161" s="44"/>
      <c r="P161" s="44"/>
      <c r="Q161" s="44"/>
      <c r="R161" s="44"/>
      <c r="S161" s="44"/>
      <c r="T161" s="44"/>
      <c r="U161" s="44"/>
      <c r="V161" s="44"/>
      <c r="W161" s="44"/>
      <c r="X161" s="44"/>
      <c r="Y161" s="44"/>
      <c r="Z161" s="44"/>
      <c r="AA161" s="44"/>
      <c r="AB161" s="44"/>
      <c r="AC161" s="44"/>
      <c r="AD161" s="44"/>
      <c r="AE161" s="44"/>
      <c r="AF161" s="44"/>
    </row>
    <row r="162" spans="1:32" x14ac:dyDescent="0.3">
      <c r="A162" s="38" t="s">
        <v>200</v>
      </c>
      <c r="B162" s="38" t="s">
        <v>174</v>
      </c>
      <c r="C162" s="38" t="s">
        <v>197</v>
      </c>
      <c r="D162" s="39" t="s">
        <v>198</v>
      </c>
      <c r="E162" s="39" t="s">
        <v>195</v>
      </c>
      <c r="F162" s="38" t="s">
        <v>134</v>
      </c>
      <c r="G162" s="38" t="s">
        <v>130</v>
      </c>
      <c r="H162" s="44">
        <v>9834</v>
      </c>
      <c r="I162" s="44">
        <v>9834</v>
      </c>
      <c r="J162" s="44"/>
      <c r="K162" s="44"/>
      <c r="L162" s="44"/>
      <c r="M162" s="44"/>
      <c r="N162" s="44"/>
      <c r="O162" s="44"/>
      <c r="P162" s="44"/>
      <c r="Q162" s="44"/>
      <c r="R162" s="44"/>
      <c r="S162" s="44"/>
      <c r="T162" s="44"/>
      <c r="U162" s="44"/>
      <c r="V162" s="44"/>
      <c r="W162" s="44"/>
      <c r="X162" s="44"/>
      <c r="Y162" s="44"/>
      <c r="Z162" s="44"/>
      <c r="AA162" s="44"/>
      <c r="AB162" s="44"/>
      <c r="AC162" s="44"/>
      <c r="AD162" s="44"/>
      <c r="AE162" s="44"/>
      <c r="AF162" s="44"/>
    </row>
    <row r="163" spans="1:32" x14ac:dyDescent="0.3">
      <c r="A163" s="38" t="s">
        <v>200</v>
      </c>
      <c r="B163" s="38" t="s">
        <v>174</v>
      </c>
      <c r="C163" s="38" t="s">
        <v>197</v>
      </c>
      <c r="D163" s="39" t="s">
        <v>198</v>
      </c>
      <c r="E163" s="39" t="s">
        <v>195</v>
      </c>
      <c r="F163" s="38" t="s">
        <v>135</v>
      </c>
      <c r="G163" s="38" t="s">
        <v>130</v>
      </c>
      <c r="H163" s="44"/>
      <c r="I163" s="44"/>
      <c r="J163" s="44"/>
      <c r="K163" s="44"/>
      <c r="L163" s="44"/>
      <c r="M163" s="44"/>
      <c r="N163" s="44"/>
      <c r="O163" s="44"/>
      <c r="P163" s="44"/>
      <c r="Q163" s="44"/>
      <c r="R163" s="44"/>
      <c r="S163" s="44"/>
      <c r="T163" s="44"/>
      <c r="U163" s="44"/>
      <c r="V163" s="44"/>
      <c r="W163" s="44"/>
      <c r="X163" s="44"/>
      <c r="Y163" s="44"/>
      <c r="Z163" s="44"/>
      <c r="AA163" s="44"/>
      <c r="AB163" s="44"/>
      <c r="AC163" s="44"/>
      <c r="AD163" s="44"/>
      <c r="AE163" s="44"/>
      <c r="AF163" s="44"/>
    </row>
    <row r="164" spans="1:32" x14ac:dyDescent="0.3">
      <c r="A164" s="38" t="s">
        <v>200</v>
      </c>
      <c r="B164" s="38" t="s">
        <v>174</v>
      </c>
      <c r="C164" s="38" t="s">
        <v>197</v>
      </c>
      <c r="D164" s="39" t="s">
        <v>198</v>
      </c>
      <c r="E164" s="39" t="s">
        <v>195</v>
      </c>
      <c r="F164" s="38" t="s">
        <v>136</v>
      </c>
      <c r="G164" s="38" t="s">
        <v>130</v>
      </c>
      <c r="H164" s="44">
        <f>SUM(I164:AF164)</f>
        <v>0</v>
      </c>
      <c r="I164" s="44">
        <f t="shared" ref="I164:AF164" si="36">IF(AND(ISBLANK(I167) = TRUE,ISBLANK(I166) = TRUE),I165,I166+I167)</f>
        <v>0</v>
      </c>
      <c r="J164" s="44">
        <f t="shared" si="36"/>
        <v>0</v>
      </c>
      <c r="K164" s="44">
        <f t="shared" si="36"/>
        <v>0</v>
      </c>
      <c r="L164" s="44">
        <f t="shared" si="36"/>
        <v>0</v>
      </c>
      <c r="M164" s="44">
        <f t="shared" si="36"/>
        <v>0</v>
      </c>
      <c r="N164" s="44">
        <f t="shared" si="36"/>
        <v>0</v>
      </c>
      <c r="O164" s="44">
        <f t="shared" si="36"/>
        <v>0</v>
      </c>
      <c r="P164" s="44">
        <f t="shared" si="36"/>
        <v>0</v>
      </c>
      <c r="Q164" s="44">
        <f t="shared" si="36"/>
        <v>0</v>
      </c>
      <c r="R164" s="44">
        <f t="shared" si="36"/>
        <v>0</v>
      </c>
      <c r="S164" s="44">
        <f t="shared" si="36"/>
        <v>0</v>
      </c>
      <c r="T164" s="44">
        <f t="shared" si="36"/>
        <v>0</v>
      </c>
      <c r="U164" s="44">
        <f t="shared" si="36"/>
        <v>0</v>
      </c>
      <c r="V164" s="44">
        <f t="shared" si="36"/>
        <v>0</v>
      </c>
      <c r="W164" s="44">
        <f t="shared" si="36"/>
        <v>0</v>
      </c>
      <c r="X164" s="44">
        <f t="shared" si="36"/>
        <v>0</v>
      </c>
      <c r="Y164" s="44">
        <f t="shared" si="36"/>
        <v>0</v>
      </c>
      <c r="Z164" s="44">
        <f t="shared" si="36"/>
        <v>0</v>
      </c>
      <c r="AA164" s="44">
        <f t="shared" si="36"/>
        <v>0</v>
      </c>
      <c r="AB164" s="44">
        <f t="shared" si="36"/>
        <v>0</v>
      </c>
      <c r="AC164" s="44">
        <f t="shared" si="36"/>
        <v>0</v>
      </c>
      <c r="AD164" s="44">
        <f t="shared" si="36"/>
        <v>0</v>
      </c>
      <c r="AE164" s="44">
        <f t="shared" si="36"/>
        <v>0</v>
      </c>
      <c r="AF164" s="44">
        <f t="shared" si="36"/>
        <v>0</v>
      </c>
    </row>
    <row r="165" spans="1:32" x14ac:dyDescent="0.3">
      <c r="A165" s="38" t="s">
        <v>200</v>
      </c>
      <c r="B165" s="38" t="s">
        <v>174</v>
      </c>
      <c r="C165" s="38" t="s">
        <v>197</v>
      </c>
      <c r="D165" s="39" t="s">
        <v>198</v>
      </c>
      <c r="E165" s="39" t="s">
        <v>195</v>
      </c>
      <c r="F165" s="38" t="s">
        <v>124</v>
      </c>
      <c r="G165" s="38" t="s">
        <v>130</v>
      </c>
      <c r="H165" s="44"/>
      <c r="I165" s="44"/>
      <c r="J165" s="44"/>
      <c r="K165" s="44"/>
      <c r="L165" s="44"/>
      <c r="M165" s="44"/>
      <c r="N165" s="44"/>
      <c r="O165" s="44"/>
      <c r="P165" s="44"/>
      <c r="Q165" s="44"/>
      <c r="R165" s="44"/>
      <c r="S165" s="44"/>
      <c r="T165" s="44"/>
      <c r="U165" s="44"/>
      <c r="V165" s="44"/>
      <c r="W165" s="44"/>
      <c r="X165" s="44"/>
      <c r="Y165" s="44"/>
      <c r="Z165" s="44"/>
      <c r="AA165" s="44"/>
      <c r="AB165" s="44"/>
      <c r="AC165" s="44"/>
      <c r="AD165" s="44"/>
      <c r="AE165" s="44"/>
      <c r="AF165" s="44"/>
    </row>
    <row r="166" spans="1:32" x14ac:dyDescent="0.3">
      <c r="A166" s="38" t="s">
        <v>200</v>
      </c>
      <c r="B166" s="38" t="s">
        <v>174</v>
      </c>
      <c r="C166" s="38" t="s">
        <v>197</v>
      </c>
      <c r="D166" s="39" t="s">
        <v>198</v>
      </c>
      <c r="E166" s="39" t="s">
        <v>195</v>
      </c>
      <c r="F166" s="38" t="s">
        <v>137</v>
      </c>
      <c r="G166" s="38" t="s">
        <v>130</v>
      </c>
      <c r="H166" s="44">
        <f>SUM(I166:AF166)</f>
        <v>0</v>
      </c>
      <c r="I166" s="44"/>
      <c r="J166" s="44"/>
      <c r="K166" s="44"/>
      <c r="L166" s="44"/>
      <c r="M166" s="44"/>
      <c r="N166" s="44"/>
      <c r="O166" s="44"/>
      <c r="P166" s="44"/>
      <c r="Q166" s="44"/>
      <c r="R166" s="44"/>
      <c r="S166" s="44"/>
      <c r="T166" s="44"/>
      <c r="U166" s="44"/>
      <c r="V166" s="44"/>
      <c r="W166" s="44"/>
      <c r="X166" s="44"/>
      <c r="Y166" s="44"/>
      <c r="Z166" s="44"/>
      <c r="AA166" s="44"/>
      <c r="AB166" s="44"/>
      <c r="AC166" s="44"/>
      <c r="AD166" s="44"/>
      <c r="AE166" s="44"/>
      <c r="AF166" s="44"/>
    </row>
    <row r="167" spans="1:32" x14ac:dyDescent="0.3">
      <c r="A167" s="38" t="s">
        <v>200</v>
      </c>
      <c r="B167" s="38" t="s">
        <v>174</v>
      </c>
      <c r="C167" s="38" t="s">
        <v>197</v>
      </c>
      <c r="D167" s="39" t="s">
        <v>198</v>
      </c>
      <c r="E167" s="39" t="s">
        <v>195</v>
      </c>
      <c r="F167" s="38" t="s">
        <v>138</v>
      </c>
      <c r="G167" s="38" t="s">
        <v>130</v>
      </c>
      <c r="H167" s="44">
        <f>SUM(I167:AF167)</f>
        <v>0</v>
      </c>
      <c r="I167" s="44"/>
      <c r="J167" s="44"/>
      <c r="K167" s="44"/>
      <c r="L167" s="44"/>
      <c r="M167" s="44"/>
      <c r="N167" s="44"/>
      <c r="O167" s="44"/>
      <c r="P167" s="44"/>
      <c r="Q167" s="44"/>
      <c r="R167" s="44"/>
      <c r="S167" s="44"/>
      <c r="T167" s="44"/>
      <c r="U167" s="44"/>
      <c r="V167" s="44"/>
      <c r="W167" s="44"/>
      <c r="X167" s="44"/>
      <c r="Y167" s="44"/>
      <c r="Z167" s="44"/>
      <c r="AA167" s="44"/>
      <c r="AB167" s="44"/>
      <c r="AC167" s="44"/>
      <c r="AD167" s="44"/>
      <c r="AE167" s="44"/>
      <c r="AF167" s="44"/>
    </row>
    <row r="168" spans="1:32" x14ac:dyDescent="0.3">
      <c r="A168" s="38" t="s">
        <v>200</v>
      </c>
      <c r="B168" s="38" t="s">
        <v>174</v>
      </c>
      <c r="C168" s="38" t="s">
        <v>197</v>
      </c>
      <c r="D168" s="39" t="s">
        <v>198</v>
      </c>
      <c r="E168" s="39" t="s">
        <v>195</v>
      </c>
      <c r="F168" s="38" t="s">
        <v>139</v>
      </c>
      <c r="G168" s="38" t="s">
        <v>130</v>
      </c>
      <c r="H168" s="44"/>
      <c r="I168" s="44"/>
      <c r="J168" s="44"/>
      <c r="K168" s="44"/>
      <c r="L168" s="44"/>
      <c r="M168" s="44"/>
      <c r="N168" s="44"/>
      <c r="O168" s="44"/>
      <c r="P168" s="44"/>
      <c r="Q168" s="44"/>
      <c r="R168" s="44"/>
      <c r="S168" s="44"/>
      <c r="T168" s="44"/>
      <c r="U168" s="44"/>
      <c r="V168" s="44"/>
      <c r="W168" s="44"/>
      <c r="X168" s="44"/>
      <c r="Y168" s="44"/>
      <c r="Z168" s="44"/>
      <c r="AA168" s="44"/>
      <c r="AB168" s="44"/>
      <c r="AC168" s="44"/>
      <c r="AD168" s="44"/>
      <c r="AE168" s="44"/>
      <c r="AF168" s="44"/>
    </row>
    <row r="169" spans="1:32" x14ac:dyDescent="0.3">
      <c r="A169" s="38" t="s">
        <v>200</v>
      </c>
      <c r="B169" s="38" t="s">
        <v>174</v>
      </c>
      <c r="C169" s="38" t="s">
        <v>197</v>
      </c>
      <c r="D169" s="39" t="s">
        <v>198</v>
      </c>
      <c r="E169" s="39" t="s">
        <v>195</v>
      </c>
      <c r="F169" s="38" t="s">
        <v>140</v>
      </c>
      <c r="G169" s="38" t="s">
        <v>130</v>
      </c>
      <c r="H169" s="44"/>
      <c r="I169" s="44">
        <f>I164-(I159+I158)+(I163+I162+I161+I160)</f>
        <v>-14567</v>
      </c>
      <c r="J169" s="44">
        <f t="shared" ref="J169:AF169" si="37">I169+J164-J159</f>
        <v>-41228</v>
      </c>
      <c r="K169" s="44">
        <f t="shared" si="37"/>
        <v>-64983</v>
      </c>
      <c r="L169" s="44">
        <f t="shared" si="37"/>
        <v>-97120</v>
      </c>
      <c r="M169" s="44">
        <f t="shared" si="37"/>
        <v>-120095</v>
      </c>
      <c r="N169" s="44">
        <f t="shared" si="37"/>
        <v>-168879</v>
      </c>
      <c r="O169" s="44">
        <f t="shared" si="37"/>
        <v>-190628</v>
      </c>
      <c r="P169" s="44">
        <f t="shared" si="37"/>
        <v>-204907</v>
      </c>
      <c r="Q169" s="44">
        <f t="shared" si="37"/>
        <v>-226936</v>
      </c>
      <c r="R169" s="44">
        <f t="shared" si="37"/>
        <v>-246781</v>
      </c>
      <c r="S169" s="44">
        <f t="shared" si="37"/>
        <v>-283775</v>
      </c>
      <c r="T169" s="44">
        <f t="shared" si="37"/>
        <v>-296069</v>
      </c>
      <c r="U169" s="44">
        <f t="shared" si="37"/>
        <v>-307374</v>
      </c>
      <c r="V169" s="44">
        <f t="shared" si="37"/>
        <v>-314373</v>
      </c>
      <c r="W169" s="44">
        <f t="shared" si="37"/>
        <v>-320422</v>
      </c>
      <c r="X169" s="44">
        <f t="shared" si="37"/>
        <v>-325970</v>
      </c>
      <c r="Y169" s="44">
        <f t="shared" si="37"/>
        <v>-331068</v>
      </c>
      <c r="Z169" s="44">
        <f t="shared" si="37"/>
        <v>-338526</v>
      </c>
      <c r="AA169" s="44">
        <f t="shared" si="37"/>
        <v>-346304</v>
      </c>
      <c r="AB169" s="44">
        <f t="shared" si="37"/>
        <v>-354082</v>
      </c>
      <c r="AC169" s="44">
        <f t="shared" si="37"/>
        <v>-361860</v>
      </c>
      <c r="AD169" s="44">
        <f t="shared" si="37"/>
        <v>-369804</v>
      </c>
      <c r="AE169" s="44">
        <f t="shared" si="37"/>
        <v>-377757</v>
      </c>
      <c r="AF169" s="44">
        <f t="shared" si="37"/>
        <v>-385710</v>
      </c>
    </row>
    <row r="170" spans="1:32" ht="15" thickBot="1" x14ac:dyDescent="0.35">
      <c r="A170" s="40" t="s">
        <v>200</v>
      </c>
      <c r="B170" s="40" t="s">
        <v>174</v>
      </c>
      <c r="C170" s="40" t="s">
        <v>197</v>
      </c>
      <c r="D170" s="41" t="s">
        <v>198</v>
      </c>
      <c r="E170" s="41" t="s">
        <v>195</v>
      </c>
      <c r="F170" s="40" t="s">
        <v>141</v>
      </c>
      <c r="G170" s="40" t="s">
        <v>130</v>
      </c>
      <c r="H170" s="45"/>
      <c r="I170" s="45">
        <f>I164-I168</f>
        <v>0</v>
      </c>
      <c r="J170" s="45">
        <f t="shared" ref="J170:AF170" si="38">I170+J164-J168</f>
        <v>0</v>
      </c>
      <c r="K170" s="45">
        <f t="shared" si="38"/>
        <v>0</v>
      </c>
      <c r="L170" s="45">
        <f t="shared" si="38"/>
        <v>0</v>
      </c>
      <c r="M170" s="45">
        <f t="shared" si="38"/>
        <v>0</v>
      </c>
      <c r="N170" s="45">
        <f t="shared" si="38"/>
        <v>0</v>
      </c>
      <c r="O170" s="45">
        <f t="shared" si="38"/>
        <v>0</v>
      </c>
      <c r="P170" s="45">
        <f t="shared" si="38"/>
        <v>0</v>
      </c>
      <c r="Q170" s="45">
        <f t="shared" si="38"/>
        <v>0</v>
      </c>
      <c r="R170" s="45">
        <f t="shared" si="38"/>
        <v>0</v>
      </c>
      <c r="S170" s="45">
        <f t="shared" si="38"/>
        <v>0</v>
      </c>
      <c r="T170" s="45">
        <f t="shared" si="38"/>
        <v>0</v>
      </c>
      <c r="U170" s="45">
        <f t="shared" si="38"/>
        <v>0</v>
      </c>
      <c r="V170" s="45">
        <f t="shared" si="38"/>
        <v>0</v>
      </c>
      <c r="W170" s="45">
        <f t="shared" si="38"/>
        <v>0</v>
      </c>
      <c r="X170" s="45">
        <f t="shared" si="38"/>
        <v>0</v>
      </c>
      <c r="Y170" s="45">
        <f t="shared" si="38"/>
        <v>0</v>
      </c>
      <c r="Z170" s="45">
        <f t="shared" si="38"/>
        <v>0</v>
      </c>
      <c r="AA170" s="45">
        <f t="shared" si="38"/>
        <v>0</v>
      </c>
      <c r="AB170" s="45">
        <f t="shared" si="38"/>
        <v>0</v>
      </c>
      <c r="AC170" s="45">
        <f t="shared" si="38"/>
        <v>0</v>
      </c>
      <c r="AD170" s="45">
        <f t="shared" si="38"/>
        <v>0</v>
      </c>
      <c r="AE170" s="45">
        <f t="shared" si="38"/>
        <v>0</v>
      </c>
      <c r="AF170" s="45">
        <f t="shared" si="38"/>
        <v>0</v>
      </c>
    </row>
    <row r="171" spans="1:32" x14ac:dyDescent="0.3">
      <c r="A171" s="38" t="s">
        <v>200</v>
      </c>
      <c r="B171" s="38" t="s">
        <v>174</v>
      </c>
      <c r="C171" s="38" t="s">
        <v>197</v>
      </c>
      <c r="D171" s="39" t="s">
        <v>180</v>
      </c>
      <c r="E171" s="39" t="s">
        <v>177</v>
      </c>
      <c r="F171" s="38" t="s">
        <v>129</v>
      </c>
      <c r="G171" s="38" t="s">
        <v>130</v>
      </c>
      <c r="H171" s="44">
        <v>14055.75</v>
      </c>
      <c r="I171" s="44">
        <v>14055.75</v>
      </c>
      <c r="J171" s="44"/>
      <c r="K171" s="44"/>
      <c r="L171" s="44"/>
      <c r="M171" s="44"/>
      <c r="N171" s="44"/>
      <c r="O171" s="44"/>
      <c r="P171" s="44"/>
      <c r="Q171" s="44"/>
      <c r="R171" s="44"/>
      <c r="S171" s="44"/>
      <c r="T171" s="44"/>
      <c r="U171" s="44"/>
      <c r="V171" s="44"/>
      <c r="W171" s="44"/>
      <c r="X171" s="44"/>
      <c r="Y171" s="44"/>
      <c r="Z171" s="44"/>
      <c r="AA171" s="44"/>
      <c r="AB171" s="44"/>
      <c r="AC171" s="44"/>
      <c r="AD171" s="44"/>
      <c r="AE171" s="44"/>
      <c r="AF171" s="44"/>
    </row>
    <row r="172" spans="1:32" x14ac:dyDescent="0.3">
      <c r="A172" s="38" t="s">
        <v>200</v>
      </c>
      <c r="B172" s="38" t="s">
        <v>174</v>
      </c>
      <c r="C172" s="38" t="s">
        <v>197</v>
      </c>
      <c r="D172" s="39" t="s">
        <v>180</v>
      </c>
      <c r="E172" s="39" t="s">
        <v>177</v>
      </c>
      <c r="F172" s="38" t="s">
        <v>131</v>
      </c>
      <c r="G172" s="38" t="s">
        <v>130</v>
      </c>
      <c r="H172" s="44">
        <v>52463</v>
      </c>
      <c r="I172" s="44">
        <v>3371.25</v>
      </c>
      <c r="J172" s="44">
        <v>3089.5</v>
      </c>
      <c r="K172" s="44">
        <v>2951.5</v>
      </c>
      <c r="L172" s="44">
        <v>2922</v>
      </c>
      <c r="M172" s="44">
        <v>2402.25</v>
      </c>
      <c r="N172" s="44">
        <v>2504</v>
      </c>
      <c r="O172" s="44">
        <v>2260.75</v>
      </c>
      <c r="P172" s="44">
        <v>2241.25</v>
      </c>
      <c r="Q172" s="44">
        <v>2210.5</v>
      </c>
      <c r="R172" s="44">
        <v>2268</v>
      </c>
      <c r="S172" s="44">
        <v>2125</v>
      </c>
      <c r="T172" s="44">
        <v>2129.25</v>
      </c>
      <c r="U172" s="44">
        <v>2131</v>
      </c>
      <c r="V172" s="44">
        <v>2099.25</v>
      </c>
      <c r="W172" s="44">
        <v>1943.75</v>
      </c>
      <c r="X172" s="44">
        <v>1907.5</v>
      </c>
      <c r="Y172" s="44">
        <v>1909.25</v>
      </c>
      <c r="Z172" s="44">
        <v>1898.5</v>
      </c>
      <c r="AA172" s="44">
        <v>2053.5</v>
      </c>
      <c r="AB172" s="44">
        <v>1803</v>
      </c>
      <c r="AC172" s="44">
        <v>1800.75</v>
      </c>
      <c r="AD172" s="44">
        <v>1615.75</v>
      </c>
      <c r="AE172" s="44">
        <v>1412.75</v>
      </c>
      <c r="AF172" s="44">
        <v>1412.75</v>
      </c>
    </row>
    <row r="173" spans="1:32" x14ac:dyDescent="0.3">
      <c r="A173" s="38" t="s">
        <v>200</v>
      </c>
      <c r="B173" s="38" t="s">
        <v>174</v>
      </c>
      <c r="C173" s="38" t="s">
        <v>197</v>
      </c>
      <c r="D173" s="39" t="s">
        <v>180</v>
      </c>
      <c r="E173" s="39" t="s">
        <v>177</v>
      </c>
      <c r="F173" s="38" t="s">
        <v>132</v>
      </c>
      <c r="G173" s="38" t="s">
        <v>130</v>
      </c>
      <c r="H173" s="44">
        <v>694976</v>
      </c>
      <c r="I173" s="44">
        <v>694976</v>
      </c>
      <c r="J173" s="44"/>
      <c r="K173" s="44"/>
      <c r="L173" s="44"/>
      <c r="M173" s="44"/>
      <c r="N173" s="44"/>
      <c r="O173" s="44"/>
      <c r="P173" s="44"/>
      <c r="Q173" s="44"/>
      <c r="R173" s="44"/>
      <c r="S173" s="44"/>
      <c r="T173" s="44"/>
      <c r="U173" s="44"/>
      <c r="V173" s="44"/>
      <c r="W173" s="44"/>
      <c r="X173" s="44"/>
      <c r="Y173" s="44"/>
      <c r="Z173" s="44"/>
      <c r="AA173" s="44"/>
      <c r="AB173" s="44"/>
      <c r="AC173" s="44"/>
      <c r="AD173" s="44"/>
      <c r="AE173" s="44"/>
      <c r="AF173" s="44"/>
    </row>
    <row r="174" spans="1:32" x14ac:dyDescent="0.3">
      <c r="A174" s="38" t="s">
        <v>200</v>
      </c>
      <c r="B174" s="38" t="s">
        <v>174</v>
      </c>
      <c r="C174" s="38" t="s">
        <v>197</v>
      </c>
      <c r="D174" s="39" t="s">
        <v>180</v>
      </c>
      <c r="E174" s="39" t="s">
        <v>177</v>
      </c>
      <c r="F174" s="38" t="s">
        <v>133</v>
      </c>
      <c r="G174" s="38" t="s">
        <v>130</v>
      </c>
      <c r="H174" s="44">
        <v>0</v>
      </c>
      <c r="I174" s="44">
        <v>0</v>
      </c>
      <c r="J174" s="44"/>
      <c r="K174" s="44"/>
      <c r="L174" s="44"/>
      <c r="M174" s="44"/>
      <c r="N174" s="44"/>
      <c r="O174" s="44"/>
      <c r="P174" s="44"/>
      <c r="Q174" s="44"/>
      <c r="R174" s="44"/>
      <c r="S174" s="44"/>
      <c r="T174" s="44"/>
      <c r="U174" s="44"/>
      <c r="V174" s="44"/>
      <c r="W174" s="44"/>
      <c r="X174" s="44"/>
      <c r="Y174" s="44"/>
      <c r="Z174" s="44"/>
      <c r="AA174" s="44"/>
      <c r="AB174" s="44"/>
      <c r="AC174" s="44"/>
      <c r="AD174" s="44"/>
      <c r="AE174" s="44"/>
      <c r="AF174" s="44"/>
    </row>
    <row r="175" spans="1:32" x14ac:dyDescent="0.3">
      <c r="A175" s="38" t="s">
        <v>200</v>
      </c>
      <c r="B175" s="38" t="s">
        <v>174</v>
      </c>
      <c r="C175" s="38" t="s">
        <v>197</v>
      </c>
      <c r="D175" s="39" t="s">
        <v>180</v>
      </c>
      <c r="E175" s="39" t="s">
        <v>177</v>
      </c>
      <c r="F175" s="38" t="s">
        <v>134</v>
      </c>
      <c r="G175" s="38" t="s">
        <v>130</v>
      </c>
      <c r="H175" s="44">
        <v>849</v>
      </c>
      <c r="I175" s="44">
        <v>849</v>
      </c>
      <c r="J175" s="44"/>
      <c r="K175" s="44"/>
      <c r="L175" s="44"/>
      <c r="M175" s="44"/>
      <c r="N175" s="44"/>
      <c r="O175" s="44"/>
      <c r="P175" s="44"/>
      <c r="Q175" s="44"/>
      <c r="R175" s="44"/>
      <c r="S175" s="44"/>
      <c r="T175" s="44"/>
      <c r="U175" s="44"/>
      <c r="V175" s="44"/>
      <c r="W175" s="44"/>
      <c r="X175" s="44"/>
      <c r="Y175" s="44"/>
      <c r="Z175" s="44"/>
      <c r="AA175" s="44"/>
      <c r="AB175" s="44"/>
      <c r="AC175" s="44"/>
      <c r="AD175" s="44"/>
      <c r="AE175" s="44"/>
      <c r="AF175" s="44"/>
    </row>
    <row r="176" spans="1:32" x14ac:dyDescent="0.3">
      <c r="A176" s="38" t="s">
        <v>200</v>
      </c>
      <c r="B176" s="38" t="s">
        <v>174</v>
      </c>
      <c r="C176" s="38" t="s">
        <v>197</v>
      </c>
      <c r="D176" s="39" t="s">
        <v>180</v>
      </c>
      <c r="E176" s="39" t="s">
        <v>177</v>
      </c>
      <c r="F176" s="38" t="s">
        <v>135</v>
      </c>
      <c r="G176" s="38" t="s">
        <v>130</v>
      </c>
      <c r="H176" s="44">
        <v>46080</v>
      </c>
      <c r="I176" s="44">
        <v>46080</v>
      </c>
      <c r="J176" s="44"/>
      <c r="K176" s="44"/>
      <c r="L176" s="44"/>
      <c r="M176" s="44"/>
      <c r="N176" s="44"/>
      <c r="O176" s="44"/>
      <c r="P176" s="44"/>
      <c r="Q176" s="44"/>
      <c r="R176" s="44"/>
      <c r="S176" s="44"/>
      <c r="T176" s="44"/>
      <c r="U176" s="44"/>
      <c r="V176" s="44"/>
      <c r="W176" s="44"/>
      <c r="X176" s="44"/>
      <c r="Y176" s="44"/>
      <c r="Z176" s="44"/>
      <c r="AA176" s="44"/>
      <c r="AB176" s="44"/>
      <c r="AC176" s="44"/>
      <c r="AD176" s="44"/>
      <c r="AE176" s="44"/>
      <c r="AF176" s="44"/>
    </row>
    <row r="177" spans="1:32" x14ac:dyDescent="0.3">
      <c r="A177" s="38" t="s">
        <v>200</v>
      </c>
      <c r="B177" s="38" t="s">
        <v>174</v>
      </c>
      <c r="C177" s="38" t="s">
        <v>197</v>
      </c>
      <c r="D177" s="39" t="s">
        <v>180</v>
      </c>
      <c r="E177" s="39" t="s">
        <v>177</v>
      </c>
      <c r="F177" s="38" t="s">
        <v>136</v>
      </c>
      <c r="G177" s="38" t="s">
        <v>130</v>
      </c>
      <c r="H177" s="44">
        <f>SUM(I177:AF177)</f>
        <v>322560</v>
      </c>
      <c r="I177" s="44">
        <f t="shared" ref="I177:AF177" si="39">IF(AND(ISBLANK(I180) = TRUE,ISBLANK(I179) = TRUE),I178,I179+I180)</f>
        <v>0</v>
      </c>
      <c r="J177" s="44">
        <f t="shared" si="39"/>
        <v>0</v>
      </c>
      <c r="K177" s="44">
        <f t="shared" si="39"/>
        <v>23040</v>
      </c>
      <c r="L177" s="44">
        <f t="shared" si="39"/>
        <v>23040</v>
      </c>
      <c r="M177" s="44">
        <f t="shared" si="39"/>
        <v>23040</v>
      </c>
      <c r="N177" s="44">
        <f t="shared" si="39"/>
        <v>23040</v>
      </c>
      <c r="O177" s="44">
        <f t="shared" si="39"/>
        <v>23040</v>
      </c>
      <c r="P177" s="44">
        <f t="shared" si="39"/>
        <v>23040</v>
      </c>
      <c r="Q177" s="44">
        <f t="shared" si="39"/>
        <v>23040</v>
      </c>
      <c r="R177" s="44">
        <f t="shared" si="39"/>
        <v>23040</v>
      </c>
      <c r="S177" s="44">
        <f t="shared" si="39"/>
        <v>23040</v>
      </c>
      <c r="T177" s="44">
        <f t="shared" si="39"/>
        <v>23040</v>
      </c>
      <c r="U177" s="44">
        <f t="shared" si="39"/>
        <v>23040</v>
      </c>
      <c r="V177" s="44">
        <f t="shared" si="39"/>
        <v>34560</v>
      </c>
      <c r="W177" s="44">
        <f t="shared" si="39"/>
        <v>34560</v>
      </c>
      <c r="X177" s="44">
        <f t="shared" si="39"/>
        <v>0</v>
      </c>
      <c r="Y177" s="44">
        <f t="shared" si="39"/>
        <v>0</v>
      </c>
      <c r="Z177" s="44">
        <f t="shared" si="39"/>
        <v>0</v>
      </c>
      <c r="AA177" s="44">
        <f t="shared" si="39"/>
        <v>0</v>
      </c>
      <c r="AB177" s="44">
        <f t="shared" si="39"/>
        <v>0</v>
      </c>
      <c r="AC177" s="44">
        <f t="shared" si="39"/>
        <v>0</v>
      </c>
      <c r="AD177" s="44">
        <f t="shared" si="39"/>
        <v>0</v>
      </c>
      <c r="AE177" s="44">
        <f t="shared" si="39"/>
        <v>0</v>
      </c>
      <c r="AF177" s="44">
        <f t="shared" si="39"/>
        <v>0</v>
      </c>
    </row>
    <row r="178" spans="1:32" x14ac:dyDescent="0.3">
      <c r="A178" s="38" t="s">
        <v>200</v>
      </c>
      <c r="B178" s="38" t="s">
        <v>174</v>
      </c>
      <c r="C178" s="38" t="s">
        <v>197</v>
      </c>
      <c r="D178" s="39" t="s">
        <v>180</v>
      </c>
      <c r="E178" s="39" t="s">
        <v>177</v>
      </c>
      <c r="F178" s="38" t="s">
        <v>124</v>
      </c>
      <c r="G178" s="38" t="s">
        <v>130</v>
      </c>
      <c r="H178" s="44">
        <v>322560</v>
      </c>
      <c r="I178" s="44"/>
      <c r="J178" s="44"/>
      <c r="K178" s="44">
        <v>23040</v>
      </c>
      <c r="L178" s="44">
        <v>23040</v>
      </c>
      <c r="M178" s="44">
        <v>23040</v>
      </c>
      <c r="N178" s="44">
        <v>23040</v>
      </c>
      <c r="O178" s="44">
        <v>23040</v>
      </c>
      <c r="P178" s="44">
        <v>23040</v>
      </c>
      <c r="Q178" s="44">
        <v>23040</v>
      </c>
      <c r="R178" s="44">
        <v>23040</v>
      </c>
      <c r="S178" s="44">
        <v>23040</v>
      </c>
      <c r="T178" s="44">
        <v>23040</v>
      </c>
      <c r="U178" s="44">
        <v>23040</v>
      </c>
      <c r="V178" s="44">
        <v>34560</v>
      </c>
      <c r="W178" s="44">
        <v>34560</v>
      </c>
      <c r="X178" s="44"/>
      <c r="Y178" s="44"/>
      <c r="Z178" s="44"/>
      <c r="AA178" s="44"/>
      <c r="AB178" s="44"/>
      <c r="AC178" s="44"/>
      <c r="AD178" s="44"/>
      <c r="AE178" s="44"/>
      <c r="AF178" s="44"/>
    </row>
    <row r="179" spans="1:32" x14ac:dyDescent="0.3">
      <c r="A179" s="38" t="s">
        <v>200</v>
      </c>
      <c r="B179" s="38" t="s">
        <v>174</v>
      </c>
      <c r="C179" s="38" t="s">
        <v>197</v>
      </c>
      <c r="D179" s="39" t="s">
        <v>180</v>
      </c>
      <c r="E179" s="39" t="s">
        <v>177</v>
      </c>
      <c r="F179" s="38" t="s">
        <v>137</v>
      </c>
      <c r="G179" s="38" t="s">
        <v>130</v>
      </c>
      <c r="H179" s="44">
        <f>SUM(I179:AF179)</f>
        <v>0</v>
      </c>
      <c r="I179" s="44"/>
      <c r="J179" s="44"/>
      <c r="K179" s="44"/>
      <c r="L179" s="44"/>
      <c r="M179" s="44"/>
      <c r="N179" s="44"/>
      <c r="O179" s="44"/>
      <c r="P179" s="44"/>
      <c r="Q179" s="44"/>
      <c r="R179" s="44"/>
      <c r="S179" s="44"/>
      <c r="T179" s="44"/>
      <c r="U179" s="44"/>
      <c r="V179" s="44"/>
      <c r="W179" s="44"/>
      <c r="X179" s="44"/>
      <c r="Y179" s="44"/>
      <c r="Z179" s="44"/>
      <c r="AA179" s="44"/>
      <c r="AB179" s="44"/>
      <c r="AC179" s="44"/>
      <c r="AD179" s="44"/>
      <c r="AE179" s="44"/>
      <c r="AF179" s="44"/>
    </row>
    <row r="180" spans="1:32" x14ac:dyDescent="0.3">
      <c r="A180" s="38" t="s">
        <v>200</v>
      </c>
      <c r="B180" s="38" t="s">
        <v>174</v>
      </c>
      <c r="C180" s="38" t="s">
        <v>197</v>
      </c>
      <c r="D180" s="39" t="s">
        <v>180</v>
      </c>
      <c r="E180" s="39" t="s">
        <v>177</v>
      </c>
      <c r="F180" s="38" t="s">
        <v>138</v>
      </c>
      <c r="G180" s="38" t="s">
        <v>130</v>
      </c>
      <c r="H180" s="44">
        <f>SUM(I180:AF180)</f>
        <v>0</v>
      </c>
      <c r="I180" s="44"/>
      <c r="J180" s="44"/>
      <c r="K180" s="44"/>
      <c r="L180" s="44"/>
      <c r="M180" s="44"/>
      <c r="N180" s="44"/>
      <c r="O180" s="44"/>
      <c r="P180" s="44"/>
      <c r="Q180" s="44"/>
      <c r="R180" s="44"/>
      <c r="S180" s="44"/>
      <c r="T180" s="44"/>
      <c r="U180" s="44"/>
      <c r="V180" s="44"/>
      <c r="W180" s="44"/>
      <c r="X180" s="44"/>
      <c r="Y180" s="44"/>
      <c r="Z180" s="44"/>
      <c r="AA180" s="44"/>
      <c r="AB180" s="44"/>
      <c r="AC180" s="44"/>
      <c r="AD180" s="44"/>
      <c r="AE180" s="44"/>
      <c r="AF180" s="44"/>
    </row>
    <row r="181" spans="1:32" x14ac:dyDescent="0.3">
      <c r="A181" s="38" t="s">
        <v>200</v>
      </c>
      <c r="B181" s="38" t="s">
        <v>174</v>
      </c>
      <c r="C181" s="38" t="s">
        <v>197</v>
      </c>
      <c r="D181" s="39" t="s">
        <v>180</v>
      </c>
      <c r="E181" s="39" t="s">
        <v>177</v>
      </c>
      <c r="F181" s="38" t="s">
        <v>139</v>
      </c>
      <c r="G181" s="38" t="s">
        <v>130</v>
      </c>
      <c r="H181" s="44">
        <v>322560</v>
      </c>
      <c r="I181" s="44"/>
      <c r="J181" s="44"/>
      <c r="K181" s="44">
        <v>23040</v>
      </c>
      <c r="L181" s="44">
        <v>23040</v>
      </c>
      <c r="M181" s="44">
        <v>23040</v>
      </c>
      <c r="N181" s="44">
        <v>23040</v>
      </c>
      <c r="O181" s="44">
        <v>23040</v>
      </c>
      <c r="P181" s="44">
        <v>23040</v>
      </c>
      <c r="Q181" s="44">
        <v>23040</v>
      </c>
      <c r="R181" s="44">
        <v>23040</v>
      </c>
      <c r="S181" s="44">
        <v>23040</v>
      </c>
      <c r="T181" s="44">
        <v>23040</v>
      </c>
      <c r="U181" s="44">
        <v>23040</v>
      </c>
      <c r="V181" s="44">
        <v>34560</v>
      </c>
      <c r="W181" s="44">
        <v>34560</v>
      </c>
      <c r="X181" s="44"/>
      <c r="Y181" s="44"/>
      <c r="Z181" s="44"/>
      <c r="AA181" s="44"/>
      <c r="AB181" s="44"/>
      <c r="AC181" s="44"/>
      <c r="AD181" s="44"/>
      <c r="AE181" s="44"/>
      <c r="AF181" s="44"/>
    </row>
    <row r="182" spans="1:32" x14ac:dyDescent="0.3">
      <c r="A182" s="38" t="s">
        <v>200</v>
      </c>
      <c r="B182" s="38" t="s">
        <v>174</v>
      </c>
      <c r="C182" s="38" t="s">
        <v>197</v>
      </c>
      <c r="D182" s="39" t="s">
        <v>180</v>
      </c>
      <c r="E182" s="39" t="s">
        <v>177</v>
      </c>
      <c r="F182" s="38" t="s">
        <v>140</v>
      </c>
      <c r="G182" s="38" t="s">
        <v>130</v>
      </c>
      <c r="H182" s="44"/>
      <c r="I182" s="44">
        <f>I177-(I172+I171)+(I176+I175+I174+I173)</f>
        <v>724478</v>
      </c>
      <c r="J182" s="44">
        <f t="shared" ref="J182:AF182" si="40">I182+J177-J172</f>
        <v>721388.5</v>
      </c>
      <c r="K182" s="44">
        <f t="shared" si="40"/>
        <v>741477</v>
      </c>
      <c r="L182" s="44">
        <f t="shared" si="40"/>
        <v>761595</v>
      </c>
      <c r="M182" s="44">
        <f t="shared" si="40"/>
        <v>782232.75</v>
      </c>
      <c r="N182" s="44">
        <f t="shared" si="40"/>
        <v>802768.75</v>
      </c>
      <c r="O182" s="44">
        <f t="shared" si="40"/>
        <v>823548</v>
      </c>
      <c r="P182" s="44">
        <f t="shared" si="40"/>
        <v>844346.75</v>
      </c>
      <c r="Q182" s="44">
        <f t="shared" si="40"/>
        <v>865176.25</v>
      </c>
      <c r="R182" s="44">
        <f t="shared" si="40"/>
        <v>885948.25</v>
      </c>
      <c r="S182" s="44">
        <f t="shared" si="40"/>
        <v>906863.25</v>
      </c>
      <c r="T182" s="44">
        <f t="shared" si="40"/>
        <v>927774</v>
      </c>
      <c r="U182" s="44">
        <f t="shared" si="40"/>
        <v>948683</v>
      </c>
      <c r="V182" s="44">
        <f t="shared" si="40"/>
        <v>981143.75</v>
      </c>
      <c r="W182" s="44">
        <f t="shared" si="40"/>
        <v>1013760</v>
      </c>
      <c r="X182" s="44">
        <f t="shared" si="40"/>
        <v>1011852.5</v>
      </c>
      <c r="Y182" s="44">
        <f t="shared" si="40"/>
        <v>1009943.25</v>
      </c>
      <c r="Z182" s="44">
        <f t="shared" si="40"/>
        <v>1008044.75</v>
      </c>
      <c r="AA182" s="44">
        <f t="shared" si="40"/>
        <v>1005991.25</v>
      </c>
      <c r="AB182" s="44">
        <f t="shared" si="40"/>
        <v>1004188.25</v>
      </c>
      <c r="AC182" s="44">
        <f t="shared" si="40"/>
        <v>1002387.5</v>
      </c>
      <c r="AD182" s="44">
        <f t="shared" si="40"/>
        <v>1000771.75</v>
      </c>
      <c r="AE182" s="44">
        <f t="shared" si="40"/>
        <v>999359</v>
      </c>
      <c r="AF182" s="44">
        <f t="shared" si="40"/>
        <v>997946.25</v>
      </c>
    </row>
    <row r="183" spans="1:32" ht="15" thickBot="1" x14ac:dyDescent="0.35">
      <c r="A183" s="40" t="s">
        <v>200</v>
      </c>
      <c r="B183" s="40" t="s">
        <v>174</v>
      </c>
      <c r="C183" s="40" t="s">
        <v>197</v>
      </c>
      <c r="D183" s="41" t="s">
        <v>180</v>
      </c>
      <c r="E183" s="41" t="s">
        <v>177</v>
      </c>
      <c r="F183" s="40" t="s">
        <v>141</v>
      </c>
      <c r="G183" s="40" t="s">
        <v>130</v>
      </c>
      <c r="H183" s="45"/>
      <c r="I183" s="45">
        <f>I177-I181</f>
        <v>0</v>
      </c>
      <c r="J183" s="45">
        <f t="shared" ref="J183:AF183" si="41">I183+J177-J181</f>
        <v>0</v>
      </c>
      <c r="K183" s="45">
        <f t="shared" si="41"/>
        <v>0</v>
      </c>
      <c r="L183" s="45">
        <f t="shared" si="41"/>
        <v>0</v>
      </c>
      <c r="M183" s="45">
        <f t="shared" si="41"/>
        <v>0</v>
      </c>
      <c r="N183" s="45">
        <f t="shared" si="41"/>
        <v>0</v>
      </c>
      <c r="O183" s="45">
        <f t="shared" si="41"/>
        <v>0</v>
      </c>
      <c r="P183" s="45">
        <f t="shared" si="41"/>
        <v>0</v>
      </c>
      <c r="Q183" s="45">
        <f t="shared" si="41"/>
        <v>0</v>
      </c>
      <c r="R183" s="45">
        <f t="shared" si="41"/>
        <v>0</v>
      </c>
      <c r="S183" s="45">
        <f t="shared" si="41"/>
        <v>0</v>
      </c>
      <c r="T183" s="45">
        <f t="shared" si="41"/>
        <v>0</v>
      </c>
      <c r="U183" s="45">
        <f t="shared" si="41"/>
        <v>0</v>
      </c>
      <c r="V183" s="45">
        <f t="shared" si="41"/>
        <v>0</v>
      </c>
      <c r="W183" s="45">
        <f t="shared" si="41"/>
        <v>0</v>
      </c>
      <c r="X183" s="45">
        <f t="shared" si="41"/>
        <v>0</v>
      </c>
      <c r="Y183" s="45">
        <f t="shared" si="41"/>
        <v>0</v>
      </c>
      <c r="Z183" s="45">
        <f t="shared" si="41"/>
        <v>0</v>
      </c>
      <c r="AA183" s="45">
        <f t="shared" si="41"/>
        <v>0</v>
      </c>
      <c r="AB183" s="45">
        <f t="shared" si="41"/>
        <v>0</v>
      </c>
      <c r="AC183" s="45">
        <f t="shared" si="41"/>
        <v>0</v>
      </c>
      <c r="AD183" s="45">
        <f t="shared" si="41"/>
        <v>0</v>
      </c>
      <c r="AE183" s="45">
        <f t="shared" si="41"/>
        <v>0</v>
      </c>
      <c r="AF183" s="45">
        <f t="shared" si="41"/>
        <v>0</v>
      </c>
    </row>
    <row r="184" spans="1:32" x14ac:dyDescent="0.3">
      <c r="A184" s="38" t="s">
        <v>201</v>
      </c>
      <c r="B184" s="38" t="s">
        <v>174</v>
      </c>
      <c r="C184" s="38" t="s">
        <v>197</v>
      </c>
      <c r="D184" s="39" t="s">
        <v>176</v>
      </c>
      <c r="E184" s="39" t="s">
        <v>195</v>
      </c>
      <c r="F184" s="38" t="s">
        <v>129</v>
      </c>
      <c r="G184" s="38" t="s">
        <v>130</v>
      </c>
      <c r="H184" s="44">
        <v>17918</v>
      </c>
      <c r="I184" s="44">
        <v>17918</v>
      </c>
      <c r="J184" s="44"/>
      <c r="K184" s="44"/>
      <c r="L184" s="44"/>
      <c r="M184" s="44"/>
      <c r="N184" s="44"/>
      <c r="O184" s="44"/>
      <c r="P184" s="44"/>
      <c r="Q184" s="44"/>
      <c r="R184" s="44"/>
      <c r="S184" s="44"/>
      <c r="T184" s="44"/>
      <c r="U184" s="44"/>
      <c r="V184" s="44"/>
      <c r="W184" s="44"/>
      <c r="X184" s="44"/>
      <c r="Y184" s="44"/>
      <c r="Z184" s="44"/>
      <c r="AA184" s="44"/>
      <c r="AB184" s="44"/>
      <c r="AC184" s="44"/>
      <c r="AD184" s="44"/>
      <c r="AE184" s="44"/>
      <c r="AF184" s="44"/>
    </row>
    <row r="185" spans="1:32" x14ac:dyDescent="0.3">
      <c r="A185" s="38" t="s">
        <v>201</v>
      </c>
      <c r="B185" s="38" t="s">
        <v>174</v>
      </c>
      <c r="C185" s="38" t="s">
        <v>197</v>
      </c>
      <c r="D185" s="39" t="s">
        <v>176</v>
      </c>
      <c r="E185" s="39" t="s">
        <v>195</v>
      </c>
      <c r="F185" s="38" t="s">
        <v>131</v>
      </c>
      <c r="G185" s="38" t="s">
        <v>130</v>
      </c>
      <c r="H185" s="44">
        <v>349078</v>
      </c>
      <c r="I185" s="44">
        <v>20353</v>
      </c>
      <c r="J185" s="44">
        <v>16200</v>
      </c>
      <c r="K185" s="44">
        <v>13719</v>
      </c>
      <c r="L185" s="44">
        <v>11845</v>
      </c>
      <c r="M185" s="44">
        <v>17310</v>
      </c>
      <c r="N185" s="44">
        <v>17691</v>
      </c>
      <c r="O185" s="44">
        <v>17020</v>
      </c>
      <c r="P185" s="44">
        <v>16270</v>
      </c>
      <c r="Q185" s="44">
        <v>15736</v>
      </c>
      <c r="R185" s="44">
        <v>15333</v>
      </c>
      <c r="S185" s="44">
        <v>15333</v>
      </c>
      <c r="T185" s="44">
        <v>15331</v>
      </c>
      <c r="U185" s="44">
        <v>14659</v>
      </c>
      <c r="V185" s="44">
        <v>10613</v>
      </c>
      <c r="W185" s="44">
        <v>10613</v>
      </c>
      <c r="X185" s="44">
        <v>10612</v>
      </c>
      <c r="Y185" s="44">
        <v>10612</v>
      </c>
      <c r="Z185" s="44">
        <v>13728</v>
      </c>
      <c r="AA185" s="44">
        <v>14976</v>
      </c>
      <c r="AB185" s="44">
        <v>14975</v>
      </c>
      <c r="AC185" s="44">
        <v>14975</v>
      </c>
      <c r="AD185" s="44">
        <v>13987</v>
      </c>
      <c r="AE185" s="44">
        <v>13594</v>
      </c>
      <c r="AF185" s="44">
        <v>13593</v>
      </c>
    </row>
    <row r="186" spans="1:32" x14ac:dyDescent="0.3">
      <c r="A186" s="38" t="s">
        <v>201</v>
      </c>
      <c r="B186" s="38" t="s">
        <v>174</v>
      </c>
      <c r="C186" s="38" t="s">
        <v>197</v>
      </c>
      <c r="D186" s="39" t="s">
        <v>176</v>
      </c>
      <c r="E186" s="39" t="s">
        <v>195</v>
      </c>
      <c r="F186" s="38" t="s">
        <v>132</v>
      </c>
      <c r="G186" s="38" t="s">
        <v>130</v>
      </c>
      <c r="H186" s="44">
        <v>61560</v>
      </c>
      <c r="I186" s="44">
        <v>61560</v>
      </c>
      <c r="J186" s="44"/>
      <c r="K186" s="44"/>
      <c r="L186" s="44"/>
      <c r="M186" s="44"/>
      <c r="N186" s="44"/>
      <c r="O186" s="44"/>
      <c r="P186" s="44"/>
      <c r="Q186" s="44"/>
      <c r="R186" s="44"/>
      <c r="S186" s="44"/>
      <c r="T186" s="44"/>
      <c r="U186" s="44"/>
      <c r="V186" s="44"/>
      <c r="W186" s="44"/>
      <c r="X186" s="44"/>
      <c r="Y186" s="44"/>
      <c r="Z186" s="44"/>
      <c r="AA186" s="44"/>
      <c r="AB186" s="44"/>
      <c r="AC186" s="44"/>
      <c r="AD186" s="44"/>
      <c r="AE186" s="44"/>
      <c r="AF186" s="44"/>
    </row>
    <row r="187" spans="1:32" x14ac:dyDescent="0.3">
      <c r="A187" s="38" t="s">
        <v>201</v>
      </c>
      <c r="B187" s="38" t="s">
        <v>174</v>
      </c>
      <c r="C187" s="38" t="s">
        <v>197</v>
      </c>
      <c r="D187" s="39" t="s">
        <v>176</v>
      </c>
      <c r="E187" s="39" t="s">
        <v>195</v>
      </c>
      <c r="F187" s="38" t="s">
        <v>133</v>
      </c>
      <c r="G187" s="38" t="s">
        <v>130</v>
      </c>
      <c r="H187" s="44">
        <v>0</v>
      </c>
      <c r="I187" s="44">
        <v>0</v>
      </c>
      <c r="J187" s="44"/>
      <c r="K187" s="44"/>
      <c r="L187" s="44"/>
      <c r="M187" s="44"/>
      <c r="N187" s="44"/>
      <c r="O187" s="44"/>
      <c r="P187" s="44"/>
      <c r="Q187" s="44"/>
      <c r="R187" s="44"/>
      <c r="S187" s="44"/>
      <c r="T187" s="44"/>
      <c r="U187" s="44"/>
      <c r="V187" s="44"/>
      <c r="W187" s="44"/>
      <c r="X187" s="44"/>
      <c r="Y187" s="44"/>
      <c r="Z187" s="44"/>
      <c r="AA187" s="44"/>
      <c r="AB187" s="44"/>
      <c r="AC187" s="44"/>
      <c r="AD187" s="44"/>
      <c r="AE187" s="44"/>
      <c r="AF187" s="44"/>
    </row>
    <row r="188" spans="1:32" x14ac:dyDescent="0.3">
      <c r="A188" s="38" t="s">
        <v>201</v>
      </c>
      <c r="B188" s="38" t="s">
        <v>174</v>
      </c>
      <c r="C188" s="38" t="s">
        <v>197</v>
      </c>
      <c r="D188" s="39" t="s">
        <v>176</v>
      </c>
      <c r="E188" s="39" t="s">
        <v>195</v>
      </c>
      <c r="F188" s="38" t="s">
        <v>134</v>
      </c>
      <c r="G188" s="38" t="s">
        <v>130</v>
      </c>
      <c r="H188" s="44">
        <v>23</v>
      </c>
      <c r="I188" s="44">
        <v>23</v>
      </c>
      <c r="J188" s="44"/>
      <c r="K188" s="44"/>
      <c r="L188" s="44"/>
      <c r="M188" s="44"/>
      <c r="N188" s="44"/>
      <c r="O188" s="44"/>
      <c r="P188" s="44"/>
      <c r="Q188" s="44"/>
      <c r="R188" s="44"/>
      <c r="S188" s="44"/>
      <c r="T188" s="44"/>
      <c r="U188" s="44"/>
      <c r="V188" s="44"/>
      <c r="W188" s="44"/>
      <c r="X188" s="44"/>
      <c r="Y188" s="44"/>
      <c r="Z188" s="44"/>
      <c r="AA188" s="44"/>
      <c r="AB188" s="44"/>
      <c r="AC188" s="44"/>
      <c r="AD188" s="44"/>
      <c r="AE188" s="44"/>
      <c r="AF188" s="44"/>
    </row>
    <row r="189" spans="1:32" x14ac:dyDescent="0.3">
      <c r="A189" s="38" t="s">
        <v>201</v>
      </c>
      <c r="B189" s="38" t="s">
        <v>174</v>
      </c>
      <c r="C189" s="38" t="s">
        <v>197</v>
      </c>
      <c r="D189" s="39" t="s">
        <v>176</v>
      </c>
      <c r="E189" s="39" t="s">
        <v>195</v>
      </c>
      <c r="F189" s="38" t="s">
        <v>135</v>
      </c>
      <c r="G189" s="38" t="s">
        <v>130</v>
      </c>
      <c r="H189" s="44"/>
      <c r="I189" s="44"/>
      <c r="J189" s="44"/>
      <c r="K189" s="44"/>
      <c r="L189" s="44"/>
      <c r="M189" s="44"/>
      <c r="N189" s="44"/>
      <c r="O189" s="44"/>
      <c r="P189" s="44"/>
      <c r="Q189" s="44"/>
      <c r="R189" s="44"/>
      <c r="S189" s="44"/>
      <c r="T189" s="44"/>
      <c r="U189" s="44"/>
      <c r="V189" s="44"/>
      <c r="W189" s="44"/>
      <c r="X189" s="44"/>
      <c r="Y189" s="44"/>
      <c r="Z189" s="44"/>
      <c r="AA189" s="44"/>
      <c r="AB189" s="44"/>
      <c r="AC189" s="44"/>
      <c r="AD189" s="44"/>
      <c r="AE189" s="44"/>
      <c r="AF189" s="44"/>
    </row>
    <row r="190" spans="1:32" x14ac:dyDescent="0.3">
      <c r="A190" s="38" t="s">
        <v>201</v>
      </c>
      <c r="B190" s="38" t="s">
        <v>174</v>
      </c>
      <c r="C190" s="38" t="s">
        <v>197</v>
      </c>
      <c r="D190" s="39" t="s">
        <v>176</v>
      </c>
      <c r="E190" s="39" t="s">
        <v>195</v>
      </c>
      <c r="F190" s="38" t="s">
        <v>136</v>
      </c>
      <c r="G190" s="38" t="s">
        <v>130</v>
      </c>
      <c r="H190" s="44">
        <f>SUM(I190:AF190)</f>
        <v>12960</v>
      </c>
      <c r="I190" s="44">
        <f t="shared" ref="I190:AF190" si="42">IF(AND(ISBLANK(I193) = TRUE,ISBLANK(I192) = TRUE),I191,I192+I193)</f>
        <v>0</v>
      </c>
      <c r="J190" s="44">
        <f t="shared" si="42"/>
        <v>0</v>
      </c>
      <c r="K190" s="44">
        <f t="shared" si="42"/>
        <v>0</v>
      </c>
      <c r="L190" s="44">
        <f t="shared" si="42"/>
        <v>0</v>
      </c>
      <c r="M190" s="44">
        <f t="shared" si="42"/>
        <v>0</v>
      </c>
      <c r="N190" s="44">
        <f t="shared" si="42"/>
        <v>0</v>
      </c>
      <c r="O190" s="44">
        <f t="shared" si="42"/>
        <v>0</v>
      </c>
      <c r="P190" s="44">
        <f t="shared" si="42"/>
        <v>0</v>
      </c>
      <c r="Q190" s="44">
        <f t="shared" si="42"/>
        <v>0</v>
      </c>
      <c r="R190" s="44">
        <f t="shared" si="42"/>
        <v>0</v>
      </c>
      <c r="S190" s="44">
        <f t="shared" si="42"/>
        <v>0</v>
      </c>
      <c r="T190" s="44">
        <f t="shared" si="42"/>
        <v>3240</v>
      </c>
      <c r="U190" s="44">
        <f t="shared" si="42"/>
        <v>3240</v>
      </c>
      <c r="V190" s="44">
        <f t="shared" si="42"/>
        <v>1620</v>
      </c>
      <c r="W190" s="44">
        <f t="shared" si="42"/>
        <v>1620</v>
      </c>
      <c r="X190" s="44">
        <f t="shared" si="42"/>
        <v>3240</v>
      </c>
      <c r="Y190" s="44">
        <f t="shared" si="42"/>
        <v>0</v>
      </c>
      <c r="Z190" s="44">
        <f t="shared" si="42"/>
        <v>0</v>
      </c>
      <c r="AA190" s="44">
        <f t="shared" si="42"/>
        <v>0</v>
      </c>
      <c r="AB190" s="44">
        <f t="shared" si="42"/>
        <v>0</v>
      </c>
      <c r="AC190" s="44">
        <f t="shared" si="42"/>
        <v>0</v>
      </c>
      <c r="AD190" s="44">
        <f t="shared" si="42"/>
        <v>0</v>
      </c>
      <c r="AE190" s="44">
        <f t="shared" si="42"/>
        <v>0</v>
      </c>
      <c r="AF190" s="44">
        <f t="shared" si="42"/>
        <v>0</v>
      </c>
    </row>
    <row r="191" spans="1:32" x14ac:dyDescent="0.3">
      <c r="A191" s="38" t="s">
        <v>201</v>
      </c>
      <c r="B191" s="38" t="s">
        <v>174</v>
      </c>
      <c r="C191" s="38" t="s">
        <v>197</v>
      </c>
      <c r="D191" s="39" t="s">
        <v>176</v>
      </c>
      <c r="E191" s="39" t="s">
        <v>195</v>
      </c>
      <c r="F191" s="38" t="s">
        <v>124</v>
      </c>
      <c r="G191" s="38" t="s">
        <v>130</v>
      </c>
      <c r="H191" s="44">
        <v>12960</v>
      </c>
      <c r="I191" s="44"/>
      <c r="J191" s="44"/>
      <c r="K191" s="44"/>
      <c r="L191" s="44"/>
      <c r="M191" s="44"/>
      <c r="N191" s="44"/>
      <c r="O191" s="44"/>
      <c r="P191" s="44"/>
      <c r="Q191" s="44"/>
      <c r="R191" s="44"/>
      <c r="S191" s="44"/>
      <c r="T191" s="44">
        <v>3240</v>
      </c>
      <c r="U191" s="44">
        <v>3240</v>
      </c>
      <c r="V191" s="44">
        <v>1620</v>
      </c>
      <c r="W191" s="44">
        <v>1620</v>
      </c>
      <c r="X191" s="44">
        <v>3240</v>
      </c>
      <c r="Y191" s="44"/>
      <c r="Z191" s="44"/>
      <c r="AA191" s="44"/>
      <c r="AB191" s="44"/>
      <c r="AC191" s="44"/>
      <c r="AD191" s="44"/>
      <c r="AE191" s="44"/>
      <c r="AF191" s="44"/>
    </row>
    <row r="192" spans="1:32" x14ac:dyDescent="0.3">
      <c r="A192" s="38" t="s">
        <v>201</v>
      </c>
      <c r="B192" s="38" t="s">
        <v>174</v>
      </c>
      <c r="C192" s="38" t="s">
        <v>197</v>
      </c>
      <c r="D192" s="39" t="s">
        <v>176</v>
      </c>
      <c r="E192" s="39" t="s">
        <v>195</v>
      </c>
      <c r="F192" s="38" t="s">
        <v>137</v>
      </c>
      <c r="G192" s="38" t="s">
        <v>130</v>
      </c>
      <c r="H192" s="44">
        <f>SUM(I192:AF192)</f>
        <v>0</v>
      </c>
      <c r="I192" s="44"/>
      <c r="J192" s="44"/>
      <c r="K192" s="44"/>
      <c r="L192" s="44"/>
      <c r="M192" s="44"/>
      <c r="N192" s="44"/>
      <c r="O192" s="44"/>
      <c r="P192" s="44"/>
      <c r="Q192" s="44"/>
      <c r="R192" s="44"/>
      <c r="S192" s="44"/>
      <c r="T192" s="44"/>
      <c r="U192" s="44"/>
      <c r="V192" s="44"/>
      <c r="W192" s="44"/>
      <c r="X192" s="44"/>
      <c r="Y192" s="44"/>
      <c r="Z192" s="44"/>
      <c r="AA192" s="44"/>
      <c r="AB192" s="44"/>
      <c r="AC192" s="44"/>
      <c r="AD192" s="44"/>
      <c r="AE192" s="44"/>
      <c r="AF192" s="44"/>
    </row>
    <row r="193" spans="1:32" x14ac:dyDescent="0.3">
      <c r="A193" s="38" t="s">
        <v>201</v>
      </c>
      <c r="B193" s="38" t="s">
        <v>174</v>
      </c>
      <c r="C193" s="38" t="s">
        <v>197</v>
      </c>
      <c r="D193" s="39" t="s">
        <v>176</v>
      </c>
      <c r="E193" s="39" t="s">
        <v>195</v>
      </c>
      <c r="F193" s="38" t="s">
        <v>138</v>
      </c>
      <c r="G193" s="38" t="s">
        <v>130</v>
      </c>
      <c r="H193" s="44">
        <f>SUM(I193:AF193)</f>
        <v>0</v>
      </c>
      <c r="I193" s="44"/>
      <c r="J193" s="44"/>
      <c r="K193" s="44"/>
      <c r="L193" s="44"/>
      <c r="M193" s="44"/>
      <c r="N193" s="44"/>
      <c r="O193" s="44"/>
      <c r="P193" s="44"/>
      <c r="Q193" s="44"/>
      <c r="R193" s="44"/>
      <c r="S193" s="44"/>
      <c r="T193" s="44"/>
      <c r="U193" s="44"/>
      <c r="V193" s="44"/>
      <c r="W193" s="44"/>
      <c r="X193" s="44"/>
      <c r="Y193" s="44"/>
      <c r="Z193" s="44"/>
      <c r="AA193" s="44"/>
      <c r="AB193" s="44"/>
      <c r="AC193" s="44"/>
      <c r="AD193" s="44"/>
      <c r="AE193" s="44"/>
      <c r="AF193" s="44"/>
    </row>
    <row r="194" spans="1:32" x14ac:dyDescent="0.3">
      <c r="A194" s="38" t="s">
        <v>201</v>
      </c>
      <c r="B194" s="38" t="s">
        <v>174</v>
      </c>
      <c r="C194" s="38" t="s">
        <v>197</v>
      </c>
      <c r="D194" s="39" t="s">
        <v>176</v>
      </c>
      <c r="E194" s="39" t="s">
        <v>195</v>
      </c>
      <c r="F194" s="38" t="s">
        <v>139</v>
      </c>
      <c r="G194" s="38" t="s">
        <v>130</v>
      </c>
      <c r="H194" s="44">
        <v>12960</v>
      </c>
      <c r="I194" s="44"/>
      <c r="J194" s="44"/>
      <c r="K194" s="44"/>
      <c r="L194" s="44"/>
      <c r="M194" s="44"/>
      <c r="N194" s="44"/>
      <c r="O194" s="44"/>
      <c r="P194" s="44"/>
      <c r="Q194" s="44"/>
      <c r="R194" s="44"/>
      <c r="S194" s="44"/>
      <c r="T194" s="44">
        <v>3240</v>
      </c>
      <c r="U194" s="44">
        <v>3240</v>
      </c>
      <c r="V194" s="44">
        <v>1620</v>
      </c>
      <c r="W194" s="44">
        <v>1620</v>
      </c>
      <c r="X194" s="44">
        <v>3240</v>
      </c>
      <c r="Y194" s="44"/>
      <c r="Z194" s="44"/>
      <c r="AA194" s="44"/>
      <c r="AB194" s="44"/>
      <c r="AC194" s="44"/>
      <c r="AD194" s="44"/>
      <c r="AE194" s="44"/>
      <c r="AF194" s="44"/>
    </row>
    <row r="195" spans="1:32" x14ac:dyDescent="0.3">
      <c r="A195" s="38" t="s">
        <v>201</v>
      </c>
      <c r="B195" s="38" t="s">
        <v>174</v>
      </c>
      <c r="C195" s="38" t="s">
        <v>197</v>
      </c>
      <c r="D195" s="39" t="s">
        <v>176</v>
      </c>
      <c r="E195" s="39" t="s">
        <v>195</v>
      </c>
      <c r="F195" s="38" t="s">
        <v>140</v>
      </c>
      <c r="G195" s="38" t="s">
        <v>130</v>
      </c>
      <c r="H195" s="44"/>
      <c r="I195" s="44">
        <f>I190-(I185+I184)+(I189+I188+I187+I186)</f>
        <v>23312</v>
      </c>
      <c r="J195" s="44">
        <f t="shared" ref="J195:AF195" si="43">I195+J190-J185</f>
        <v>7112</v>
      </c>
      <c r="K195" s="44">
        <f t="shared" si="43"/>
        <v>-6607</v>
      </c>
      <c r="L195" s="44">
        <f t="shared" si="43"/>
        <v>-18452</v>
      </c>
      <c r="M195" s="44">
        <f t="shared" si="43"/>
        <v>-35762</v>
      </c>
      <c r="N195" s="44">
        <f t="shared" si="43"/>
        <v>-53453</v>
      </c>
      <c r="O195" s="44">
        <f t="shared" si="43"/>
        <v>-70473</v>
      </c>
      <c r="P195" s="44">
        <f t="shared" si="43"/>
        <v>-86743</v>
      </c>
      <c r="Q195" s="44">
        <f t="shared" si="43"/>
        <v>-102479</v>
      </c>
      <c r="R195" s="44">
        <f t="shared" si="43"/>
        <v>-117812</v>
      </c>
      <c r="S195" s="44">
        <f t="shared" si="43"/>
        <v>-133145</v>
      </c>
      <c r="T195" s="44">
        <f t="shared" si="43"/>
        <v>-145236</v>
      </c>
      <c r="U195" s="44">
        <f t="shared" si="43"/>
        <v>-156655</v>
      </c>
      <c r="V195" s="44">
        <f t="shared" si="43"/>
        <v>-165648</v>
      </c>
      <c r="W195" s="44">
        <f t="shared" si="43"/>
        <v>-174641</v>
      </c>
      <c r="X195" s="44">
        <f t="shared" si="43"/>
        <v>-182013</v>
      </c>
      <c r="Y195" s="44">
        <f t="shared" si="43"/>
        <v>-192625</v>
      </c>
      <c r="Z195" s="44">
        <f t="shared" si="43"/>
        <v>-206353</v>
      </c>
      <c r="AA195" s="44">
        <f t="shared" si="43"/>
        <v>-221329</v>
      </c>
      <c r="AB195" s="44">
        <f t="shared" si="43"/>
        <v>-236304</v>
      </c>
      <c r="AC195" s="44">
        <f t="shared" si="43"/>
        <v>-251279</v>
      </c>
      <c r="AD195" s="44">
        <f t="shared" si="43"/>
        <v>-265266</v>
      </c>
      <c r="AE195" s="44">
        <f t="shared" si="43"/>
        <v>-278860</v>
      </c>
      <c r="AF195" s="44">
        <f t="shared" si="43"/>
        <v>-292453</v>
      </c>
    </row>
    <row r="196" spans="1:32" ht="15" thickBot="1" x14ac:dyDescent="0.35">
      <c r="A196" s="40" t="s">
        <v>201</v>
      </c>
      <c r="B196" s="40" t="s">
        <v>174</v>
      </c>
      <c r="C196" s="40" t="s">
        <v>197</v>
      </c>
      <c r="D196" s="41" t="s">
        <v>176</v>
      </c>
      <c r="E196" s="41" t="s">
        <v>195</v>
      </c>
      <c r="F196" s="40" t="s">
        <v>141</v>
      </c>
      <c r="G196" s="40" t="s">
        <v>130</v>
      </c>
      <c r="H196" s="45"/>
      <c r="I196" s="45">
        <f>I190-I194</f>
        <v>0</v>
      </c>
      <c r="J196" s="45">
        <f t="shared" ref="J196:AF196" si="44">I196+J190-J194</f>
        <v>0</v>
      </c>
      <c r="K196" s="45">
        <f t="shared" si="44"/>
        <v>0</v>
      </c>
      <c r="L196" s="45">
        <f t="shared" si="44"/>
        <v>0</v>
      </c>
      <c r="M196" s="45">
        <f t="shared" si="44"/>
        <v>0</v>
      </c>
      <c r="N196" s="45">
        <f t="shared" si="44"/>
        <v>0</v>
      </c>
      <c r="O196" s="45">
        <f t="shared" si="44"/>
        <v>0</v>
      </c>
      <c r="P196" s="45">
        <f t="shared" si="44"/>
        <v>0</v>
      </c>
      <c r="Q196" s="45">
        <f t="shared" si="44"/>
        <v>0</v>
      </c>
      <c r="R196" s="45">
        <f t="shared" si="44"/>
        <v>0</v>
      </c>
      <c r="S196" s="45">
        <f t="shared" si="44"/>
        <v>0</v>
      </c>
      <c r="T196" s="45">
        <f t="shared" si="44"/>
        <v>0</v>
      </c>
      <c r="U196" s="45">
        <f t="shared" si="44"/>
        <v>0</v>
      </c>
      <c r="V196" s="45">
        <f t="shared" si="44"/>
        <v>0</v>
      </c>
      <c r="W196" s="45">
        <f t="shared" si="44"/>
        <v>0</v>
      </c>
      <c r="X196" s="45">
        <f t="shared" si="44"/>
        <v>0</v>
      </c>
      <c r="Y196" s="45">
        <f t="shared" si="44"/>
        <v>0</v>
      </c>
      <c r="Z196" s="45">
        <f t="shared" si="44"/>
        <v>0</v>
      </c>
      <c r="AA196" s="45">
        <f t="shared" si="44"/>
        <v>0</v>
      </c>
      <c r="AB196" s="45">
        <f t="shared" si="44"/>
        <v>0</v>
      </c>
      <c r="AC196" s="45">
        <f t="shared" si="44"/>
        <v>0</v>
      </c>
      <c r="AD196" s="45">
        <f t="shared" si="44"/>
        <v>0</v>
      </c>
      <c r="AE196" s="45">
        <f t="shared" si="44"/>
        <v>0</v>
      </c>
      <c r="AF196" s="45">
        <f t="shared" si="44"/>
        <v>0</v>
      </c>
    </row>
    <row r="197" spans="1:32" x14ac:dyDescent="0.3">
      <c r="A197" s="38" t="s">
        <v>201</v>
      </c>
      <c r="B197" s="38" t="s">
        <v>174</v>
      </c>
      <c r="C197" s="38" t="s">
        <v>197</v>
      </c>
      <c r="D197" s="39" t="s">
        <v>176</v>
      </c>
      <c r="E197" s="39" t="s">
        <v>177</v>
      </c>
      <c r="F197" s="38" t="s">
        <v>129</v>
      </c>
      <c r="G197" s="38" t="s">
        <v>130</v>
      </c>
      <c r="H197" s="44">
        <v>368547.75</v>
      </c>
      <c r="I197" s="44">
        <v>368547.75</v>
      </c>
      <c r="J197" s="44"/>
      <c r="K197" s="44"/>
      <c r="L197" s="44"/>
      <c r="M197" s="44"/>
      <c r="N197" s="44"/>
      <c r="O197" s="44"/>
      <c r="P197" s="44"/>
      <c r="Q197" s="44"/>
      <c r="R197" s="44"/>
      <c r="S197" s="44"/>
      <c r="T197" s="44"/>
      <c r="U197" s="44"/>
      <c r="V197" s="44"/>
      <c r="W197" s="44"/>
      <c r="X197" s="44"/>
      <c r="Y197" s="44"/>
      <c r="Z197" s="44"/>
      <c r="AA197" s="44"/>
      <c r="AB197" s="44"/>
      <c r="AC197" s="44"/>
      <c r="AD197" s="44"/>
      <c r="AE197" s="44"/>
      <c r="AF197" s="44"/>
    </row>
    <row r="198" spans="1:32" x14ac:dyDescent="0.3">
      <c r="A198" s="38" t="s">
        <v>201</v>
      </c>
      <c r="B198" s="38" t="s">
        <v>174</v>
      </c>
      <c r="C198" s="38" t="s">
        <v>197</v>
      </c>
      <c r="D198" s="39" t="s">
        <v>176</v>
      </c>
      <c r="E198" s="39" t="s">
        <v>177</v>
      </c>
      <c r="F198" s="38" t="s">
        <v>131</v>
      </c>
      <c r="G198" s="38" t="s">
        <v>130</v>
      </c>
      <c r="H198" s="44">
        <v>4685275</v>
      </c>
      <c r="I198" s="44">
        <v>217759.25</v>
      </c>
      <c r="J198" s="44">
        <v>300438.5</v>
      </c>
      <c r="K198" s="44">
        <v>348460.5</v>
      </c>
      <c r="L198" s="44">
        <v>244710</v>
      </c>
      <c r="M198" s="44">
        <v>303753.25</v>
      </c>
      <c r="N198" s="44">
        <v>331387</v>
      </c>
      <c r="O198" s="44">
        <v>236701.75</v>
      </c>
      <c r="P198" s="44">
        <v>238613.25</v>
      </c>
      <c r="Q198" s="44">
        <v>244364.5</v>
      </c>
      <c r="R198" s="44">
        <v>268389</v>
      </c>
      <c r="S198" s="44">
        <v>229310</v>
      </c>
      <c r="T198" s="44">
        <v>248684.25</v>
      </c>
      <c r="U198" s="44">
        <v>239690</v>
      </c>
      <c r="V198" s="44">
        <v>188427.25</v>
      </c>
      <c r="W198" s="44">
        <v>182638.75</v>
      </c>
      <c r="X198" s="44">
        <v>183257.5</v>
      </c>
      <c r="Y198" s="44">
        <v>173622.25</v>
      </c>
      <c r="Z198" s="44">
        <v>108494.5</v>
      </c>
      <c r="AA198" s="44">
        <v>83076.5</v>
      </c>
      <c r="AB198" s="44">
        <v>80288</v>
      </c>
      <c r="AC198" s="44">
        <v>79287.75</v>
      </c>
      <c r="AD198" s="44">
        <v>58061.75</v>
      </c>
      <c r="AE198" s="44">
        <v>48198.75</v>
      </c>
      <c r="AF198" s="44">
        <v>47660.75</v>
      </c>
    </row>
    <row r="199" spans="1:32" x14ac:dyDescent="0.3">
      <c r="A199" s="38" t="s">
        <v>201</v>
      </c>
      <c r="B199" s="38" t="s">
        <v>174</v>
      </c>
      <c r="C199" s="38" t="s">
        <v>197</v>
      </c>
      <c r="D199" s="39" t="s">
        <v>176</v>
      </c>
      <c r="E199" s="39" t="s">
        <v>177</v>
      </c>
      <c r="F199" s="38" t="s">
        <v>132</v>
      </c>
      <c r="G199" s="38" t="s">
        <v>130</v>
      </c>
      <c r="H199" s="44">
        <v>44604</v>
      </c>
      <c r="I199" s="44">
        <v>44604</v>
      </c>
      <c r="J199" s="44"/>
      <c r="K199" s="44"/>
      <c r="L199" s="44"/>
      <c r="M199" s="44"/>
      <c r="N199" s="44"/>
      <c r="O199" s="44"/>
      <c r="P199" s="44"/>
      <c r="Q199" s="44"/>
      <c r="R199" s="44"/>
      <c r="S199" s="44"/>
      <c r="T199" s="44"/>
      <c r="U199" s="44"/>
      <c r="V199" s="44"/>
      <c r="W199" s="44"/>
      <c r="X199" s="44"/>
      <c r="Y199" s="44"/>
      <c r="Z199" s="44"/>
      <c r="AA199" s="44"/>
      <c r="AB199" s="44"/>
      <c r="AC199" s="44"/>
      <c r="AD199" s="44"/>
      <c r="AE199" s="44"/>
      <c r="AF199" s="44"/>
    </row>
    <row r="200" spans="1:32" x14ac:dyDescent="0.3">
      <c r="A200" s="38" t="s">
        <v>201</v>
      </c>
      <c r="B200" s="38" t="s">
        <v>174</v>
      </c>
      <c r="C200" s="38" t="s">
        <v>197</v>
      </c>
      <c r="D200" s="39" t="s">
        <v>176</v>
      </c>
      <c r="E200" s="39" t="s">
        <v>177</v>
      </c>
      <c r="F200" s="38" t="s">
        <v>133</v>
      </c>
      <c r="G200" s="38" t="s">
        <v>130</v>
      </c>
      <c r="H200" s="44">
        <v>0</v>
      </c>
      <c r="I200" s="44">
        <v>0</v>
      </c>
      <c r="J200" s="44"/>
      <c r="K200" s="44"/>
      <c r="L200" s="44"/>
      <c r="M200" s="44"/>
      <c r="N200" s="44"/>
      <c r="O200" s="44"/>
      <c r="P200" s="44"/>
      <c r="Q200" s="44"/>
      <c r="R200" s="44"/>
      <c r="S200" s="44"/>
      <c r="T200" s="44"/>
      <c r="U200" s="44"/>
      <c r="V200" s="44"/>
      <c r="W200" s="44"/>
      <c r="X200" s="44"/>
      <c r="Y200" s="44"/>
      <c r="Z200" s="44"/>
      <c r="AA200" s="44"/>
      <c r="AB200" s="44"/>
      <c r="AC200" s="44"/>
      <c r="AD200" s="44"/>
      <c r="AE200" s="44"/>
      <c r="AF200" s="44"/>
    </row>
    <row r="201" spans="1:32" x14ac:dyDescent="0.3">
      <c r="A201" s="38" t="s">
        <v>201</v>
      </c>
      <c r="B201" s="38" t="s">
        <v>174</v>
      </c>
      <c r="C201" s="38" t="s">
        <v>197</v>
      </c>
      <c r="D201" s="39" t="s">
        <v>176</v>
      </c>
      <c r="E201" s="39" t="s">
        <v>177</v>
      </c>
      <c r="F201" s="38" t="s">
        <v>134</v>
      </c>
      <c r="G201" s="38" t="s">
        <v>130</v>
      </c>
      <c r="H201" s="44">
        <v>5413</v>
      </c>
      <c r="I201" s="44">
        <v>5413</v>
      </c>
      <c r="J201" s="44"/>
      <c r="K201" s="44"/>
      <c r="L201" s="44"/>
      <c r="M201" s="44"/>
      <c r="N201" s="44"/>
      <c r="O201" s="44"/>
      <c r="P201" s="44"/>
      <c r="Q201" s="44"/>
      <c r="R201" s="44"/>
      <c r="S201" s="44"/>
      <c r="T201" s="44"/>
      <c r="U201" s="44"/>
      <c r="V201" s="44"/>
      <c r="W201" s="44"/>
      <c r="X201" s="44"/>
      <c r="Y201" s="44"/>
      <c r="Z201" s="44"/>
      <c r="AA201" s="44"/>
      <c r="AB201" s="44"/>
      <c r="AC201" s="44"/>
      <c r="AD201" s="44"/>
      <c r="AE201" s="44"/>
      <c r="AF201" s="44"/>
    </row>
    <row r="202" spans="1:32" x14ac:dyDescent="0.3">
      <c r="A202" s="38" t="s">
        <v>201</v>
      </c>
      <c r="B202" s="38" t="s">
        <v>174</v>
      </c>
      <c r="C202" s="38" t="s">
        <v>197</v>
      </c>
      <c r="D202" s="39" t="s">
        <v>176</v>
      </c>
      <c r="E202" s="39" t="s">
        <v>177</v>
      </c>
      <c r="F202" s="38" t="s">
        <v>135</v>
      </c>
      <c r="G202" s="38" t="s">
        <v>130</v>
      </c>
      <c r="H202" s="44"/>
      <c r="I202" s="44"/>
      <c r="J202" s="44"/>
      <c r="K202" s="44"/>
      <c r="L202" s="44"/>
      <c r="M202" s="44"/>
      <c r="N202" s="44"/>
      <c r="O202" s="44"/>
      <c r="P202" s="44"/>
      <c r="Q202" s="44"/>
      <c r="R202" s="44"/>
      <c r="S202" s="44"/>
      <c r="T202" s="44"/>
      <c r="U202" s="44"/>
      <c r="V202" s="44"/>
      <c r="W202" s="44"/>
      <c r="X202" s="44"/>
      <c r="Y202" s="44"/>
      <c r="Z202" s="44"/>
      <c r="AA202" s="44"/>
      <c r="AB202" s="44"/>
      <c r="AC202" s="44"/>
      <c r="AD202" s="44"/>
      <c r="AE202" s="44"/>
      <c r="AF202" s="44"/>
    </row>
    <row r="203" spans="1:32" x14ac:dyDescent="0.3">
      <c r="A203" s="38" t="s">
        <v>201</v>
      </c>
      <c r="B203" s="38" t="s">
        <v>174</v>
      </c>
      <c r="C203" s="38" t="s">
        <v>197</v>
      </c>
      <c r="D203" s="39" t="s">
        <v>176</v>
      </c>
      <c r="E203" s="39" t="s">
        <v>177</v>
      </c>
      <c r="F203" s="38" t="s">
        <v>136</v>
      </c>
      <c r="G203" s="38" t="s">
        <v>130</v>
      </c>
      <c r="H203" s="44">
        <f>SUM(I203:AF203)</f>
        <v>134460</v>
      </c>
      <c r="I203" s="44">
        <f t="shared" ref="I203:AF203" si="45">IF(AND(ISBLANK(I206) = TRUE,ISBLANK(I205) = TRUE),I204,I205+I206)</f>
        <v>0</v>
      </c>
      <c r="J203" s="44">
        <f t="shared" si="45"/>
        <v>0</v>
      </c>
      <c r="K203" s="44">
        <f t="shared" si="45"/>
        <v>0</v>
      </c>
      <c r="L203" s="44">
        <f t="shared" si="45"/>
        <v>8100</v>
      </c>
      <c r="M203" s="44">
        <f t="shared" si="45"/>
        <v>8100</v>
      </c>
      <c r="N203" s="44">
        <f t="shared" si="45"/>
        <v>11340</v>
      </c>
      <c r="O203" s="44">
        <f t="shared" si="45"/>
        <v>11340</v>
      </c>
      <c r="P203" s="44">
        <f t="shared" si="45"/>
        <v>11340</v>
      </c>
      <c r="Q203" s="44">
        <f t="shared" si="45"/>
        <v>11340</v>
      </c>
      <c r="R203" s="44">
        <f t="shared" si="45"/>
        <v>11340</v>
      </c>
      <c r="S203" s="44">
        <f t="shared" si="45"/>
        <v>11340</v>
      </c>
      <c r="T203" s="44">
        <f t="shared" si="45"/>
        <v>11340</v>
      </c>
      <c r="U203" s="44">
        <f t="shared" si="45"/>
        <v>9720</v>
      </c>
      <c r="V203" s="44">
        <f t="shared" si="45"/>
        <v>9720</v>
      </c>
      <c r="W203" s="44">
        <f t="shared" si="45"/>
        <v>9720</v>
      </c>
      <c r="X203" s="44">
        <f t="shared" si="45"/>
        <v>9720</v>
      </c>
      <c r="Y203" s="44">
        <f t="shared" si="45"/>
        <v>0</v>
      </c>
      <c r="Z203" s="44">
        <f t="shared" si="45"/>
        <v>0</v>
      </c>
      <c r="AA203" s="44">
        <f t="shared" si="45"/>
        <v>0</v>
      </c>
      <c r="AB203" s="44">
        <f t="shared" si="45"/>
        <v>0</v>
      </c>
      <c r="AC203" s="44">
        <f t="shared" si="45"/>
        <v>0</v>
      </c>
      <c r="AD203" s="44">
        <f t="shared" si="45"/>
        <v>0</v>
      </c>
      <c r="AE203" s="44">
        <f t="shared" si="45"/>
        <v>0</v>
      </c>
      <c r="AF203" s="44">
        <f t="shared" si="45"/>
        <v>0</v>
      </c>
    </row>
    <row r="204" spans="1:32" x14ac:dyDescent="0.3">
      <c r="A204" s="38" t="s">
        <v>201</v>
      </c>
      <c r="B204" s="38" t="s">
        <v>174</v>
      </c>
      <c r="C204" s="38" t="s">
        <v>197</v>
      </c>
      <c r="D204" s="39" t="s">
        <v>176</v>
      </c>
      <c r="E204" s="39" t="s">
        <v>177</v>
      </c>
      <c r="F204" s="38" t="s">
        <v>124</v>
      </c>
      <c r="G204" s="38" t="s">
        <v>130</v>
      </c>
      <c r="H204" s="44">
        <v>134460</v>
      </c>
      <c r="I204" s="44"/>
      <c r="J204" s="44"/>
      <c r="K204" s="44"/>
      <c r="L204" s="44">
        <v>8100</v>
      </c>
      <c r="M204" s="44">
        <v>8100</v>
      </c>
      <c r="N204" s="44">
        <v>11340</v>
      </c>
      <c r="O204" s="44">
        <v>11340</v>
      </c>
      <c r="P204" s="44">
        <v>11340</v>
      </c>
      <c r="Q204" s="44">
        <v>11340</v>
      </c>
      <c r="R204" s="44">
        <v>11340</v>
      </c>
      <c r="S204" s="44">
        <v>11340</v>
      </c>
      <c r="T204" s="44">
        <v>11340</v>
      </c>
      <c r="U204" s="44">
        <v>9720</v>
      </c>
      <c r="V204" s="44">
        <v>9720</v>
      </c>
      <c r="W204" s="44">
        <v>9720</v>
      </c>
      <c r="X204" s="44">
        <v>9720</v>
      </c>
      <c r="Y204" s="44"/>
      <c r="Z204" s="44"/>
      <c r="AA204" s="44"/>
      <c r="AB204" s="44"/>
      <c r="AC204" s="44"/>
      <c r="AD204" s="44"/>
      <c r="AE204" s="44"/>
      <c r="AF204" s="44"/>
    </row>
    <row r="205" spans="1:32" x14ac:dyDescent="0.3">
      <c r="A205" s="38" t="s">
        <v>201</v>
      </c>
      <c r="B205" s="38" t="s">
        <v>174</v>
      </c>
      <c r="C205" s="38" t="s">
        <v>197</v>
      </c>
      <c r="D205" s="39" t="s">
        <v>176</v>
      </c>
      <c r="E205" s="39" t="s">
        <v>177</v>
      </c>
      <c r="F205" s="38" t="s">
        <v>137</v>
      </c>
      <c r="G205" s="38" t="s">
        <v>130</v>
      </c>
      <c r="H205" s="44">
        <f>SUM(I205:AF205)</f>
        <v>0</v>
      </c>
      <c r="I205" s="44"/>
      <c r="J205" s="44"/>
      <c r="K205" s="44"/>
      <c r="L205" s="44"/>
      <c r="M205" s="44"/>
      <c r="N205" s="44"/>
      <c r="O205" s="44"/>
      <c r="P205" s="44"/>
      <c r="Q205" s="44"/>
      <c r="R205" s="44"/>
      <c r="S205" s="44"/>
      <c r="T205" s="44"/>
      <c r="U205" s="44"/>
      <c r="V205" s="44"/>
      <c r="W205" s="44"/>
      <c r="X205" s="44"/>
      <c r="Y205" s="44"/>
      <c r="Z205" s="44"/>
      <c r="AA205" s="44"/>
      <c r="AB205" s="44"/>
      <c r="AC205" s="44"/>
      <c r="AD205" s="44"/>
      <c r="AE205" s="44"/>
      <c r="AF205" s="44"/>
    </row>
    <row r="206" spans="1:32" x14ac:dyDescent="0.3">
      <c r="A206" s="38" t="s">
        <v>201</v>
      </c>
      <c r="B206" s="38" t="s">
        <v>174</v>
      </c>
      <c r="C206" s="38" t="s">
        <v>197</v>
      </c>
      <c r="D206" s="39" t="s">
        <v>176</v>
      </c>
      <c r="E206" s="39" t="s">
        <v>177</v>
      </c>
      <c r="F206" s="38" t="s">
        <v>138</v>
      </c>
      <c r="G206" s="38" t="s">
        <v>130</v>
      </c>
      <c r="H206" s="44">
        <f>SUM(I206:AF206)</f>
        <v>0</v>
      </c>
      <c r="I206" s="44"/>
      <c r="J206" s="44"/>
      <c r="K206" s="44"/>
      <c r="L206" s="44"/>
      <c r="M206" s="44"/>
      <c r="N206" s="44"/>
      <c r="O206" s="44"/>
      <c r="P206" s="44"/>
      <c r="Q206" s="44"/>
      <c r="R206" s="44"/>
      <c r="S206" s="44"/>
      <c r="T206" s="44"/>
      <c r="U206" s="44"/>
      <c r="V206" s="44"/>
      <c r="W206" s="44"/>
      <c r="X206" s="44"/>
      <c r="Y206" s="44"/>
      <c r="Z206" s="44"/>
      <c r="AA206" s="44"/>
      <c r="AB206" s="44"/>
      <c r="AC206" s="44"/>
      <c r="AD206" s="44"/>
      <c r="AE206" s="44"/>
      <c r="AF206" s="44"/>
    </row>
    <row r="207" spans="1:32" x14ac:dyDescent="0.3">
      <c r="A207" s="38" t="s">
        <v>201</v>
      </c>
      <c r="B207" s="38" t="s">
        <v>174</v>
      </c>
      <c r="C207" s="38" t="s">
        <v>197</v>
      </c>
      <c r="D207" s="39" t="s">
        <v>176</v>
      </c>
      <c r="E207" s="39" t="s">
        <v>177</v>
      </c>
      <c r="F207" s="38" t="s">
        <v>139</v>
      </c>
      <c r="G207" s="38" t="s">
        <v>130</v>
      </c>
      <c r="H207" s="44">
        <v>134460</v>
      </c>
      <c r="I207" s="44"/>
      <c r="J207" s="44"/>
      <c r="K207" s="44"/>
      <c r="L207" s="44">
        <v>8100</v>
      </c>
      <c r="M207" s="44">
        <v>8100</v>
      </c>
      <c r="N207" s="44">
        <v>11340</v>
      </c>
      <c r="O207" s="44">
        <v>11340</v>
      </c>
      <c r="P207" s="44">
        <v>11340</v>
      </c>
      <c r="Q207" s="44">
        <v>11340</v>
      </c>
      <c r="R207" s="44">
        <v>11340</v>
      </c>
      <c r="S207" s="44">
        <v>11340</v>
      </c>
      <c r="T207" s="44">
        <v>11340</v>
      </c>
      <c r="U207" s="44">
        <v>9720</v>
      </c>
      <c r="V207" s="44">
        <v>9720</v>
      </c>
      <c r="W207" s="44">
        <v>9720</v>
      </c>
      <c r="X207" s="44">
        <v>9720</v>
      </c>
      <c r="Y207" s="44"/>
      <c r="Z207" s="44"/>
      <c r="AA207" s="44"/>
      <c r="AB207" s="44"/>
      <c r="AC207" s="44"/>
      <c r="AD207" s="44"/>
      <c r="AE207" s="44"/>
      <c r="AF207" s="44"/>
    </row>
    <row r="208" spans="1:32" x14ac:dyDescent="0.3">
      <c r="A208" s="38" t="s">
        <v>201</v>
      </c>
      <c r="B208" s="38" t="s">
        <v>174</v>
      </c>
      <c r="C208" s="38" t="s">
        <v>197</v>
      </c>
      <c r="D208" s="39" t="s">
        <v>176</v>
      </c>
      <c r="E208" s="39" t="s">
        <v>177</v>
      </c>
      <c r="F208" s="38" t="s">
        <v>140</v>
      </c>
      <c r="G208" s="38" t="s">
        <v>130</v>
      </c>
      <c r="H208" s="44"/>
      <c r="I208" s="44">
        <f>I203-(I198+I197)+(I202+I201+I200+I199)</f>
        <v>-536290</v>
      </c>
      <c r="J208" s="44">
        <f t="shared" ref="J208:AF208" si="46">I208+J203-J198</f>
        <v>-836728.5</v>
      </c>
      <c r="K208" s="44">
        <f t="shared" si="46"/>
        <v>-1185189</v>
      </c>
      <c r="L208" s="44">
        <f t="shared" si="46"/>
        <v>-1421799</v>
      </c>
      <c r="M208" s="44">
        <f t="shared" si="46"/>
        <v>-1717452.25</v>
      </c>
      <c r="N208" s="44">
        <f t="shared" si="46"/>
        <v>-2037499.25</v>
      </c>
      <c r="O208" s="44">
        <f t="shared" si="46"/>
        <v>-2262861</v>
      </c>
      <c r="P208" s="44">
        <f t="shared" si="46"/>
        <v>-2490134.25</v>
      </c>
      <c r="Q208" s="44">
        <f t="shared" si="46"/>
        <v>-2723158.75</v>
      </c>
      <c r="R208" s="44">
        <f t="shared" si="46"/>
        <v>-2980207.75</v>
      </c>
      <c r="S208" s="44">
        <f t="shared" si="46"/>
        <v>-3198177.75</v>
      </c>
      <c r="T208" s="44">
        <f t="shared" si="46"/>
        <v>-3435522</v>
      </c>
      <c r="U208" s="44">
        <f t="shared" si="46"/>
        <v>-3665492</v>
      </c>
      <c r="V208" s="44">
        <f t="shared" si="46"/>
        <v>-3844199.25</v>
      </c>
      <c r="W208" s="44">
        <f t="shared" si="46"/>
        <v>-4017118</v>
      </c>
      <c r="X208" s="44">
        <f t="shared" si="46"/>
        <v>-4190655.5</v>
      </c>
      <c r="Y208" s="44">
        <f t="shared" si="46"/>
        <v>-4364277.75</v>
      </c>
      <c r="Z208" s="44">
        <f t="shared" si="46"/>
        <v>-4472772.25</v>
      </c>
      <c r="AA208" s="44">
        <f t="shared" si="46"/>
        <v>-4555848.75</v>
      </c>
      <c r="AB208" s="44">
        <f t="shared" si="46"/>
        <v>-4636136.75</v>
      </c>
      <c r="AC208" s="44">
        <f t="shared" si="46"/>
        <v>-4715424.5</v>
      </c>
      <c r="AD208" s="44">
        <f t="shared" si="46"/>
        <v>-4773486.25</v>
      </c>
      <c r="AE208" s="44">
        <f t="shared" si="46"/>
        <v>-4821685</v>
      </c>
      <c r="AF208" s="44">
        <f t="shared" si="46"/>
        <v>-4869345.75</v>
      </c>
    </row>
    <row r="209" spans="1:32" ht="15" thickBot="1" x14ac:dyDescent="0.35">
      <c r="A209" s="40" t="s">
        <v>201</v>
      </c>
      <c r="B209" s="40" t="s">
        <v>174</v>
      </c>
      <c r="C209" s="40" t="s">
        <v>197</v>
      </c>
      <c r="D209" s="41" t="s">
        <v>176</v>
      </c>
      <c r="E209" s="41" t="s">
        <v>177</v>
      </c>
      <c r="F209" s="40" t="s">
        <v>141</v>
      </c>
      <c r="G209" s="40" t="s">
        <v>130</v>
      </c>
      <c r="H209" s="45"/>
      <c r="I209" s="45">
        <f>I203-I207</f>
        <v>0</v>
      </c>
      <c r="J209" s="45">
        <f t="shared" ref="J209:AF209" si="47">I209+J203-J207</f>
        <v>0</v>
      </c>
      <c r="K209" s="45">
        <f t="shared" si="47"/>
        <v>0</v>
      </c>
      <c r="L209" s="45">
        <f t="shared" si="47"/>
        <v>0</v>
      </c>
      <c r="M209" s="45">
        <f t="shared" si="47"/>
        <v>0</v>
      </c>
      <c r="N209" s="45">
        <f t="shared" si="47"/>
        <v>0</v>
      </c>
      <c r="O209" s="45">
        <f t="shared" si="47"/>
        <v>0</v>
      </c>
      <c r="P209" s="45">
        <f t="shared" si="47"/>
        <v>0</v>
      </c>
      <c r="Q209" s="45">
        <f t="shared" si="47"/>
        <v>0</v>
      </c>
      <c r="R209" s="45">
        <f t="shared" si="47"/>
        <v>0</v>
      </c>
      <c r="S209" s="45">
        <f t="shared" si="47"/>
        <v>0</v>
      </c>
      <c r="T209" s="45">
        <f t="shared" si="47"/>
        <v>0</v>
      </c>
      <c r="U209" s="45">
        <f t="shared" si="47"/>
        <v>0</v>
      </c>
      <c r="V209" s="45">
        <f t="shared" si="47"/>
        <v>0</v>
      </c>
      <c r="W209" s="45">
        <f t="shared" si="47"/>
        <v>0</v>
      </c>
      <c r="X209" s="45">
        <f t="shared" si="47"/>
        <v>0</v>
      </c>
      <c r="Y209" s="45">
        <f t="shared" si="47"/>
        <v>0</v>
      </c>
      <c r="Z209" s="45">
        <f t="shared" si="47"/>
        <v>0</v>
      </c>
      <c r="AA209" s="45">
        <f t="shared" si="47"/>
        <v>0</v>
      </c>
      <c r="AB209" s="45">
        <f t="shared" si="47"/>
        <v>0</v>
      </c>
      <c r="AC209" s="45">
        <f t="shared" si="47"/>
        <v>0</v>
      </c>
      <c r="AD209" s="45">
        <f t="shared" si="47"/>
        <v>0</v>
      </c>
      <c r="AE209" s="45">
        <f t="shared" si="47"/>
        <v>0</v>
      </c>
      <c r="AF209" s="45">
        <f t="shared" si="47"/>
        <v>0</v>
      </c>
    </row>
    <row r="210" spans="1:32" x14ac:dyDescent="0.3">
      <c r="A210" s="38" t="s">
        <v>202</v>
      </c>
      <c r="B210" s="38" t="s">
        <v>174</v>
      </c>
      <c r="C210" s="38" t="s">
        <v>203</v>
      </c>
      <c r="D210" s="39" t="s">
        <v>198</v>
      </c>
      <c r="E210" s="39" t="s">
        <v>177</v>
      </c>
      <c r="F210" s="38" t="s">
        <v>129</v>
      </c>
      <c r="G210" s="38" t="s">
        <v>130</v>
      </c>
      <c r="H210" s="44">
        <v>410</v>
      </c>
      <c r="I210" s="44">
        <v>410</v>
      </c>
      <c r="J210" s="44"/>
      <c r="K210" s="44"/>
      <c r="L210" s="44"/>
      <c r="M210" s="44"/>
      <c r="N210" s="44"/>
      <c r="O210" s="44"/>
      <c r="P210" s="44"/>
      <c r="Q210" s="44"/>
      <c r="R210" s="44"/>
      <c r="S210" s="44"/>
      <c r="T210" s="44"/>
      <c r="U210" s="44"/>
      <c r="V210" s="44"/>
      <c r="W210" s="44"/>
      <c r="X210" s="44"/>
      <c r="Y210" s="44"/>
      <c r="Z210" s="44"/>
      <c r="AA210" s="44"/>
      <c r="AB210" s="44"/>
      <c r="AC210" s="44"/>
      <c r="AD210" s="44"/>
      <c r="AE210" s="44"/>
      <c r="AF210" s="44"/>
    </row>
    <row r="211" spans="1:32" x14ac:dyDescent="0.3">
      <c r="A211" s="38" t="s">
        <v>202</v>
      </c>
      <c r="B211" s="38" t="s">
        <v>174</v>
      </c>
      <c r="C211" s="38" t="s">
        <v>203</v>
      </c>
      <c r="D211" s="39" t="s">
        <v>198</v>
      </c>
      <c r="E211" s="39" t="s">
        <v>177</v>
      </c>
      <c r="F211" s="38" t="s">
        <v>131</v>
      </c>
      <c r="G211" s="38" t="s">
        <v>130</v>
      </c>
      <c r="H211" s="44">
        <v>47539</v>
      </c>
      <c r="I211" s="44">
        <v>708</v>
      </c>
      <c r="J211" s="44">
        <v>693</v>
      </c>
      <c r="K211" s="44">
        <v>611</v>
      </c>
      <c r="L211" s="44">
        <v>575</v>
      </c>
      <c r="M211" s="44">
        <v>389</v>
      </c>
      <c r="N211" s="44">
        <v>359</v>
      </c>
      <c r="O211" s="44">
        <v>359</v>
      </c>
      <c r="P211" s="44">
        <v>359</v>
      </c>
      <c r="Q211" s="44">
        <v>297</v>
      </c>
      <c r="R211" s="44">
        <v>249</v>
      </c>
      <c r="S211" s="44">
        <v>249</v>
      </c>
      <c r="T211" s="44">
        <v>248</v>
      </c>
      <c r="U211" s="44">
        <v>234</v>
      </c>
      <c r="V211" s="44">
        <v>149</v>
      </c>
      <c r="W211" s="44">
        <v>149</v>
      </c>
      <c r="X211" s="44">
        <v>149</v>
      </c>
      <c r="Y211" s="44">
        <v>149</v>
      </c>
      <c r="Z211" s="44">
        <v>120</v>
      </c>
      <c r="AA211" s="44">
        <v>111</v>
      </c>
      <c r="AB211" s="44">
        <v>1980</v>
      </c>
      <c r="AC211" s="44">
        <v>1980</v>
      </c>
      <c r="AD211" s="44">
        <v>10266</v>
      </c>
      <c r="AE211" s="44">
        <v>13579</v>
      </c>
      <c r="AF211" s="44">
        <v>13577</v>
      </c>
    </row>
    <row r="212" spans="1:32" x14ac:dyDescent="0.3">
      <c r="A212" s="38" t="s">
        <v>202</v>
      </c>
      <c r="B212" s="38" t="s">
        <v>174</v>
      </c>
      <c r="C212" s="38" t="s">
        <v>203</v>
      </c>
      <c r="D212" s="39" t="s">
        <v>198</v>
      </c>
      <c r="E212" s="39" t="s">
        <v>177</v>
      </c>
      <c r="F212" s="38" t="s">
        <v>132</v>
      </c>
      <c r="G212" s="38" t="s">
        <v>130</v>
      </c>
      <c r="H212" s="44">
        <v>234000</v>
      </c>
      <c r="I212" s="44">
        <v>234000</v>
      </c>
      <c r="J212" s="44"/>
      <c r="K212" s="44"/>
      <c r="L212" s="44"/>
      <c r="M212" s="44"/>
      <c r="N212" s="44"/>
      <c r="O212" s="44"/>
      <c r="P212" s="44"/>
      <c r="Q212" s="44"/>
      <c r="R212" s="44"/>
      <c r="S212" s="44"/>
      <c r="T212" s="44"/>
      <c r="U212" s="44"/>
      <c r="V212" s="44"/>
      <c r="W212" s="44"/>
      <c r="X212" s="44"/>
      <c r="Y212" s="44"/>
      <c r="Z212" s="44"/>
      <c r="AA212" s="44"/>
      <c r="AB212" s="44"/>
      <c r="AC212" s="44"/>
      <c r="AD212" s="44"/>
      <c r="AE212" s="44"/>
      <c r="AF212" s="44"/>
    </row>
    <row r="213" spans="1:32" x14ac:dyDescent="0.3">
      <c r="A213" s="38" t="s">
        <v>202</v>
      </c>
      <c r="B213" s="38" t="s">
        <v>174</v>
      </c>
      <c r="C213" s="38" t="s">
        <v>203</v>
      </c>
      <c r="D213" s="39" t="s">
        <v>198</v>
      </c>
      <c r="E213" s="39" t="s">
        <v>177</v>
      </c>
      <c r="F213" s="38" t="s">
        <v>133</v>
      </c>
      <c r="G213" s="38" t="s">
        <v>130</v>
      </c>
      <c r="H213" s="44">
        <v>0</v>
      </c>
      <c r="I213" s="44">
        <v>0</v>
      </c>
      <c r="J213" s="44"/>
      <c r="K213" s="44"/>
      <c r="L213" s="44"/>
      <c r="M213" s="44"/>
      <c r="N213" s="44"/>
      <c r="O213" s="44"/>
      <c r="P213" s="44"/>
      <c r="Q213" s="44"/>
      <c r="R213" s="44"/>
      <c r="S213" s="44"/>
      <c r="T213" s="44"/>
      <c r="U213" s="44"/>
      <c r="V213" s="44"/>
      <c r="W213" s="44"/>
      <c r="X213" s="44"/>
      <c r="Y213" s="44"/>
      <c r="Z213" s="44"/>
      <c r="AA213" s="44"/>
      <c r="AB213" s="44"/>
      <c r="AC213" s="44"/>
      <c r="AD213" s="44"/>
      <c r="AE213" s="44"/>
      <c r="AF213" s="44"/>
    </row>
    <row r="214" spans="1:32" x14ac:dyDescent="0.3">
      <c r="A214" s="38" t="s">
        <v>202</v>
      </c>
      <c r="B214" s="38" t="s">
        <v>174</v>
      </c>
      <c r="C214" s="38" t="s">
        <v>203</v>
      </c>
      <c r="D214" s="39" t="s">
        <v>198</v>
      </c>
      <c r="E214" s="39" t="s">
        <v>177</v>
      </c>
      <c r="F214" s="38" t="s">
        <v>134</v>
      </c>
      <c r="G214" s="38" t="s">
        <v>130</v>
      </c>
      <c r="H214" s="44">
        <v>17221</v>
      </c>
      <c r="I214" s="44">
        <v>17221</v>
      </c>
      <c r="J214" s="44"/>
      <c r="K214" s="44"/>
      <c r="L214" s="44"/>
      <c r="M214" s="44"/>
      <c r="N214" s="44"/>
      <c r="O214" s="44"/>
      <c r="P214" s="44"/>
      <c r="Q214" s="44"/>
      <c r="R214" s="44"/>
      <c r="S214" s="44"/>
      <c r="T214" s="44"/>
      <c r="U214" s="44"/>
      <c r="V214" s="44"/>
      <c r="W214" s="44"/>
      <c r="X214" s="44"/>
      <c r="Y214" s="44"/>
      <c r="Z214" s="44"/>
      <c r="AA214" s="44"/>
      <c r="AB214" s="44"/>
      <c r="AC214" s="44"/>
      <c r="AD214" s="44"/>
      <c r="AE214" s="44"/>
      <c r="AF214" s="44"/>
    </row>
    <row r="215" spans="1:32" x14ac:dyDescent="0.3">
      <c r="A215" s="38" t="s">
        <v>202</v>
      </c>
      <c r="B215" s="38" t="s">
        <v>174</v>
      </c>
      <c r="C215" s="38" t="s">
        <v>203</v>
      </c>
      <c r="D215" s="39" t="s">
        <v>198</v>
      </c>
      <c r="E215" s="39" t="s">
        <v>177</v>
      </c>
      <c r="F215" s="38" t="s">
        <v>135</v>
      </c>
      <c r="G215" s="38" t="s">
        <v>130</v>
      </c>
      <c r="H215" s="44"/>
      <c r="I215" s="44"/>
      <c r="J215" s="44"/>
      <c r="K215" s="44"/>
      <c r="L215" s="44"/>
      <c r="M215" s="44"/>
      <c r="N215" s="44"/>
      <c r="O215" s="44"/>
      <c r="P215" s="44"/>
      <c r="Q215" s="44"/>
      <c r="R215" s="44"/>
      <c r="S215" s="44"/>
      <c r="T215" s="44"/>
      <c r="U215" s="44"/>
      <c r="V215" s="44"/>
      <c r="W215" s="44"/>
      <c r="X215" s="44"/>
      <c r="Y215" s="44"/>
      <c r="Z215" s="44"/>
      <c r="AA215" s="44"/>
      <c r="AB215" s="44"/>
      <c r="AC215" s="44"/>
      <c r="AD215" s="44"/>
      <c r="AE215" s="44"/>
      <c r="AF215" s="44"/>
    </row>
    <row r="216" spans="1:32" x14ac:dyDescent="0.3">
      <c r="A216" s="38" t="s">
        <v>202</v>
      </c>
      <c r="B216" s="38" t="s">
        <v>174</v>
      </c>
      <c r="C216" s="38" t="s">
        <v>203</v>
      </c>
      <c r="D216" s="39" t="s">
        <v>198</v>
      </c>
      <c r="E216" s="39" t="s">
        <v>177</v>
      </c>
      <c r="F216" s="38" t="s">
        <v>136</v>
      </c>
      <c r="G216" s="38" t="s">
        <v>130</v>
      </c>
      <c r="H216" s="44">
        <f>SUM(I216:AF216)</f>
        <v>465592</v>
      </c>
      <c r="I216" s="44">
        <f t="shared" ref="I216:AF216" si="48">IF(AND(ISBLANK(I219) = TRUE,ISBLANK(I218) = TRUE),I217,I218+I219)</f>
        <v>20592</v>
      </c>
      <c r="J216" s="44">
        <f t="shared" si="48"/>
        <v>0</v>
      </c>
      <c r="K216" s="44">
        <f t="shared" si="48"/>
        <v>95000</v>
      </c>
      <c r="L216" s="44">
        <f t="shared" si="48"/>
        <v>50000</v>
      </c>
      <c r="M216" s="44">
        <f t="shared" si="48"/>
        <v>50000</v>
      </c>
      <c r="N216" s="44">
        <f t="shared" si="48"/>
        <v>50000</v>
      </c>
      <c r="O216" s="44">
        <f t="shared" si="48"/>
        <v>0</v>
      </c>
      <c r="P216" s="44">
        <f t="shared" si="48"/>
        <v>50000</v>
      </c>
      <c r="Q216" s="44">
        <f t="shared" si="48"/>
        <v>0</v>
      </c>
      <c r="R216" s="44">
        <f t="shared" si="48"/>
        <v>50000</v>
      </c>
      <c r="S216" s="44">
        <f t="shared" si="48"/>
        <v>0</v>
      </c>
      <c r="T216" s="44">
        <f t="shared" si="48"/>
        <v>0</v>
      </c>
      <c r="U216" s="44">
        <f t="shared" si="48"/>
        <v>50000</v>
      </c>
      <c r="V216" s="44">
        <f t="shared" si="48"/>
        <v>50000</v>
      </c>
      <c r="W216" s="44">
        <f t="shared" si="48"/>
        <v>0</v>
      </c>
      <c r="X216" s="44">
        <f t="shared" si="48"/>
        <v>0</v>
      </c>
      <c r="Y216" s="44">
        <f t="shared" si="48"/>
        <v>0</v>
      </c>
      <c r="Z216" s="44">
        <f t="shared" si="48"/>
        <v>0</v>
      </c>
      <c r="AA216" s="44">
        <f t="shared" si="48"/>
        <v>0</v>
      </c>
      <c r="AB216" s="44">
        <f t="shared" si="48"/>
        <v>0</v>
      </c>
      <c r="AC216" s="44">
        <f t="shared" si="48"/>
        <v>0</v>
      </c>
      <c r="AD216" s="44">
        <f t="shared" si="48"/>
        <v>0</v>
      </c>
      <c r="AE216" s="44">
        <f t="shared" si="48"/>
        <v>0</v>
      </c>
      <c r="AF216" s="44">
        <f t="shared" si="48"/>
        <v>0</v>
      </c>
    </row>
    <row r="217" spans="1:32" x14ac:dyDescent="0.3">
      <c r="A217" s="38" t="s">
        <v>202</v>
      </c>
      <c r="B217" s="38" t="s">
        <v>174</v>
      </c>
      <c r="C217" s="38" t="s">
        <v>203</v>
      </c>
      <c r="D217" s="39" t="s">
        <v>198</v>
      </c>
      <c r="E217" s="39" t="s">
        <v>177</v>
      </c>
      <c r="F217" s="38" t="s">
        <v>124</v>
      </c>
      <c r="G217" s="38" t="s">
        <v>130</v>
      </c>
      <c r="H217" s="44">
        <v>465592</v>
      </c>
      <c r="I217" s="44">
        <v>20592</v>
      </c>
      <c r="J217" s="44"/>
      <c r="K217" s="44">
        <v>95000</v>
      </c>
      <c r="L217" s="44">
        <v>50000</v>
      </c>
      <c r="M217" s="44">
        <v>50000</v>
      </c>
      <c r="N217" s="44">
        <v>50000</v>
      </c>
      <c r="O217" s="44"/>
      <c r="P217" s="44">
        <v>50000</v>
      </c>
      <c r="Q217" s="44"/>
      <c r="R217" s="44">
        <v>50000</v>
      </c>
      <c r="S217" s="44"/>
      <c r="T217" s="44"/>
      <c r="U217" s="44">
        <v>50000</v>
      </c>
      <c r="V217" s="44">
        <v>50000</v>
      </c>
      <c r="W217" s="44"/>
      <c r="X217" s="44"/>
      <c r="Y217" s="44"/>
      <c r="Z217" s="44"/>
      <c r="AA217" s="44"/>
      <c r="AB217" s="44"/>
      <c r="AC217" s="44"/>
      <c r="AD217" s="44"/>
      <c r="AE217" s="44"/>
      <c r="AF217" s="44"/>
    </row>
    <row r="218" spans="1:32" x14ac:dyDescent="0.3">
      <c r="A218" s="38" t="s">
        <v>202</v>
      </c>
      <c r="B218" s="38" t="s">
        <v>174</v>
      </c>
      <c r="C218" s="38" t="s">
        <v>203</v>
      </c>
      <c r="D218" s="39" t="s">
        <v>198</v>
      </c>
      <c r="E218" s="39" t="s">
        <v>177</v>
      </c>
      <c r="F218" s="38" t="s">
        <v>137</v>
      </c>
      <c r="G218" s="38" t="s">
        <v>130</v>
      </c>
      <c r="H218" s="44">
        <f>SUM(I218:AF218)</f>
        <v>0</v>
      </c>
      <c r="I218" s="44"/>
      <c r="J218" s="44"/>
      <c r="K218" s="44"/>
      <c r="L218" s="44"/>
      <c r="M218" s="44"/>
      <c r="N218" s="44"/>
      <c r="O218" s="44"/>
      <c r="P218" s="44"/>
      <c r="Q218" s="44"/>
      <c r="R218" s="44"/>
      <c r="S218" s="44"/>
      <c r="T218" s="44"/>
      <c r="U218" s="44"/>
      <c r="V218" s="44"/>
      <c r="W218" s="44"/>
      <c r="X218" s="44"/>
      <c r="Y218" s="44"/>
      <c r="Z218" s="44"/>
      <c r="AA218" s="44"/>
      <c r="AB218" s="44"/>
      <c r="AC218" s="44"/>
      <c r="AD218" s="44"/>
      <c r="AE218" s="44"/>
      <c r="AF218" s="44"/>
    </row>
    <row r="219" spans="1:32" x14ac:dyDescent="0.3">
      <c r="A219" s="38" t="s">
        <v>202</v>
      </c>
      <c r="B219" s="38" t="s">
        <v>174</v>
      </c>
      <c r="C219" s="38" t="s">
        <v>203</v>
      </c>
      <c r="D219" s="39" t="s">
        <v>198</v>
      </c>
      <c r="E219" s="39" t="s">
        <v>177</v>
      </c>
      <c r="F219" s="38" t="s">
        <v>138</v>
      </c>
      <c r="G219" s="38" t="s">
        <v>130</v>
      </c>
      <c r="H219" s="44">
        <f>SUM(I219:AF219)</f>
        <v>0</v>
      </c>
      <c r="I219" s="44"/>
      <c r="J219" s="44"/>
      <c r="K219" s="44"/>
      <c r="L219" s="44"/>
      <c r="M219" s="44"/>
      <c r="N219" s="44"/>
      <c r="O219" s="44"/>
      <c r="P219" s="44"/>
      <c r="Q219" s="44"/>
      <c r="R219" s="44"/>
      <c r="S219" s="44"/>
      <c r="T219" s="44"/>
      <c r="U219" s="44"/>
      <c r="V219" s="44"/>
      <c r="W219" s="44"/>
      <c r="X219" s="44"/>
      <c r="Y219" s="44"/>
      <c r="Z219" s="44"/>
      <c r="AA219" s="44"/>
      <c r="AB219" s="44"/>
      <c r="AC219" s="44"/>
      <c r="AD219" s="44"/>
      <c r="AE219" s="44"/>
      <c r="AF219" s="44"/>
    </row>
    <row r="220" spans="1:32" x14ac:dyDescent="0.3">
      <c r="A220" s="38" t="s">
        <v>202</v>
      </c>
      <c r="B220" s="38" t="s">
        <v>174</v>
      </c>
      <c r="C220" s="38" t="s">
        <v>203</v>
      </c>
      <c r="D220" s="39" t="s">
        <v>198</v>
      </c>
      <c r="E220" s="39" t="s">
        <v>177</v>
      </c>
      <c r="F220" s="38" t="s">
        <v>139</v>
      </c>
      <c r="G220" s="38" t="s">
        <v>130</v>
      </c>
      <c r="H220" s="44">
        <v>465592</v>
      </c>
      <c r="I220" s="44">
        <v>20592</v>
      </c>
      <c r="J220" s="44"/>
      <c r="K220" s="44">
        <v>95000</v>
      </c>
      <c r="L220" s="44">
        <v>50000</v>
      </c>
      <c r="M220" s="44">
        <v>50000</v>
      </c>
      <c r="N220" s="44">
        <v>50000</v>
      </c>
      <c r="O220" s="44"/>
      <c r="P220" s="44">
        <v>50000</v>
      </c>
      <c r="Q220" s="44"/>
      <c r="R220" s="44">
        <v>50000</v>
      </c>
      <c r="S220" s="44"/>
      <c r="T220" s="44"/>
      <c r="U220" s="44">
        <v>50000</v>
      </c>
      <c r="V220" s="44">
        <v>50000</v>
      </c>
      <c r="W220" s="44"/>
      <c r="X220" s="44"/>
      <c r="Y220" s="44"/>
      <c r="Z220" s="44"/>
      <c r="AA220" s="44"/>
      <c r="AB220" s="44"/>
      <c r="AC220" s="44"/>
      <c r="AD220" s="44"/>
      <c r="AE220" s="44"/>
      <c r="AF220" s="44"/>
    </row>
    <row r="221" spans="1:32" x14ac:dyDescent="0.3">
      <c r="A221" s="38" t="s">
        <v>202</v>
      </c>
      <c r="B221" s="38" t="s">
        <v>174</v>
      </c>
      <c r="C221" s="38" t="s">
        <v>203</v>
      </c>
      <c r="D221" s="39" t="s">
        <v>198</v>
      </c>
      <c r="E221" s="39" t="s">
        <v>177</v>
      </c>
      <c r="F221" s="38" t="s">
        <v>140</v>
      </c>
      <c r="G221" s="38" t="s">
        <v>130</v>
      </c>
      <c r="H221" s="44"/>
      <c r="I221" s="44">
        <f>I216-(I211+I210)+(I215+I214+I213+I212)</f>
        <v>270695</v>
      </c>
      <c r="J221" s="44">
        <f t="shared" ref="J221:AF221" si="49">I221+J216-J211</f>
        <v>270002</v>
      </c>
      <c r="K221" s="44">
        <f t="shared" si="49"/>
        <v>364391</v>
      </c>
      <c r="L221" s="44">
        <f t="shared" si="49"/>
        <v>413816</v>
      </c>
      <c r="M221" s="44">
        <f t="shared" si="49"/>
        <v>463427</v>
      </c>
      <c r="N221" s="44">
        <f t="shared" si="49"/>
        <v>513068</v>
      </c>
      <c r="O221" s="44">
        <f t="shared" si="49"/>
        <v>512709</v>
      </c>
      <c r="P221" s="44">
        <f t="shared" si="49"/>
        <v>562350</v>
      </c>
      <c r="Q221" s="44">
        <f t="shared" si="49"/>
        <v>562053</v>
      </c>
      <c r="R221" s="44">
        <f t="shared" si="49"/>
        <v>611804</v>
      </c>
      <c r="S221" s="44">
        <f t="shared" si="49"/>
        <v>611555</v>
      </c>
      <c r="T221" s="44">
        <f t="shared" si="49"/>
        <v>611307</v>
      </c>
      <c r="U221" s="44">
        <f t="shared" si="49"/>
        <v>661073</v>
      </c>
      <c r="V221" s="44">
        <f t="shared" si="49"/>
        <v>710924</v>
      </c>
      <c r="W221" s="44">
        <f t="shared" si="49"/>
        <v>710775</v>
      </c>
      <c r="X221" s="44">
        <f t="shared" si="49"/>
        <v>710626</v>
      </c>
      <c r="Y221" s="44">
        <f t="shared" si="49"/>
        <v>710477</v>
      </c>
      <c r="Z221" s="44">
        <f t="shared" si="49"/>
        <v>710357</v>
      </c>
      <c r="AA221" s="44">
        <f t="shared" si="49"/>
        <v>710246</v>
      </c>
      <c r="AB221" s="44">
        <f t="shared" si="49"/>
        <v>708266</v>
      </c>
      <c r="AC221" s="44">
        <f t="shared" si="49"/>
        <v>706286</v>
      </c>
      <c r="AD221" s="44">
        <f t="shared" si="49"/>
        <v>696020</v>
      </c>
      <c r="AE221" s="44">
        <f t="shared" si="49"/>
        <v>682441</v>
      </c>
      <c r="AF221" s="44">
        <f t="shared" si="49"/>
        <v>668864</v>
      </c>
    </row>
    <row r="222" spans="1:32" ht="15" thickBot="1" x14ac:dyDescent="0.35">
      <c r="A222" s="40" t="s">
        <v>202</v>
      </c>
      <c r="B222" s="40" t="s">
        <v>174</v>
      </c>
      <c r="C222" s="40" t="s">
        <v>203</v>
      </c>
      <c r="D222" s="41" t="s">
        <v>198</v>
      </c>
      <c r="E222" s="41" t="s">
        <v>177</v>
      </c>
      <c r="F222" s="40" t="s">
        <v>141</v>
      </c>
      <c r="G222" s="40" t="s">
        <v>130</v>
      </c>
      <c r="H222" s="45"/>
      <c r="I222" s="45">
        <f>I216-I220</f>
        <v>0</v>
      </c>
      <c r="J222" s="45">
        <f t="shared" ref="J222:AF222" si="50">I222+J216-J220</f>
        <v>0</v>
      </c>
      <c r="K222" s="45">
        <f t="shared" si="50"/>
        <v>0</v>
      </c>
      <c r="L222" s="45">
        <f t="shared" si="50"/>
        <v>0</v>
      </c>
      <c r="M222" s="45">
        <f t="shared" si="50"/>
        <v>0</v>
      </c>
      <c r="N222" s="45">
        <f t="shared" si="50"/>
        <v>0</v>
      </c>
      <c r="O222" s="45">
        <f t="shared" si="50"/>
        <v>0</v>
      </c>
      <c r="P222" s="45">
        <f t="shared" si="50"/>
        <v>0</v>
      </c>
      <c r="Q222" s="45">
        <f t="shared" si="50"/>
        <v>0</v>
      </c>
      <c r="R222" s="45">
        <f t="shared" si="50"/>
        <v>0</v>
      </c>
      <c r="S222" s="45">
        <f t="shared" si="50"/>
        <v>0</v>
      </c>
      <c r="T222" s="45">
        <f t="shared" si="50"/>
        <v>0</v>
      </c>
      <c r="U222" s="45">
        <f t="shared" si="50"/>
        <v>0</v>
      </c>
      <c r="V222" s="45">
        <f t="shared" si="50"/>
        <v>0</v>
      </c>
      <c r="W222" s="45">
        <f t="shared" si="50"/>
        <v>0</v>
      </c>
      <c r="X222" s="45">
        <f t="shared" si="50"/>
        <v>0</v>
      </c>
      <c r="Y222" s="45">
        <f t="shared" si="50"/>
        <v>0</v>
      </c>
      <c r="Z222" s="45">
        <f t="shared" si="50"/>
        <v>0</v>
      </c>
      <c r="AA222" s="45">
        <f t="shared" si="50"/>
        <v>0</v>
      </c>
      <c r="AB222" s="45">
        <f t="shared" si="50"/>
        <v>0</v>
      </c>
      <c r="AC222" s="45">
        <f t="shared" si="50"/>
        <v>0</v>
      </c>
      <c r="AD222" s="45">
        <f t="shared" si="50"/>
        <v>0</v>
      </c>
      <c r="AE222" s="45">
        <f t="shared" si="50"/>
        <v>0</v>
      </c>
      <c r="AF222" s="45">
        <f t="shared" si="50"/>
        <v>0</v>
      </c>
    </row>
    <row r="223" spans="1:32" x14ac:dyDescent="0.3">
      <c r="A223" s="38" t="s">
        <v>204</v>
      </c>
      <c r="B223" s="38" t="s">
        <v>174</v>
      </c>
      <c r="C223" s="38" t="s">
        <v>203</v>
      </c>
      <c r="D223" s="39" t="s">
        <v>183</v>
      </c>
      <c r="E223" s="39" t="s">
        <v>177</v>
      </c>
      <c r="F223" s="38" t="s">
        <v>129</v>
      </c>
      <c r="G223" s="38" t="s">
        <v>130</v>
      </c>
      <c r="H223" s="44">
        <v>48863</v>
      </c>
      <c r="I223" s="44">
        <v>48863</v>
      </c>
      <c r="J223" s="44"/>
      <c r="K223" s="44"/>
      <c r="L223" s="44"/>
      <c r="M223" s="44"/>
      <c r="N223" s="44"/>
      <c r="O223" s="44"/>
      <c r="P223" s="44"/>
      <c r="Q223" s="44"/>
      <c r="R223" s="44"/>
      <c r="S223" s="44"/>
      <c r="T223" s="44"/>
      <c r="U223" s="44"/>
      <c r="V223" s="44"/>
      <c r="W223" s="44"/>
      <c r="X223" s="44"/>
      <c r="Y223" s="44"/>
      <c r="Z223" s="44"/>
      <c r="AA223" s="44"/>
      <c r="AB223" s="44"/>
      <c r="AC223" s="44"/>
      <c r="AD223" s="44"/>
      <c r="AE223" s="44"/>
      <c r="AF223" s="44"/>
    </row>
    <row r="224" spans="1:32" x14ac:dyDescent="0.3">
      <c r="A224" s="38" t="s">
        <v>204</v>
      </c>
      <c r="B224" s="38" t="s">
        <v>174</v>
      </c>
      <c r="C224" s="38" t="s">
        <v>203</v>
      </c>
      <c r="D224" s="39" t="s">
        <v>183</v>
      </c>
      <c r="E224" s="39" t="s">
        <v>177</v>
      </c>
      <c r="F224" s="38" t="s">
        <v>131</v>
      </c>
      <c r="G224" s="38" t="s">
        <v>130</v>
      </c>
      <c r="H224" s="44">
        <v>738225</v>
      </c>
      <c r="I224" s="44">
        <v>58397</v>
      </c>
      <c r="J224" s="44">
        <v>53311</v>
      </c>
      <c r="K224" s="44">
        <v>51211</v>
      </c>
      <c r="L224" s="44">
        <v>31991</v>
      </c>
      <c r="M224" s="44">
        <v>44179</v>
      </c>
      <c r="N224" s="44">
        <v>50046</v>
      </c>
      <c r="O224" s="44">
        <v>38596</v>
      </c>
      <c r="P224" s="44">
        <v>33053</v>
      </c>
      <c r="Q224" s="44">
        <v>35039</v>
      </c>
      <c r="R224" s="44">
        <v>38121</v>
      </c>
      <c r="S224" s="44">
        <v>28883</v>
      </c>
      <c r="T224" s="44">
        <v>30207</v>
      </c>
      <c r="U224" s="44">
        <v>28521</v>
      </c>
      <c r="V224" s="44">
        <v>29788</v>
      </c>
      <c r="W224" s="44">
        <v>24039</v>
      </c>
      <c r="X224" s="44">
        <v>25519</v>
      </c>
      <c r="Y224" s="44">
        <v>24228</v>
      </c>
      <c r="Z224" s="44">
        <v>22201</v>
      </c>
      <c r="AA224" s="44">
        <v>21842</v>
      </c>
      <c r="AB224" s="44">
        <v>20158</v>
      </c>
      <c r="AC224" s="44">
        <v>18027</v>
      </c>
      <c r="AD224" s="44">
        <v>12805</v>
      </c>
      <c r="AE224" s="44">
        <v>9040</v>
      </c>
      <c r="AF224" s="44">
        <v>9023</v>
      </c>
    </row>
    <row r="225" spans="1:32" x14ac:dyDescent="0.3">
      <c r="A225" s="38" t="s">
        <v>204</v>
      </c>
      <c r="B225" s="38" t="s">
        <v>174</v>
      </c>
      <c r="C225" s="38" t="s">
        <v>203</v>
      </c>
      <c r="D225" s="39" t="s">
        <v>183</v>
      </c>
      <c r="E225" s="39" t="s">
        <v>177</v>
      </c>
      <c r="F225" s="38" t="s">
        <v>132</v>
      </c>
      <c r="G225" s="38" t="s">
        <v>130</v>
      </c>
      <c r="H225" s="44">
        <v>90000</v>
      </c>
      <c r="I225" s="44">
        <v>90000</v>
      </c>
      <c r="J225" s="44"/>
      <c r="K225" s="44"/>
      <c r="L225" s="44"/>
      <c r="M225" s="44"/>
      <c r="N225" s="44"/>
      <c r="O225" s="44"/>
      <c r="P225" s="44"/>
      <c r="Q225" s="44"/>
      <c r="R225" s="44"/>
      <c r="S225" s="44"/>
      <c r="T225" s="44"/>
      <c r="U225" s="44"/>
      <c r="V225" s="44"/>
      <c r="W225" s="44"/>
      <c r="X225" s="44"/>
      <c r="Y225" s="44"/>
      <c r="Z225" s="44"/>
      <c r="AA225" s="44"/>
      <c r="AB225" s="44"/>
      <c r="AC225" s="44"/>
      <c r="AD225" s="44"/>
      <c r="AE225" s="44"/>
      <c r="AF225" s="44"/>
    </row>
    <row r="226" spans="1:32" x14ac:dyDescent="0.3">
      <c r="A226" s="38" t="s">
        <v>204</v>
      </c>
      <c r="B226" s="38" t="s">
        <v>174</v>
      </c>
      <c r="C226" s="38" t="s">
        <v>203</v>
      </c>
      <c r="D226" s="39" t="s">
        <v>183</v>
      </c>
      <c r="E226" s="39" t="s">
        <v>177</v>
      </c>
      <c r="F226" s="38" t="s">
        <v>133</v>
      </c>
      <c r="G226" s="38" t="s">
        <v>130</v>
      </c>
      <c r="H226" s="44">
        <v>0</v>
      </c>
      <c r="I226" s="44">
        <v>0</v>
      </c>
      <c r="J226" s="44"/>
      <c r="K226" s="44"/>
      <c r="L226" s="44"/>
      <c r="M226" s="44"/>
      <c r="N226" s="44"/>
      <c r="O226" s="44"/>
      <c r="P226" s="44"/>
      <c r="Q226" s="44"/>
      <c r="R226" s="44"/>
      <c r="S226" s="44"/>
      <c r="T226" s="44"/>
      <c r="U226" s="44"/>
      <c r="V226" s="44"/>
      <c r="W226" s="44"/>
      <c r="X226" s="44"/>
      <c r="Y226" s="44"/>
      <c r="Z226" s="44"/>
      <c r="AA226" s="44"/>
      <c r="AB226" s="44"/>
      <c r="AC226" s="44"/>
      <c r="AD226" s="44"/>
      <c r="AE226" s="44"/>
      <c r="AF226" s="44"/>
    </row>
    <row r="227" spans="1:32" x14ac:dyDescent="0.3">
      <c r="A227" s="38" t="s">
        <v>204</v>
      </c>
      <c r="B227" s="38" t="s">
        <v>174</v>
      </c>
      <c r="C227" s="38" t="s">
        <v>203</v>
      </c>
      <c r="D227" s="39" t="s">
        <v>183</v>
      </c>
      <c r="E227" s="39" t="s">
        <v>177</v>
      </c>
      <c r="F227" s="38" t="s">
        <v>134</v>
      </c>
      <c r="G227" s="38" t="s">
        <v>130</v>
      </c>
      <c r="H227" s="44">
        <v>11839</v>
      </c>
      <c r="I227" s="44">
        <v>11839</v>
      </c>
      <c r="J227" s="44"/>
      <c r="K227" s="44"/>
      <c r="L227" s="44"/>
      <c r="M227" s="44"/>
      <c r="N227" s="44"/>
      <c r="O227" s="44"/>
      <c r="P227" s="44"/>
      <c r="Q227" s="44"/>
      <c r="R227" s="44"/>
      <c r="S227" s="44"/>
      <c r="T227" s="44"/>
      <c r="U227" s="44"/>
      <c r="V227" s="44"/>
      <c r="W227" s="44"/>
      <c r="X227" s="44"/>
      <c r="Y227" s="44"/>
      <c r="Z227" s="44"/>
      <c r="AA227" s="44"/>
      <c r="AB227" s="44"/>
      <c r="AC227" s="44"/>
      <c r="AD227" s="44"/>
      <c r="AE227" s="44"/>
      <c r="AF227" s="44"/>
    </row>
    <row r="228" spans="1:32" x14ac:dyDescent="0.3">
      <c r="A228" s="38" t="s">
        <v>204</v>
      </c>
      <c r="B228" s="38" t="s">
        <v>174</v>
      </c>
      <c r="C228" s="38" t="s">
        <v>203</v>
      </c>
      <c r="D228" s="39" t="s">
        <v>183</v>
      </c>
      <c r="E228" s="39" t="s">
        <v>177</v>
      </c>
      <c r="F228" s="38" t="s">
        <v>135</v>
      </c>
      <c r="G228" s="38" t="s">
        <v>130</v>
      </c>
      <c r="H228" s="44"/>
      <c r="I228" s="44"/>
      <c r="J228" s="44"/>
      <c r="K228" s="44"/>
      <c r="L228" s="44"/>
      <c r="M228" s="44"/>
      <c r="N228" s="44"/>
      <c r="O228" s="44"/>
      <c r="P228" s="44"/>
      <c r="Q228" s="44"/>
      <c r="R228" s="44"/>
      <c r="S228" s="44"/>
      <c r="T228" s="44"/>
      <c r="U228" s="44"/>
      <c r="V228" s="44"/>
      <c r="W228" s="44"/>
      <c r="X228" s="44"/>
      <c r="Y228" s="44"/>
      <c r="Z228" s="44"/>
      <c r="AA228" s="44"/>
      <c r="AB228" s="44"/>
      <c r="AC228" s="44"/>
      <c r="AD228" s="44"/>
      <c r="AE228" s="44"/>
      <c r="AF228" s="44"/>
    </row>
    <row r="229" spans="1:32" x14ac:dyDescent="0.3">
      <c r="A229" s="38" t="s">
        <v>204</v>
      </c>
      <c r="B229" s="38" t="s">
        <v>174</v>
      </c>
      <c r="C229" s="38" t="s">
        <v>203</v>
      </c>
      <c r="D229" s="39" t="s">
        <v>183</v>
      </c>
      <c r="E229" s="39" t="s">
        <v>177</v>
      </c>
      <c r="F229" s="38" t="s">
        <v>136</v>
      </c>
      <c r="G229" s="38" t="s">
        <v>130</v>
      </c>
      <c r="H229" s="44">
        <f>SUM(I229:AF229)</f>
        <v>403200</v>
      </c>
      <c r="I229" s="44">
        <f t="shared" ref="I229:AF229" si="51">IF(AND(ISBLANK(I232) = TRUE,ISBLANK(I231) = TRUE),I230,I231+I232)</f>
        <v>28800</v>
      </c>
      <c r="J229" s="44">
        <f t="shared" si="51"/>
        <v>0</v>
      </c>
      <c r="K229" s="44">
        <f t="shared" si="51"/>
        <v>28800</v>
      </c>
      <c r="L229" s="44">
        <f t="shared" si="51"/>
        <v>28800</v>
      </c>
      <c r="M229" s="44">
        <f t="shared" si="51"/>
        <v>28800</v>
      </c>
      <c r="N229" s="44">
        <f t="shared" si="51"/>
        <v>28800</v>
      </c>
      <c r="O229" s="44">
        <f t="shared" si="51"/>
        <v>43200</v>
      </c>
      <c r="P229" s="44">
        <f t="shared" si="51"/>
        <v>28800</v>
      </c>
      <c r="Q229" s="44">
        <f t="shared" si="51"/>
        <v>28800</v>
      </c>
      <c r="R229" s="44">
        <f t="shared" si="51"/>
        <v>43200</v>
      </c>
      <c r="S229" s="44">
        <f t="shared" si="51"/>
        <v>28800</v>
      </c>
      <c r="T229" s="44">
        <f t="shared" si="51"/>
        <v>28800</v>
      </c>
      <c r="U229" s="44">
        <f t="shared" si="51"/>
        <v>28800</v>
      </c>
      <c r="V229" s="44">
        <f t="shared" si="51"/>
        <v>28800</v>
      </c>
      <c r="W229" s="44">
        <f t="shared" si="51"/>
        <v>0</v>
      </c>
      <c r="X229" s="44">
        <f t="shared" si="51"/>
        <v>0</v>
      </c>
      <c r="Y229" s="44">
        <f t="shared" si="51"/>
        <v>0</v>
      </c>
      <c r="Z229" s="44">
        <f t="shared" si="51"/>
        <v>0</v>
      </c>
      <c r="AA229" s="44">
        <f t="shared" si="51"/>
        <v>0</v>
      </c>
      <c r="AB229" s="44">
        <f t="shared" si="51"/>
        <v>0</v>
      </c>
      <c r="AC229" s="44">
        <f t="shared" si="51"/>
        <v>0</v>
      </c>
      <c r="AD229" s="44">
        <f t="shared" si="51"/>
        <v>0</v>
      </c>
      <c r="AE229" s="44">
        <f t="shared" si="51"/>
        <v>0</v>
      </c>
      <c r="AF229" s="44">
        <f t="shared" si="51"/>
        <v>0</v>
      </c>
    </row>
    <row r="230" spans="1:32" x14ac:dyDescent="0.3">
      <c r="A230" s="38" t="s">
        <v>204</v>
      </c>
      <c r="B230" s="38" t="s">
        <v>174</v>
      </c>
      <c r="C230" s="38" t="s">
        <v>203</v>
      </c>
      <c r="D230" s="39" t="s">
        <v>183</v>
      </c>
      <c r="E230" s="39" t="s">
        <v>177</v>
      </c>
      <c r="F230" s="38" t="s">
        <v>124</v>
      </c>
      <c r="G230" s="38" t="s">
        <v>130</v>
      </c>
      <c r="H230" s="44">
        <v>403200</v>
      </c>
      <c r="I230" s="44">
        <v>28800</v>
      </c>
      <c r="J230" s="44"/>
      <c r="K230" s="44">
        <v>28800</v>
      </c>
      <c r="L230" s="44">
        <v>28800</v>
      </c>
      <c r="M230" s="44">
        <v>28800</v>
      </c>
      <c r="N230" s="44">
        <v>28800</v>
      </c>
      <c r="O230" s="44">
        <v>43200</v>
      </c>
      <c r="P230" s="44">
        <v>28800</v>
      </c>
      <c r="Q230" s="44">
        <v>28800</v>
      </c>
      <c r="R230" s="44">
        <v>43200</v>
      </c>
      <c r="S230" s="44">
        <v>28800</v>
      </c>
      <c r="T230" s="44">
        <v>28800</v>
      </c>
      <c r="U230" s="44">
        <v>28800</v>
      </c>
      <c r="V230" s="44">
        <v>28800</v>
      </c>
      <c r="W230" s="44"/>
      <c r="X230" s="44"/>
      <c r="Y230" s="44"/>
      <c r="Z230" s="44"/>
      <c r="AA230" s="44"/>
      <c r="AB230" s="44"/>
      <c r="AC230" s="44"/>
      <c r="AD230" s="44"/>
      <c r="AE230" s="44"/>
      <c r="AF230" s="44"/>
    </row>
    <row r="231" spans="1:32" x14ac:dyDescent="0.3">
      <c r="A231" s="38" t="s">
        <v>204</v>
      </c>
      <c r="B231" s="38" t="s">
        <v>174</v>
      </c>
      <c r="C231" s="38" t="s">
        <v>203</v>
      </c>
      <c r="D231" s="39" t="s">
        <v>183</v>
      </c>
      <c r="E231" s="39" t="s">
        <v>177</v>
      </c>
      <c r="F231" s="38" t="s">
        <v>137</v>
      </c>
      <c r="G231" s="38" t="s">
        <v>130</v>
      </c>
      <c r="H231" s="44">
        <f>SUM(I231:AF231)</f>
        <v>0</v>
      </c>
      <c r="I231" s="44"/>
      <c r="J231" s="44"/>
      <c r="K231" s="44"/>
      <c r="L231" s="44"/>
      <c r="M231" s="44"/>
      <c r="N231" s="44"/>
      <c r="O231" s="44"/>
      <c r="P231" s="44"/>
      <c r="Q231" s="44"/>
      <c r="R231" s="44"/>
      <c r="S231" s="44"/>
      <c r="T231" s="44"/>
      <c r="U231" s="44"/>
      <c r="V231" s="44"/>
      <c r="W231" s="44"/>
      <c r="X231" s="44"/>
      <c r="Y231" s="44"/>
      <c r="Z231" s="44"/>
      <c r="AA231" s="44"/>
      <c r="AB231" s="44"/>
      <c r="AC231" s="44"/>
      <c r="AD231" s="44"/>
      <c r="AE231" s="44"/>
      <c r="AF231" s="44"/>
    </row>
    <row r="232" spans="1:32" x14ac:dyDescent="0.3">
      <c r="A232" s="38" t="s">
        <v>204</v>
      </c>
      <c r="B232" s="38" t="s">
        <v>174</v>
      </c>
      <c r="C232" s="38" t="s">
        <v>203</v>
      </c>
      <c r="D232" s="39" t="s">
        <v>183</v>
      </c>
      <c r="E232" s="39" t="s">
        <v>177</v>
      </c>
      <c r="F232" s="38" t="s">
        <v>138</v>
      </c>
      <c r="G232" s="38" t="s">
        <v>130</v>
      </c>
      <c r="H232" s="44">
        <f>SUM(I232:AF232)</f>
        <v>0</v>
      </c>
      <c r="I232" s="44"/>
      <c r="J232" s="44"/>
      <c r="K232" s="44"/>
      <c r="L232" s="44"/>
      <c r="M232" s="44"/>
      <c r="N232" s="44"/>
      <c r="O232" s="44"/>
      <c r="P232" s="44"/>
      <c r="Q232" s="44"/>
      <c r="R232" s="44"/>
      <c r="S232" s="44"/>
      <c r="T232" s="44"/>
      <c r="U232" s="44"/>
      <c r="V232" s="44"/>
      <c r="W232" s="44"/>
      <c r="X232" s="44"/>
      <c r="Y232" s="44"/>
      <c r="Z232" s="44"/>
      <c r="AA232" s="44"/>
      <c r="AB232" s="44"/>
      <c r="AC232" s="44"/>
      <c r="AD232" s="44"/>
      <c r="AE232" s="44"/>
      <c r="AF232" s="44"/>
    </row>
    <row r="233" spans="1:32" x14ac:dyDescent="0.3">
      <c r="A233" s="38" t="s">
        <v>204</v>
      </c>
      <c r="B233" s="38" t="s">
        <v>174</v>
      </c>
      <c r="C233" s="38" t="s">
        <v>203</v>
      </c>
      <c r="D233" s="39" t="s">
        <v>183</v>
      </c>
      <c r="E233" s="39" t="s">
        <v>177</v>
      </c>
      <c r="F233" s="38" t="s">
        <v>139</v>
      </c>
      <c r="G233" s="38" t="s">
        <v>130</v>
      </c>
      <c r="H233" s="44">
        <v>403200</v>
      </c>
      <c r="I233" s="44">
        <v>28800</v>
      </c>
      <c r="J233" s="44"/>
      <c r="K233" s="44">
        <v>28800</v>
      </c>
      <c r="L233" s="44">
        <v>28800</v>
      </c>
      <c r="M233" s="44">
        <v>28800</v>
      </c>
      <c r="N233" s="44">
        <v>28800</v>
      </c>
      <c r="O233" s="44">
        <v>43200</v>
      </c>
      <c r="P233" s="44">
        <v>28800</v>
      </c>
      <c r="Q233" s="44">
        <v>28800</v>
      </c>
      <c r="R233" s="44">
        <v>43200</v>
      </c>
      <c r="S233" s="44">
        <v>28800</v>
      </c>
      <c r="T233" s="44">
        <v>28800</v>
      </c>
      <c r="U233" s="44">
        <v>28800</v>
      </c>
      <c r="V233" s="44">
        <v>28800</v>
      </c>
      <c r="W233" s="44"/>
      <c r="X233" s="44"/>
      <c r="Y233" s="44"/>
      <c r="Z233" s="44"/>
      <c r="AA233" s="44"/>
      <c r="AB233" s="44"/>
      <c r="AC233" s="44"/>
      <c r="AD233" s="44"/>
      <c r="AE233" s="44"/>
      <c r="AF233" s="44"/>
    </row>
    <row r="234" spans="1:32" x14ac:dyDescent="0.3">
      <c r="A234" s="38" t="s">
        <v>204</v>
      </c>
      <c r="B234" s="38" t="s">
        <v>174</v>
      </c>
      <c r="C234" s="38" t="s">
        <v>203</v>
      </c>
      <c r="D234" s="39" t="s">
        <v>183</v>
      </c>
      <c r="E234" s="39" t="s">
        <v>177</v>
      </c>
      <c r="F234" s="38" t="s">
        <v>140</v>
      </c>
      <c r="G234" s="38" t="s">
        <v>130</v>
      </c>
      <c r="H234" s="44"/>
      <c r="I234" s="44">
        <f>I229-(I224+I223)+(I228+I227+I226+I225)</f>
        <v>23379</v>
      </c>
      <c r="J234" s="44">
        <f t="shared" ref="J234:AF234" si="52">I234+J229-J224</f>
        <v>-29932</v>
      </c>
      <c r="K234" s="44">
        <f t="shared" si="52"/>
        <v>-52343</v>
      </c>
      <c r="L234" s="44">
        <f t="shared" si="52"/>
        <v>-55534</v>
      </c>
      <c r="M234" s="44">
        <f t="shared" si="52"/>
        <v>-70913</v>
      </c>
      <c r="N234" s="44">
        <f t="shared" si="52"/>
        <v>-92159</v>
      </c>
      <c r="O234" s="44">
        <f t="shared" si="52"/>
        <v>-87555</v>
      </c>
      <c r="P234" s="44">
        <f t="shared" si="52"/>
        <v>-91808</v>
      </c>
      <c r="Q234" s="44">
        <f t="shared" si="52"/>
        <v>-98047</v>
      </c>
      <c r="R234" s="44">
        <f t="shared" si="52"/>
        <v>-92968</v>
      </c>
      <c r="S234" s="44">
        <f t="shared" si="52"/>
        <v>-93051</v>
      </c>
      <c r="T234" s="44">
        <f t="shared" si="52"/>
        <v>-94458</v>
      </c>
      <c r="U234" s="44">
        <f t="shared" si="52"/>
        <v>-94179</v>
      </c>
      <c r="V234" s="44">
        <f t="shared" si="52"/>
        <v>-95167</v>
      </c>
      <c r="W234" s="44">
        <f t="shared" si="52"/>
        <v>-119206</v>
      </c>
      <c r="X234" s="44">
        <f t="shared" si="52"/>
        <v>-144725</v>
      </c>
      <c r="Y234" s="44">
        <f t="shared" si="52"/>
        <v>-168953</v>
      </c>
      <c r="Z234" s="44">
        <f t="shared" si="52"/>
        <v>-191154</v>
      </c>
      <c r="AA234" s="44">
        <f t="shared" si="52"/>
        <v>-212996</v>
      </c>
      <c r="AB234" s="44">
        <f t="shared" si="52"/>
        <v>-233154</v>
      </c>
      <c r="AC234" s="44">
        <f t="shared" si="52"/>
        <v>-251181</v>
      </c>
      <c r="AD234" s="44">
        <f t="shared" si="52"/>
        <v>-263986</v>
      </c>
      <c r="AE234" s="44">
        <f t="shared" si="52"/>
        <v>-273026</v>
      </c>
      <c r="AF234" s="44">
        <f t="shared" si="52"/>
        <v>-282049</v>
      </c>
    </row>
    <row r="235" spans="1:32" ht="15" thickBot="1" x14ac:dyDescent="0.35">
      <c r="A235" s="40" t="s">
        <v>204</v>
      </c>
      <c r="B235" s="40" t="s">
        <v>174</v>
      </c>
      <c r="C235" s="40" t="s">
        <v>203</v>
      </c>
      <c r="D235" s="41" t="s">
        <v>183</v>
      </c>
      <c r="E235" s="41" t="s">
        <v>177</v>
      </c>
      <c r="F235" s="40" t="s">
        <v>141</v>
      </c>
      <c r="G235" s="40" t="s">
        <v>130</v>
      </c>
      <c r="H235" s="45"/>
      <c r="I235" s="45">
        <f>I229-I233</f>
        <v>0</v>
      </c>
      <c r="J235" s="45">
        <f t="shared" ref="J235:AF235" si="53">I235+J229-J233</f>
        <v>0</v>
      </c>
      <c r="K235" s="45">
        <f t="shared" si="53"/>
        <v>0</v>
      </c>
      <c r="L235" s="45">
        <f t="shared" si="53"/>
        <v>0</v>
      </c>
      <c r="M235" s="45">
        <f t="shared" si="53"/>
        <v>0</v>
      </c>
      <c r="N235" s="45">
        <f t="shared" si="53"/>
        <v>0</v>
      </c>
      <c r="O235" s="45">
        <f t="shared" si="53"/>
        <v>0</v>
      </c>
      <c r="P235" s="45">
        <f t="shared" si="53"/>
        <v>0</v>
      </c>
      <c r="Q235" s="45">
        <f t="shared" si="53"/>
        <v>0</v>
      </c>
      <c r="R235" s="45">
        <f t="shared" si="53"/>
        <v>0</v>
      </c>
      <c r="S235" s="45">
        <f t="shared" si="53"/>
        <v>0</v>
      </c>
      <c r="T235" s="45">
        <f t="shared" si="53"/>
        <v>0</v>
      </c>
      <c r="U235" s="45">
        <f t="shared" si="53"/>
        <v>0</v>
      </c>
      <c r="V235" s="45">
        <f t="shared" si="53"/>
        <v>0</v>
      </c>
      <c r="W235" s="45">
        <f t="shared" si="53"/>
        <v>0</v>
      </c>
      <c r="X235" s="45">
        <f t="shared" si="53"/>
        <v>0</v>
      </c>
      <c r="Y235" s="45">
        <f t="shared" si="53"/>
        <v>0</v>
      </c>
      <c r="Z235" s="45">
        <f t="shared" si="53"/>
        <v>0</v>
      </c>
      <c r="AA235" s="45">
        <f t="shared" si="53"/>
        <v>0</v>
      </c>
      <c r="AB235" s="45">
        <f t="shared" si="53"/>
        <v>0</v>
      </c>
      <c r="AC235" s="45">
        <f t="shared" si="53"/>
        <v>0</v>
      </c>
      <c r="AD235" s="45">
        <f t="shared" si="53"/>
        <v>0</v>
      </c>
      <c r="AE235" s="45">
        <f t="shared" si="53"/>
        <v>0</v>
      </c>
      <c r="AF235" s="45">
        <f t="shared" si="53"/>
        <v>0</v>
      </c>
    </row>
    <row r="236" spans="1:32" x14ac:dyDescent="0.3">
      <c r="A236" s="38" t="s">
        <v>205</v>
      </c>
      <c r="B236" s="38" t="s">
        <v>174</v>
      </c>
      <c r="C236" s="38" t="s">
        <v>203</v>
      </c>
      <c r="D236" s="39" t="s">
        <v>180</v>
      </c>
      <c r="E236" s="39" t="s">
        <v>177</v>
      </c>
      <c r="F236" s="38" t="s">
        <v>129</v>
      </c>
      <c r="G236" s="38" t="s">
        <v>130</v>
      </c>
      <c r="H236" s="44">
        <v>8611</v>
      </c>
      <c r="I236" s="44">
        <v>8611</v>
      </c>
      <c r="J236" s="44"/>
      <c r="K236" s="44"/>
      <c r="L236" s="44"/>
      <c r="M236" s="44"/>
      <c r="N236" s="44"/>
      <c r="O236" s="44"/>
      <c r="P236" s="44"/>
      <c r="Q236" s="44"/>
      <c r="R236" s="44"/>
      <c r="S236" s="44"/>
      <c r="T236" s="44"/>
      <c r="U236" s="44"/>
      <c r="V236" s="44"/>
      <c r="W236" s="44"/>
      <c r="X236" s="44"/>
      <c r="Y236" s="44"/>
      <c r="Z236" s="44"/>
      <c r="AA236" s="44"/>
      <c r="AB236" s="44"/>
      <c r="AC236" s="44"/>
      <c r="AD236" s="44"/>
      <c r="AE236" s="44"/>
      <c r="AF236" s="44"/>
    </row>
    <row r="237" spans="1:32" x14ac:dyDescent="0.3">
      <c r="A237" s="38" t="s">
        <v>205</v>
      </c>
      <c r="B237" s="38" t="s">
        <v>174</v>
      </c>
      <c r="C237" s="38" t="s">
        <v>203</v>
      </c>
      <c r="D237" s="39" t="s">
        <v>180</v>
      </c>
      <c r="E237" s="39" t="s">
        <v>177</v>
      </c>
      <c r="F237" s="38" t="s">
        <v>131</v>
      </c>
      <c r="G237" s="38" t="s">
        <v>130</v>
      </c>
      <c r="H237" s="44">
        <v>151234</v>
      </c>
      <c r="I237" s="44">
        <v>11896</v>
      </c>
      <c r="J237" s="44">
        <v>4739</v>
      </c>
      <c r="K237" s="44">
        <v>4705</v>
      </c>
      <c r="L237" s="44">
        <v>3429</v>
      </c>
      <c r="M237" s="44">
        <v>4508</v>
      </c>
      <c r="N237" s="44">
        <v>9299</v>
      </c>
      <c r="O237" s="44">
        <v>5689</v>
      </c>
      <c r="P237" s="44">
        <v>5237</v>
      </c>
      <c r="Q237" s="44">
        <v>11194</v>
      </c>
      <c r="R237" s="44">
        <v>24355</v>
      </c>
      <c r="S237" s="44">
        <v>5614</v>
      </c>
      <c r="T237" s="44">
        <v>4614</v>
      </c>
      <c r="U237" s="44">
        <v>4456</v>
      </c>
      <c r="V237" s="44">
        <v>14242</v>
      </c>
      <c r="W237" s="44">
        <v>4156</v>
      </c>
      <c r="X237" s="44">
        <v>4256</v>
      </c>
      <c r="Y237" s="44">
        <v>4156</v>
      </c>
      <c r="Z237" s="44">
        <v>3626</v>
      </c>
      <c r="AA237" s="44">
        <v>11214</v>
      </c>
      <c r="AB237" s="44">
        <v>3214</v>
      </c>
      <c r="AC237" s="44">
        <v>3064</v>
      </c>
      <c r="AD237" s="44">
        <v>1584</v>
      </c>
      <c r="AE237" s="44">
        <v>994</v>
      </c>
      <c r="AF237" s="44">
        <v>993</v>
      </c>
    </row>
    <row r="238" spans="1:32" x14ac:dyDescent="0.3">
      <c r="A238" s="38" t="s">
        <v>205</v>
      </c>
      <c r="B238" s="38" t="s">
        <v>174</v>
      </c>
      <c r="C238" s="38" t="s">
        <v>203</v>
      </c>
      <c r="D238" s="39" t="s">
        <v>180</v>
      </c>
      <c r="E238" s="39" t="s">
        <v>177</v>
      </c>
      <c r="F238" s="38" t="s">
        <v>132</v>
      </c>
      <c r="G238" s="38" t="s">
        <v>130</v>
      </c>
      <c r="H238" s="44">
        <v>149160</v>
      </c>
      <c r="I238" s="44">
        <v>149160</v>
      </c>
      <c r="J238" s="44"/>
      <c r="K238" s="44"/>
      <c r="L238" s="44"/>
      <c r="M238" s="44"/>
      <c r="N238" s="44"/>
      <c r="O238" s="44"/>
      <c r="P238" s="44"/>
      <c r="Q238" s="44"/>
      <c r="R238" s="44"/>
      <c r="S238" s="44"/>
      <c r="T238" s="44"/>
      <c r="U238" s="44"/>
      <c r="V238" s="44"/>
      <c r="W238" s="44"/>
      <c r="X238" s="44"/>
      <c r="Y238" s="44"/>
      <c r="Z238" s="44"/>
      <c r="AA238" s="44"/>
      <c r="AB238" s="44"/>
      <c r="AC238" s="44"/>
      <c r="AD238" s="44"/>
      <c r="AE238" s="44"/>
      <c r="AF238" s="44"/>
    </row>
    <row r="239" spans="1:32" x14ac:dyDescent="0.3">
      <c r="A239" s="38" t="s">
        <v>205</v>
      </c>
      <c r="B239" s="38" t="s">
        <v>174</v>
      </c>
      <c r="C239" s="38" t="s">
        <v>203</v>
      </c>
      <c r="D239" s="39" t="s">
        <v>180</v>
      </c>
      <c r="E239" s="39" t="s">
        <v>177</v>
      </c>
      <c r="F239" s="38" t="s">
        <v>133</v>
      </c>
      <c r="G239" s="38" t="s">
        <v>130</v>
      </c>
      <c r="H239" s="44">
        <v>0</v>
      </c>
      <c r="I239" s="44">
        <v>0</v>
      </c>
      <c r="J239" s="44"/>
      <c r="K239" s="44"/>
      <c r="L239" s="44"/>
      <c r="M239" s="44"/>
      <c r="N239" s="44"/>
      <c r="O239" s="44"/>
      <c r="P239" s="44"/>
      <c r="Q239" s="44"/>
      <c r="R239" s="44"/>
      <c r="S239" s="44"/>
      <c r="T239" s="44"/>
      <c r="U239" s="44"/>
      <c r="V239" s="44"/>
      <c r="W239" s="44"/>
      <c r="X239" s="44"/>
      <c r="Y239" s="44"/>
      <c r="Z239" s="44"/>
      <c r="AA239" s="44"/>
      <c r="AB239" s="44"/>
      <c r="AC239" s="44"/>
      <c r="AD239" s="44"/>
      <c r="AE239" s="44"/>
      <c r="AF239" s="44"/>
    </row>
    <row r="240" spans="1:32" x14ac:dyDescent="0.3">
      <c r="A240" s="38" t="s">
        <v>205</v>
      </c>
      <c r="B240" s="38" t="s">
        <v>174</v>
      </c>
      <c r="C240" s="38" t="s">
        <v>203</v>
      </c>
      <c r="D240" s="39" t="s">
        <v>180</v>
      </c>
      <c r="E240" s="39" t="s">
        <v>177</v>
      </c>
      <c r="F240" s="38" t="s">
        <v>134</v>
      </c>
      <c r="G240" s="38" t="s">
        <v>130</v>
      </c>
      <c r="H240" s="44">
        <v>5078</v>
      </c>
      <c r="I240" s="44">
        <v>5078</v>
      </c>
      <c r="J240" s="44"/>
      <c r="K240" s="44"/>
      <c r="L240" s="44"/>
      <c r="M240" s="44"/>
      <c r="N240" s="44"/>
      <c r="O240" s="44"/>
      <c r="P240" s="44"/>
      <c r="Q240" s="44"/>
      <c r="R240" s="44"/>
      <c r="S240" s="44"/>
      <c r="T240" s="44"/>
      <c r="U240" s="44"/>
      <c r="V240" s="44"/>
      <c r="W240" s="44"/>
      <c r="X240" s="44"/>
      <c r="Y240" s="44"/>
      <c r="Z240" s="44"/>
      <c r="AA240" s="44"/>
      <c r="AB240" s="44"/>
      <c r="AC240" s="44"/>
      <c r="AD240" s="44"/>
      <c r="AE240" s="44"/>
      <c r="AF240" s="44"/>
    </row>
    <row r="241" spans="1:32" x14ac:dyDescent="0.3">
      <c r="A241" s="38" t="s">
        <v>205</v>
      </c>
      <c r="B241" s="38" t="s">
        <v>174</v>
      </c>
      <c r="C241" s="38" t="s">
        <v>203</v>
      </c>
      <c r="D241" s="39" t="s">
        <v>180</v>
      </c>
      <c r="E241" s="39" t="s">
        <v>177</v>
      </c>
      <c r="F241" s="38" t="s">
        <v>135</v>
      </c>
      <c r="G241" s="38" t="s">
        <v>130</v>
      </c>
      <c r="H241" s="44"/>
      <c r="I241" s="44"/>
      <c r="J241" s="44"/>
      <c r="K241" s="44"/>
      <c r="L241" s="44"/>
      <c r="M241" s="44"/>
      <c r="N241" s="44"/>
      <c r="O241" s="44"/>
      <c r="P241" s="44"/>
      <c r="Q241" s="44"/>
      <c r="R241" s="44"/>
      <c r="S241" s="44"/>
      <c r="T241" s="44"/>
      <c r="U241" s="44"/>
      <c r="V241" s="44"/>
      <c r="W241" s="44"/>
      <c r="X241" s="44"/>
      <c r="Y241" s="44"/>
      <c r="Z241" s="44"/>
      <c r="AA241" s="44"/>
      <c r="AB241" s="44"/>
      <c r="AC241" s="44"/>
      <c r="AD241" s="44"/>
      <c r="AE241" s="44"/>
      <c r="AF241" s="44"/>
    </row>
    <row r="242" spans="1:32" x14ac:dyDescent="0.3">
      <c r="A242" s="38" t="s">
        <v>205</v>
      </c>
      <c r="B242" s="38" t="s">
        <v>174</v>
      </c>
      <c r="C242" s="38" t="s">
        <v>203</v>
      </c>
      <c r="D242" s="39" t="s">
        <v>180</v>
      </c>
      <c r="E242" s="39" t="s">
        <v>177</v>
      </c>
      <c r="F242" s="38" t="s">
        <v>136</v>
      </c>
      <c r="G242" s="38" t="s">
        <v>130</v>
      </c>
      <c r="H242" s="44">
        <f>SUM(I242:AF242)</f>
        <v>201600</v>
      </c>
      <c r="I242" s="44">
        <f t="shared" ref="I242:AF242" si="54">IF(AND(ISBLANK(I245) = TRUE,ISBLANK(I244) = TRUE),I243,I244+I245)</f>
        <v>0</v>
      </c>
      <c r="J242" s="44">
        <f t="shared" si="54"/>
        <v>0</v>
      </c>
      <c r="K242" s="44">
        <f t="shared" si="54"/>
        <v>0</v>
      </c>
      <c r="L242" s="44">
        <f t="shared" si="54"/>
        <v>0</v>
      </c>
      <c r="M242" s="44">
        <f t="shared" si="54"/>
        <v>14400</v>
      </c>
      <c r="N242" s="44">
        <f t="shared" si="54"/>
        <v>21600</v>
      </c>
      <c r="O242" s="44">
        <f t="shared" si="54"/>
        <v>21600</v>
      </c>
      <c r="P242" s="44">
        <f t="shared" si="54"/>
        <v>21600</v>
      </c>
      <c r="Q242" s="44">
        <f t="shared" si="54"/>
        <v>21600</v>
      </c>
      <c r="R242" s="44">
        <f t="shared" si="54"/>
        <v>21600</v>
      </c>
      <c r="S242" s="44">
        <f t="shared" si="54"/>
        <v>21600</v>
      </c>
      <c r="T242" s="44">
        <f t="shared" si="54"/>
        <v>14400</v>
      </c>
      <c r="U242" s="44">
        <f t="shared" si="54"/>
        <v>14400</v>
      </c>
      <c r="V242" s="44">
        <f t="shared" si="54"/>
        <v>14400</v>
      </c>
      <c r="W242" s="44">
        <f t="shared" si="54"/>
        <v>14400</v>
      </c>
      <c r="X242" s="44">
        <f t="shared" si="54"/>
        <v>0</v>
      </c>
      <c r="Y242" s="44">
        <f t="shared" si="54"/>
        <v>0</v>
      </c>
      <c r="Z242" s="44">
        <f t="shared" si="54"/>
        <v>0</v>
      </c>
      <c r="AA242" s="44">
        <f t="shared" si="54"/>
        <v>0</v>
      </c>
      <c r="AB242" s="44">
        <f t="shared" si="54"/>
        <v>0</v>
      </c>
      <c r="AC242" s="44">
        <f t="shared" si="54"/>
        <v>0</v>
      </c>
      <c r="AD242" s="44">
        <f t="shared" si="54"/>
        <v>0</v>
      </c>
      <c r="AE242" s="44">
        <f t="shared" si="54"/>
        <v>0</v>
      </c>
      <c r="AF242" s="44">
        <f t="shared" si="54"/>
        <v>0</v>
      </c>
    </row>
    <row r="243" spans="1:32" x14ac:dyDescent="0.3">
      <c r="A243" s="38" t="s">
        <v>205</v>
      </c>
      <c r="B243" s="38" t="s">
        <v>174</v>
      </c>
      <c r="C243" s="38" t="s">
        <v>203</v>
      </c>
      <c r="D243" s="39" t="s">
        <v>180</v>
      </c>
      <c r="E243" s="39" t="s">
        <v>177</v>
      </c>
      <c r="F243" s="38" t="s">
        <v>124</v>
      </c>
      <c r="G243" s="38" t="s">
        <v>130</v>
      </c>
      <c r="H243" s="44">
        <v>201600</v>
      </c>
      <c r="I243" s="44"/>
      <c r="J243" s="44"/>
      <c r="K243" s="44"/>
      <c r="L243" s="44"/>
      <c r="M243" s="44">
        <v>14400</v>
      </c>
      <c r="N243" s="44">
        <v>21600</v>
      </c>
      <c r="O243" s="44">
        <v>21600</v>
      </c>
      <c r="P243" s="44">
        <v>21600</v>
      </c>
      <c r="Q243" s="44">
        <v>21600</v>
      </c>
      <c r="R243" s="44">
        <v>21600</v>
      </c>
      <c r="S243" s="44">
        <v>21600</v>
      </c>
      <c r="T243" s="44">
        <v>14400</v>
      </c>
      <c r="U243" s="44">
        <v>14400</v>
      </c>
      <c r="V243" s="44">
        <v>14400</v>
      </c>
      <c r="W243" s="44">
        <v>14400</v>
      </c>
      <c r="X243" s="44"/>
      <c r="Y243" s="44"/>
      <c r="Z243" s="44"/>
      <c r="AA243" s="44"/>
      <c r="AB243" s="44"/>
      <c r="AC243" s="44"/>
      <c r="AD243" s="44"/>
      <c r="AE243" s="44"/>
      <c r="AF243" s="44"/>
    </row>
    <row r="244" spans="1:32" x14ac:dyDescent="0.3">
      <c r="A244" s="38" t="s">
        <v>205</v>
      </c>
      <c r="B244" s="38" t="s">
        <v>174</v>
      </c>
      <c r="C244" s="38" t="s">
        <v>203</v>
      </c>
      <c r="D244" s="39" t="s">
        <v>180</v>
      </c>
      <c r="E244" s="39" t="s">
        <v>177</v>
      </c>
      <c r="F244" s="38" t="s">
        <v>137</v>
      </c>
      <c r="G244" s="38" t="s">
        <v>130</v>
      </c>
      <c r="H244" s="44">
        <f>SUM(I244:AF244)</f>
        <v>0</v>
      </c>
      <c r="I244" s="44"/>
      <c r="J244" s="44"/>
      <c r="K244" s="44"/>
      <c r="L244" s="44"/>
      <c r="M244" s="44"/>
      <c r="N244" s="44"/>
      <c r="O244" s="44"/>
      <c r="P244" s="44"/>
      <c r="Q244" s="44"/>
      <c r="R244" s="44"/>
      <c r="S244" s="44"/>
      <c r="T244" s="44"/>
      <c r="U244" s="44"/>
      <c r="V244" s="44"/>
      <c r="W244" s="44"/>
      <c r="X244" s="44"/>
      <c r="Y244" s="44"/>
      <c r="Z244" s="44"/>
      <c r="AA244" s="44"/>
      <c r="AB244" s="44"/>
      <c r="AC244" s="44"/>
      <c r="AD244" s="44"/>
      <c r="AE244" s="44"/>
      <c r="AF244" s="44"/>
    </row>
    <row r="245" spans="1:32" x14ac:dyDescent="0.3">
      <c r="A245" s="38" t="s">
        <v>205</v>
      </c>
      <c r="B245" s="38" t="s">
        <v>174</v>
      </c>
      <c r="C245" s="38" t="s">
        <v>203</v>
      </c>
      <c r="D245" s="39" t="s">
        <v>180</v>
      </c>
      <c r="E245" s="39" t="s">
        <v>177</v>
      </c>
      <c r="F245" s="38" t="s">
        <v>138</v>
      </c>
      <c r="G245" s="38" t="s">
        <v>130</v>
      </c>
      <c r="H245" s="44">
        <f>SUM(I245:AF245)</f>
        <v>0</v>
      </c>
      <c r="I245" s="44"/>
      <c r="J245" s="44"/>
      <c r="K245" s="44"/>
      <c r="L245" s="44"/>
      <c r="M245" s="44"/>
      <c r="N245" s="44"/>
      <c r="O245" s="44"/>
      <c r="P245" s="44"/>
      <c r="Q245" s="44"/>
      <c r="R245" s="44"/>
      <c r="S245" s="44"/>
      <c r="T245" s="44"/>
      <c r="U245" s="44"/>
      <c r="V245" s="44"/>
      <c r="W245" s="44"/>
      <c r="X245" s="44"/>
      <c r="Y245" s="44"/>
      <c r="Z245" s="44"/>
      <c r="AA245" s="44"/>
      <c r="AB245" s="44"/>
      <c r="AC245" s="44"/>
      <c r="AD245" s="44"/>
      <c r="AE245" s="44"/>
      <c r="AF245" s="44"/>
    </row>
    <row r="246" spans="1:32" x14ac:dyDescent="0.3">
      <c r="A246" s="38" t="s">
        <v>205</v>
      </c>
      <c r="B246" s="38" t="s">
        <v>174</v>
      </c>
      <c r="C246" s="38" t="s">
        <v>203</v>
      </c>
      <c r="D246" s="39" t="s">
        <v>180</v>
      </c>
      <c r="E246" s="39" t="s">
        <v>177</v>
      </c>
      <c r="F246" s="38" t="s">
        <v>139</v>
      </c>
      <c r="G246" s="38" t="s">
        <v>130</v>
      </c>
      <c r="H246" s="44">
        <v>201600</v>
      </c>
      <c r="I246" s="44"/>
      <c r="J246" s="44"/>
      <c r="K246" s="44"/>
      <c r="L246" s="44"/>
      <c r="M246" s="44">
        <v>14400</v>
      </c>
      <c r="N246" s="44">
        <v>21600</v>
      </c>
      <c r="O246" s="44">
        <v>21600</v>
      </c>
      <c r="P246" s="44">
        <v>21600</v>
      </c>
      <c r="Q246" s="44">
        <v>21600</v>
      </c>
      <c r="R246" s="44">
        <v>21600</v>
      </c>
      <c r="S246" s="44">
        <v>21600</v>
      </c>
      <c r="T246" s="44">
        <v>14400</v>
      </c>
      <c r="U246" s="44">
        <v>14400</v>
      </c>
      <c r="V246" s="44">
        <v>14400</v>
      </c>
      <c r="W246" s="44">
        <v>14400</v>
      </c>
      <c r="X246" s="44"/>
      <c r="Y246" s="44"/>
      <c r="Z246" s="44"/>
      <c r="AA246" s="44"/>
      <c r="AB246" s="44"/>
      <c r="AC246" s="44"/>
      <c r="AD246" s="44"/>
      <c r="AE246" s="44"/>
      <c r="AF246" s="44"/>
    </row>
    <row r="247" spans="1:32" x14ac:dyDescent="0.3">
      <c r="A247" s="38" t="s">
        <v>205</v>
      </c>
      <c r="B247" s="38" t="s">
        <v>174</v>
      </c>
      <c r="C247" s="38" t="s">
        <v>203</v>
      </c>
      <c r="D247" s="39" t="s">
        <v>180</v>
      </c>
      <c r="E247" s="39" t="s">
        <v>177</v>
      </c>
      <c r="F247" s="38" t="s">
        <v>140</v>
      </c>
      <c r="G247" s="38" t="s">
        <v>130</v>
      </c>
      <c r="H247" s="44"/>
      <c r="I247" s="44">
        <f>I242-(I237+I236)+(I241+I240+I239+I238)</f>
        <v>133731</v>
      </c>
      <c r="J247" s="44">
        <f t="shared" ref="J247:AF247" si="55">I247+J242-J237</f>
        <v>128992</v>
      </c>
      <c r="K247" s="44">
        <f t="shared" si="55"/>
        <v>124287</v>
      </c>
      <c r="L247" s="44">
        <f t="shared" si="55"/>
        <v>120858</v>
      </c>
      <c r="M247" s="44">
        <f t="shared" si="55"/>
        <v>130750</v>
      </c>
      <c r="N247" s="44">
        <f t="shared" si="55"/>
        <v>143051</v>
      </c>
      <c r="O247" s="44">
        <f t="shared" si="55"/>
        <v>158962</v>
      </c>
      <c r="P247" s="44">
        <f t="shared" si="55"/>
        <v>175325</v>
      </c>
      <c r="Q247" s="44">
        <f t="shared" si="55"/>
        <v>185731</v>
      </c>
      <c r="R247" s="44">
        <f t="shared" si="55"/>
        <v>182976</v>
      </c>
      <c r="S247" s="44">
        <f t="shared" si="55"/>
        <v>198962</v>
      </c>
      <c r="T247" s="44">
        <f t="shared" si="55"/>
        <v>208748</v>
      </c>
      <c r="U247" s="44">
        <f t="shared" si="55"/>
        <v>218692</v>
      </c>
      <c r="V247" s="44">
        <f t="shared" si="55"/>
        <v>218850</v>
      </c>
      <c r="W247" s="44">
        <f t="shared" si="55"/>
        <v>229094</v>
      </c>
      <c r="X247" s="44">
        <f t="shared" si="55"/>
        <v>224838</v>
      </c>
      <c r="Y247" s="44">
        <f t="shared" si="55"/>
        <v>220682</v>
      </c>
      <c r="Z247" s="44">
        <f t="shared" si="55"/>
        <v>217056</v>
      </c>
      <c r="AA247" s="44">
        <f t="shared" si="55"/>
        <v>205842</v>
      </c>
      <c r="AB247" s="44">
        <f t="shared" si="55"/>
        <v>202628</v>
      </c>
      <c r="AC247" s="44">
        <f t="shared" si="55"/>
        <v>199564</v>
      </c>
      <c r="AD247" s="44">
        <f t="shared" si="55"/>
        <v>197980</v>
      </c>
      <c r="AE247" s="44">
        <f t="shared" si="55"/>
        <v>196986</v>
      </c>
      <c r="AF247" s="44">
        <f t="shared" si="55"/>
        <v>195993</v>
      </c>
    </row>
    <row r="248" spans="1:32" ht="15" thickBot="1" x14ac:dyDescent="0.35">
      <c r="A248" s="40" t="s">
        <v>205</v>
      </c>
      <c r="B248" s="40" t="s">
        <v>174</v>
      </c>
      <c r="C248" s="40" t="s">
        <v>203</v>
      </c>
      <c r="D248" s="41" t="s">
        <v>180</v>
      </c>
      <c r="E248" s="41" t="s">
        <v>177</v>
      </c>
      <c r="F248" s="40" t="s">
        <v>141</v>
      </c>
      <c r="G248" s="40" t="s">
        <v>130</v>
      </c>
      <c r="H248" s="45"/>
      <c r="I248" s="45">
        <f>I242-I246</f>
        <v>0</v>
      </c>
      <c r="J248" s="45">
        <f t="shared" ref="J248:AF248" si="56">I248+J242-J246</f>
        <v>0</v>
      </c>
      <c r="K248" s="45">
        <f t="shared" si="56"/>
        <v>0</v>
      </c>
      <c r="L248" s="45">
        <f t="shared" si="56"/>
        <v>0</v>
      </c>
      <c r="M248" s="45">
        <f t="shared" si="56"/>
        <v>0</v>
      </c>
      <c r="N248" s="45">
        <f t="shared" si="56"/>
        <v>0</v>
      </c>
      <c r="O248" s="45">
        <f t="shared" si="56"/>
        <v>0</v>
      </c>
      <c r="P248" s="45">
        <f t="shared" si="56"/>
        <v>0</v>
      </c>
      <c r="Q248" s="45">
        <f t="shared" si="56"/>
        <v>0</v>
      </c>
      <c r="R248" s="45">
        <f t="shared" si="56"/>
        <v>0</v>
      </c>
      <c r="S248" s="45">
        <f t="shared" si="56"/>
        <v>0</v>
      </c>
      <c r="T248" s="45">
        <f t="shared" si="56"/>
        <v>0</v>
      </c>
      <c r="U248" s="45">
        <f t="shared" si="56"/>
        <v>0</v>
      </c>
      <c r="V248" s="45">
        <f t="shared" si="56"/>
        <v>0</v>
      </c>
      <c r="W248" s="45">
        <f t="shared" si="56"/>
        <v>0</v>
      </c>
      <c r="X248" s="45">
        <f t="shared" si="56"/>
        <v>0</v>
      </c>
      <c r="Y248" s="45">
        <f t="shared" si="56"/>
        <v>0</v>
      </c>
      <c r="Z248" s="45">
        <f t="shared" si="56"/>
        <v>0</v>
      </c>
      <c r="AA248" s="45">
        <f t="shared" si="56"/>
        <v>0</v>
      </c>
      <c r="AB248" s="45">
        <f t="shared" si="56"/>
        <v>0</v>
      </c>
      <c r="AC248" s="45">
        <f t="shared" si="56"/>
        <v>0</v>
      </c>
      <c r="AD248" s="45">
        <f t="shared" si="56"/>
        <v>0</v>
      </c>
      <c r="AE248" s="45">
        <f t="shared" si="56"/>
        <v>0</v>
      </c>
      <c r="AF248" s="45">
        <f t="shared" si="56"/>
        <v>0</v>
      </c>
    </row>
    <row r="249" spans="1:32" x14ac:dyDescent="0.3">
      <c r="A249" s="38" t="s">
        <v>206</v>
      </c>
      <c r="B249" s="38" t="s">
        <v>174</v>
      </c>
      <c r="C249" s="38" t="s">
        <v>203</v>
      </c>
      <c r="D249" s="39" t="s">
        <v>176</v>
      </c>
      <c r="E249" s="39" t="s">
        <v>195</v>
      </c>
      <c r="F249" s="38" t="s">
        <v>129</v>
      </c>
      <c r="G249" s="38" t="s">
        <v>130</v>
      </c>
      <c r="H249" s="44">
        <v>1691</v>
      </c>
      <c r="I249" s="44">
        <v>1691</v>
      </c>
      <c r="J249" s="44"/>
      <c r="K249" s="44"/>
      <c r="L249" s="44"/>
      <c r="M249" s="44"/>
      <c r="N249" s="44"/>
      <c r="O249" s="44"/>
      <c r="P249" s="44"/>
      <c r="Q249" s="44"/>
      <c r="R249" s="44"/>
      <c r="S249" s="44"/>
      <c r="T249" s="44"/>
      <c r="U249" s="44"/>
      <c r="V249" s="44"/>
      <c r="W249" s="44"/>
      <c r="X249" s="44"/>
      <c r="Y249" s="44"/>
      <c r="Z249" s="44"/>
      <c r="AA249" s="44"/>
      <c r="AB249" s="44"/>
      <c r="AC249" s="44"/>
      <c r="AD249" s="44"/>
      <c r="AE249" s="44"/>
      <c r="AF249" s="44"/>
    </row>
    <row r="250" spans="1:32" x14ac:dyDescent="0.3">
      <c r="A250" s="38" t="s">
        <v>206</v>
      </c>
      <c r="B250" s="38" t="s">
        <v>174</v>
      </c>
      <c r="C250" s="38" t="s">
        <v>203</v>
      </c>
      <c r="D250" s="39" t="s">
        <v>176</v>
      </c>
      <c r="E250" s="39" t="s">
        <v>195</v>
      </c>
      <c r="F250" s="38" t="s">
        <v>131</v>
      </c>
      <c r="G250" s="38" t="s">
        <v>130</v>
      </c>
      <c r="H250" s="44">
        <v>8243</v>
      </c>
      <c r="I250" s="44">
        <v>531</v>
      </c>
      <c r="J250" s="44">
        <v>801</v>
      </c>
      <c r="K250" s="44">
        <v>812</v>
      </c>
      <c r="L250" s="44">
        <v>281</v>
      </c>
      <c r="M250" s="44">
        <v>295</v>
      </c>
      <c r="N250" s="44">
        <v>648</v>
      </c>
      <c r="O250" s="44">
        <v>337</v>
      </c>
      <c r="P250" s="44">
        <v>407</v>
      </c>
      <c r="Q250" s="44">
        <v>1090</v>
      </c>
      <c r="R250" s="44">
        <v>1127</v>
      </c>
      <c r="S250" s="44">
        <v>476</v>
      </c>
      <c r="T250" s="44">
        <v>476</v>
      </c>
      <c r="U250" s="44">
        <v>384</v>
      </c>
      <c r="V250" s="44">
        <v>132</v>
      </c>
      <c r="W250" s="44">
        <v>81</v>
      </c>
      <c r="X250" s="44">
        <v>81</v>
      </c>
      <c r="Y250" s="44">
        <v>81</v>
      </c>
      <c r="Z250" s="44">
        <v>55</v>
      </c>
      <c r="AA250" s="44">
        <v>45</v>
      </c>
      <c r="AB250" s="44">
        <v>46</v>
      </c>
      <c r="AC250" s="44">
        <v>45</v>
      </c>
      <c r="AD250" s="44">
        <v>12</v>
      </c>
      <c r="AE250" s="44">
        <v>0</v>
      </c>
      <c r="AF250" s="44">
        <v>0</v>
      </c>
    </row>
    <row r="251" spans="1:32" x14ac:dyDescent="0.3">
      <c r="A251" s="38" t="s">
        <v>206</v>
      </c>
      <c r="B251" s="38" t="s">
        <v>174</v>
      </c>
      <c r="C251" s="38" t="s">
        <v>203</v>
      </c>
      <c r="D251" s="39" t="s">
        <v>176</v>
      </c>
      <c r="E251" s="39" t="s">
        <v>195</v>
      </c>
      <c r="F251" s="38" t="s">
        <v>132</v>
      </c>
      <c r="G251" s="38" t="s">
        <v>130</v>
      </c>
      <c r="H251" s="44">
        <v>0</v>
      </c>
      <c r="I251" s="44">
        <v>0</v>
      </c>
      <c r="J251" s="44"/>
      <c r="K251" s="44"/>
      <c r="L251" s="44"/>
      <c r="M251" s="44"/>
      <c r="N251" s="44"/>
      <c r="O251" s="44"/>
      <c r="P251" s="44"/>
      <c r="Q251" s="44"/>
      <c r="R251" s="44"/>
      <c r="S251" s="44"/>
      <c r="T251" s="44"/>
      <c r="U251" s="44"/>
      <c r="V251" s="44"/>
      <c r="W251" s="44"/>
      <c r="X251" s="44"/>
      <c r="Y251" s="44"/>
      <c r="Z251" s="44"/>
      <c r="AA251" s="44"/>
      <c r="AB251" s="44"/>
      <c r="AC251" s="44"/>
      <c r="AD251" s="44"/>
      <c r="AE251" s="44"/>
      <c r="AF251" s="44"/>
    </row>
    <row r="252" spans="1:32" x14ac:dyDescent="0.3">
      <c r="A252" s="38" t="s">
        <v>206</v>
      </c>
      <c r="B252" s="38" t="s">
        <v>174</v>
      </c>
      <c r="C252" s="38" t="s">
        <v>203</v>
      </c>
      <c r="D252" s="39" t="s">
        <v>176</v>
      </c>
      <c r="E252" s="39" t="s">
        <v>195</v>
      </c>
      <c r="F252" s="38" t="s">
        <v>133</v>
      </c>
      <c r="G252" s="38" t="s">
        <v>130</v>
      </c>
      <c r="H252" s="44">
        <v>0</v>
      </c>
      <c r="I252" s="44">
        <v>0</v>
      </c>
      <c r="J252" s="44"/>
      <c r="K252" s="44"/>
      <c r="L252" s="44"/>
      <c r="M252" s="44"/>
      <c r="N252" s="44"/>
      <c r="O252" s="44"/>
      <c r="P252" s="44"/>
      <c r="Q252" s="44"/>
      <c r="R252" s="44"/>
      <c r="S252" s="44"/>
      <c r="T252" s="44"/>
      <c r="U252" s="44"/>
      <c r="V252" s="44"/>
      <c r="W252" s="44"/>
      <c r="X252" s="44"/>
      <c r="Y252" s="44"/>
      <c r="Z252" s="44"/>
      <c r="AA252" s="44"/>
      <c r="AB252" s="44"/>
      <c r="AC252" s="44"/>
      <c r="AD252" s="44"/>
      <c r="AE252" s="44"/>
      <c r="AF252" s="44"/>
    </row>
    <row r="253" spans="1:32" x14ac:dyDescent="0.3">
      <c r="A253" s="38" t="s">
        <v>206</v>
      </c>
      <c r="B253" s="38" t="s">
        <v>174</v>
      </c>
      <c r="C253" s="38" t="s">
        <v>203</v>
      </c>
      <c r="D253" s="39" t="s">
        <v>176</v>
      </c>
      <c r="E253" s="39" t="s">
        <v>195</v>
      </c>
      <c r="F253" s="38" t="s">
        <v>134</v>
      </c>
      <c r="G253" s="38" t="s">
        <v>130</v>
      </c>
      <c r="H253" s="44">
        <v>0</v>
      </c>
      <c r="I253" s="44">
        <v>0</v>
      </c>
      <c r="J253" s="44"/>
      <c r="K253" s="44"/>
      <c r="L253" s="44"/>
      <c r="M253" s="44"/>
      <c r="N253" s="44"/>
      <c r="O253" s="44"/>
      <c r="P253" s="44"/>
      <c r="Q253" s="44"/>
      <c r="R253" s="44"/>
      <c r="S253" s="44"/>
      <c r="T253" s="44"/>
      <c r="U253" s="44"/>
      <c r="V253" s="44"/>
      <c r="W253" s="44"/>
      <c r="X253" s="44"/>
      <c r="Y253" s="44"/>
      <c r="Z253" s="44"/>
      <c r="AA253" s="44"/>
      <c r="AB253" s="44"/>
      <c r="AC253" s="44"/>
      <c r="AD253" s="44"/>
      <c r="AE253" s="44"/>
      <c r="AF253" s="44"/>
    </row>
    <row r="254" spans="1:32" x14ac:dyDescent="0.3">
      <c r="A254" s="38" t="s">
        <v>206</v>
      </c>
      <c r="B254" s="38" t="s">
        <v>174</v>
      </c>
      <c r="C254" s="38" t="s">
        <v>203</v>
      </c>
      <c r="D254" s="39" t="s">
        <v>176</v>
      </c>
      <c r="E254" s="39" t="s">
        <v>195</v>
      </c>
      <c r="F254" s="38" t="s">
        <v>135</v>
      </c>
      <c r="G254" s="38" t="s">
        <v>130</v>
      </c>
      <c r="H254" s="44"/>
      <c r="I254" s="44"/>
      <c r="J254" s="44"/>
      <c r="K254" s="44"/>
      <c r="L254" s="44"/>
      <c r="M254" s="44"/>
      <c r="N254" s="44"/>
      <c r="O254" s="44"/>
      <c r="P254" s="44"/>
      <c r="Q254" s="44"/>
      <c r="R254" s="44"/>
      <c r="S254" s="44"/>
      <c r="T254" s="44"/>
      <c r="U254" s="44"/>
      <c r="V254" s="44"/>
      <c r="W254" s="44"/>
      <c r="X254" s="44"/>
      <c r="Y254" s="44"/>
      <c r="Z254" s="44"/>
      <c r="AA254" s="44"/>
      <c r="AB254" s="44"/>
      <c r="AC254" s="44"/>
      <c r="AD254" s="44"/>
      <c r="AE254" s="44"/>
      <c r="AF254" s="44"/>
    </row>
    <row r="255" spans="1:32" x14ac:dyDescent="0.3">
      <c r="A255" s="38" t="s">
        <v>206</v>
      </c>
      <c r="B255" s="38" t="s">
        <v>174</v>
      </c>
      <c r="C255" s="38" t="s">
        <v>203</v>
      </c>
      <c r="D255" s="39" t="s">
        <v>176</v>
      </c>
      <c r="E255" s="39" t="s">
        <v>195</v>
      </c>
      <c r="F255" s="38" t="s">
        <v>136</v>
      </c>
      <c r="G255" s="38" t="s">
        <v>130</v>
      </c>
      <c r="H255" s="44">
        <f>SUM(I255:AF255)</f>
        <v>0</v>
      </c>
      <c r="I255" s="44">
        <f t="shared" ref="I255:AF255" si="57">IF(AND(ISBLANK(I258) = TRUE,ISBLANK(I257) = TRUE),I256,I257+I258)</f>
        <v>0</v>
      </c>
      <c r="J255" s="44">
        <f t="shared" si="57"/>
        <v>0</v>
      </c>
      <c r="K255" s="44">
        <f t="shared" si="57"/>
        <v>0</v>
      </c>
      <c r="L255" s="44">
        <f t="shared" si="57"/>
        <v>0</v>
      </c>
      <c r="M255" s="44">
        <f t="shared" si="57"/>
        <v>0</v>
      </c>
      <c r="N255" s="44">
        <f t="shared" si="57"/>
        <v>0</v>
      </c>
      <c r="O255" s="44">
        <f t="shared" si="57"/>
        <v>0</v>
      </c>
      <c r="P255" s="44">
        <f t="shared" si="57"/>
        <v>0</v>
      </c>
      <c r="Q255" s="44">
        <f t="shared" si="57"/>
        <v>0</v>
      </c>
      <c r="R255" s="44">
        <f t="shared" si="57"/>
        <v>0</v>
      </c>
      <c r="S255" s="44">
        <f t="shared" si="57"/>
        <v>0</v>
      </c>
      <c r="T255" s="44">
        <f t="shared" si="57"/>
        <v>0</v>
      </c>
      <c r="U255" s="44">
        <f t="shared" si="57"/>
        <v>0</v>
      </c>
      <c r="V255" s="44">
        <f t="shared" si="57"/>
        <v>0</v>
      </c>
      <c r="W255" s="44">
        <f t="shared" si="57"/>
        <v>0</v>
      </c>
      <c r="X255" s="44">
        <f t="shared" si="57"/>
        <v>0</v>
      </c>
      <c r="Y255" s="44">
        <f t="shared" si="57"/>
        <v>0</v>
      </c>
      <c r="Z255" s="44">
        <f t="shared" si="57"/>
        <v>0</v>
      </c>
      <c r="AA255" s="44">
        <f t="shared" si="57"/>
        <v>0</v>
      </c>
      <c r="AB255" s="44">
        <f t="shared" si="57"/>
        <v>0</v>
      </c>
      <c r="AC255" s="44">
        <f t="shared" si="57"/>
        <v>0</v>
      </c>
      <c r="AD255" s="44">
        <f t="shared" si="57"/>
        <v>0</v>
      </c>
      <c r="AE255" s="44">
        <f t="shared" si="57"/>
        <v>0</v>
      </c>
      <c r="AF255" s="44">
        <f t="shared" si="57"/>
        <v>0</v>
      </c>
    </row>
    <row r="256" spans="1:32" x14ac:dyDescent="0.3">
      <c r="A256" s="38" t="s">
        <v>206</v>
      </c>
      <c r="B256" s="38" t="s">
        <v>174</v>
      </c>
      <c r="C256" s="38" t="s">
        <v>203</v>
      </c>
      <c r="D256" s="39" t="s">
        <v>176</v>
      </c>
      <c r="E256" s="39" t="s">
        <v>195</v>
      </c>
      <c r="F256" s="38" t="s">
        <v>124</v>
      </c>
      <c r="G256" s="38" t="s">
        <v>130</v>
      </c>
      <c r="H256" s="44"/>
      <c r="I256" s="44"/>
      <c r="J256" s="44"/>
      <c r="K256" s="44"/>
      <c r="L256" s="44"/>
      <c r="M256" s="44"/>
      <c r="N256" s="44"/>
      <c r="O256" s="44"/>
      <c r="P256" s="44"/>
      <c r="Q256" s="44"/>
      <c r="R256" s="44"/>
      <c r="S256" s="44"/>
      <c r="T256" s="44"/>
      <c r="U256" s="44"/>
      <c r="V256" s="44"/>
      <c r="W256" s="44"/>
      <c r="X256" s="44"/>
      <c r="Y256" s="44"/>
      <c r="Z256" s="44"/>
      <c r="AA256" s="44"/>
      <c r="AB256" s="44"/>
      <c r="AC256" s="44"/>
      <c r="AD256" s="44"/>
      <c r="AE256" s="44"/>
      <c r="AF256" s="44"/>
    </row>
    <row r="257" spans="1:32" x14ac:dyDescent="0.3">
      <c r="A257" s="38" t="s">
        <v>206</v>
      </c>
      <c r="B257" s="38" t="s">
        <v>174</v>
      </c>
      <c r="C257" s="38" t="s">
        <v>203</v>
      </c>
      <c r="D257" s="39" t="s">
        <v>176</v>
      </c>
      <c r="E257" s="39" t="s">
        <v>195</v>
      </c>
      <c r="F257" s="38" t="s">
        <v>137</v>
      </c>
      <c r="G257" s="38" t="s">
        <v>130</v>
      </c>
      <c r="H257" s="44">
        <f>SUM(I257:AF257)</f>
        <v>0</v>
      </c>
      <c r="I257" s="44"/>
      <c r="J257" s="44"/>
      <c r="K257" s="44"/>
      <c r="L257" s="44"/>
      <c r="M257" s="44"/>
      <c r="N257" s="44"/>
      <c r="O257" s="44"/>
      <c r="P257" s="44"/>
      <c r="Q257" s="44"/>
      <c r="R257" s="44"/>
      <c r="S257" s="44"/>
      <c r="T257" s="44"/>
      <c r="U257" s="44"/>
      <c r="V257" s="44"/>
      <c r="W257" s="44"/>
      <c r="X257" s="44"/>
      <c r="Y257" s="44"/>
      <c r="Z257" s="44"/>
      <c r="AA257" s="44"/>
      <c r="AB257" s="44"/>
      <c r="AC257" s="44"/>
      <c r="AD257" s="44"/>
      <c r="AE257" s="44"/>
      <c r="AF257" s="44"/>
    </row>
    <row r="258" spans="1:32" x14ac:dyDescent="0.3">
      <c r="A258" s="38" t="s">
        <v>206</v>
      </c>
      <c r="B258" s="38" t="s">
        <v>174</v>
      </c>
      <c r="C258" s="38" t="s">
        <v>203</v>
      </c>
      <c r="D258" s="39" t="s">
        <v>176</v>
      </c>
      <c r="E258" s="39" t="s">
        <v>195</v>
      </c>
      <c r="F258" s="38" t="s">
        <v>138</v>
      </c>
      <c r="G258" s="38" t="s">
        <v>130</v>
      </c>
      <c r="H258" s="44">
        <f>SUM(I258:AF258)</f>
        <v>0</v>
      </c>
      <c r="I258" s="44"/>
      <c r="J258" s="44"/>
      <c r="K258" s="44"/>
      <c r="L258" s="44"/>
      <c r="M258" s="44"/>
      <c r="N258" s="44"/>
      <c r="O258" s="44"/>
      <c r="P258" s="44"/>
      <c r="Q258" s="44"/>
      <c r="R258" s="44"/>
      <c r="S258" s="44"/>
      <c r="T258" s="44"/>
      <c r="U258" s="44"/>
      <c r="V258" s="44"/>
      <c r="W258" s="44"/>
      <c r="X258" s="44"/>
      <c r="Y258" s="44"/>
      <c r="Z258" s="44"/>
      <c r="AA258" s="44"/>
      <c r="AB258" s="44"/>
      <c r="AC258" s="44"/>
      <c r="AD258" s="44"/>
      <c r="AE258" s="44"/>
      <c r="AF258" s="44"/>
    </row>
    <row r="259" spans="1:32" x14ac:dyDescent="0.3">
      <c r="A259" s="38" t="s">
        <v>206</v>
      </c>
      <c r="B259" s="38" t="s">
        <v>174</v>
      </c>
      <c r="C259" s="38" t="s">
        <v>203</v>
      </c>
      <c r="D259" s="39" t="s">
        <v>176</v>
      </c>
      <c r="E259" s="39" t="s">
        <v>195</v>
      </c>
      <c r="F259" s="38" t="s">
        <v>139</v>
      </c>
      <c r="G259" s="38" t="s">
        <v>130</v>
      </c>
      <c r="H259" s="44"/>
      <c r="I259" s="44"/>
      <c r="J259" s="44"/>
      <c r="K259" s="44"/>
      <c r="L259" s="44"/>
      <c r="M259" s="44"/>
      <c r="N259" s="44"/>
      <c r="O259" s="44"/>
      <c r="P259" s="44"/>
      <c r="Q259" s="44"/>
      <c r="R259" s="44"/>
      <c r="S259" s="44"/>
      <c r="T259" s="44"/>
      <c r="U259" s="44"/>
      <c r="V259" s="44"/>
      <c r="W259" s="44"/>
      <c r="X259" s="44"/>
      <c r="Y259" s="44"/>
      <c r="Z259" s="44"/>
      <c r="AA259" s="44"/>
      <c r="AB259" s="44"/>
      <c r="AC259" s="44"/>
      <c r="AD259" s="44"/>
      <c r="AE259" s="44"/>
      <c r="AF259" s="44"/>
    </row>
    <row r="260" spans="1:32" x14ac:dyDescent="0.3">
      <c r="A260" s="38" t="s">
        <v>206</v>
      </c>
      <c r="B260" s="38" t="s">
        <v>174</v>
      </c>
      <c r="C260" s="38" t="s">
        <v>203</v>
      </c>
      <c r="D260" s="39" t="s">
        <v>176</v>
      </c>
      <c r="E260" s="39" t="s">
        <v>195</v>
      </c>
      <c r="F260" s="38" t="s">
        <v>140</v>
      </c>
      <c r="G260" s="38" t="s">
        <v>130</v>
      </c>
      <c r="H260" s="44"/>
      <c r="I260" s="44">
        <f>I255-(I250+I249)+(I254+I253+I252+I251)</f>
        <v>-2222</v>
      </c>
      <c r="J260" s="44">
        <f t="shared" ref="J260:AF260" si="58">I260+J255-J250</f>
        <v>-3023</v>
      </c>
      <c r="K260" s="44">
        <f t="shared" si="58"/>
        <v>-3835</v>
      </c>
      <c r="L260" s="44">
        <f t="shared" si="58"/>
        <v>-4116</v>
      </c>
      <c r="M260" s="44">
        <f t="shared" si="58"/>
        <v>-4411</v>
      </c>
      <c r="N260" s="44">
        <f t="shared" si="58"/>
        <v>-5059</v>
      </c>
      <c r="O260" s="44">
        <f t="shared" si="58"/>
        <v>-5396</v>
      </c>
      <c r="P260" s="44">
        <f t="shared" si="58"/>
        <v>-5803</v>
      </c>
      <c r="Q260" s="44">
        <f t="shared" si="58"/>
        <v>-6893</v>
      </c>
      <c r="R260" s="44">
        <f t="shared" si="58"/>
        <v>-8020</v>
      </c>
      <c r="S260" s="44">
        <f t="shared" si="58"/>
        <v>-8496</v>
      </c>
      <c r="T260" s="44">
        <f t="shared" si="58"/>
        <v>-8972</v>
      </c>
      <c r="U260" s="44">
        <f t="shared" si="58"/>
        <v>-9356</v>
      </c>
      <c r="V260" s="44">
        <f t="shared" si="58"/>
        <v>-9488</v>
      </c>
      <c r="W260" s="44">
        <f t="shared" si="58"/>
        <v>-9569</v>
      </c>
      <c r="X260" s="44">
        <f t="shared" si="58"/>
        <v>-9650</v>
      </c>
      <c r="Y260" s="44">
        <f t="shared" si="58"/>
        <v>-9731</v>
      </c>
      <c r="Z260" s="44">
        <f t="shared" si="58"/>
        <v>-9786</v>
      </c>
      <c r="AA260" s="44">
        <f t="shared" si="58"/>
        <v>-9831</v>
      </c>
      <c r="AB260" s="44">
        <f t="shared" si="58"/>
        <v>-9877</v>
      </c>
      <c r="AC260" s="44">
        <f t="shared" si="58"/>
        <v>-9922</v>
      </c>
      <c r="AD260" s="44">
        <f t="shared" si="58"/>
        <v>-9934</v>
      </c>
      <c r="AE260" s="44">
        <f t="shared" si="58"/>
        <v>-9934</v>
      </c>
      <c r="AF260" s="44">
        <f t="shared" si="58"/>
        <v>-9934</v>
      </c>
    </row>
    <row r="261" spans="1:32" ht="15" thickBot="1" x14ac:dyDescent="0.35">
      <c r="A261" s="40" t="s">
        <v>206</v>
      </c>
      <c r="B261" s="40" t="s">
        <v>174</v>
      </c>
      <c r="C261" s="40" t="s">
        <v>203</v>
      </c>
      <c r="D261" s="41" t="s">
        <v>176</v>
      </c>
      <c r="E261" s="41" t="s">
        <v>195</v>
      </c>
      <c r="F261" s="40" t="s">
        <v>141</v>
      </c>
      <c r="G261" s="40" t="s">
        <v>130</v>
      </c>
      <c r="H261" s="45"/>
      <c r="I261" s="45">
        <f>I255-I259</f>
        <v>0</v>
      </c>
      <c r="J261" s="45">
        <f t="shared" ref="J261:AF261" si="59">I261+J255-J259</f>
        <v>0</v>
      </c>
      <c r="K261" s="45">
        <f t="shared" si="59"/>
        <v>0</v>
      </c>
      <c r="L261" s="45">
        <f t="shared" si="59"/>
        <v>0</v>
      </c>
      <c r="M261" s="45">
        <f t="shared" si="59"/>
        <v>0</v>
      </c>
      <c r="N261" s="45">
        <f t="shared" si="59"/>
        <v>0</v>
      </c>
      <c r="O261" s="45">
        <f t="shared" si="59"/>
        <v>0</v>
      </c>
      <c r="P261" s="45">
        <f t="shared" si="59"/>
        <v>0</v>
      </c>
      <c r="Q261" s="45">
        <f t="shared" si="59"/>
        <v>0</v>
      </c>
      <c r="R261" s="45">
        <f t="shared" si="59"/>
        <v>0</v>
      </c>
      <c r="S261" s="45">
        <f t="shared" si="59"/>
        <v>0</v>
      </c>
      <c r="T261" s="45">
        <f t="shared" si="59"/>
        <v>0</v>
      </c>
      <c r="U261" s="45">
        <f t="shared" si="59"/>
        <v>0</v>
      </c>
      <c r="V261" s="45">
        <f t="shared" si="59"/>
        <v>0</v>
      </c>
      <c r="W261" s="45">
        <f t="shared" si="59"/>
        <v>0</v>
      </c>
      <c r="X261" s="45">
        <f t="shared" si="59"/>
        <v>0</v>
      </c>
      <c r="Y261" s="45">
        <f t="shared" si="59"/>
        <v>0</v>
      </c>
      <c r="Z261" s="45">
        <f t="shared" si="59"/>
        <v>0</v>
      </c>
      <c r="AA261" s="45">
        <f t="shared" si="59"/>
        <v>0</v>
      </c>
      <c r="AB261" s="45">
        <f t="shared" si="59"/>
        <v>0</v>
      </c>
      <c r="AC261" s="45">
        <f t="shared" si="59"/>
        <v>0</v>
      </c>
      <c r="AD261" s="45">
        <f t="shared" si="59"/>
        <v>0</v>
      </c>
      <c r="AE261" s="45">
        <f t="shared" si="59"/>
        <v>0</v>
      </c>
      <c r="AF261" s="45">
        <f t="shared" si="59"/>
        <v>0</v>
      </c>
    </row>
    <row r="262" spans="1:32" x14ac:dyDescent="0.3">
      <c r="A262" s="38" t="s">
        <v>207</v>
      </c>
      <c r="B262" s="38" t="s">
        <v>174</v>
      </c>
      <c r="C262" s="38" t="s">
        <v>203</v>
      </c>
      <c r="D262" s="39" t="s">
        <v>176</v>
      </c>
      <c r="E262" s="39" t="s">
        <v>195</v>
      </c>
      <c r="F262" s="38" t="s">
        <v>129</v>
      </c>
      <c r="G262" s="38" t="s">
        <v>130</v>
      </c>
      <c r="H262" s="44">
        <v>1399</v>
      </c>
      <c r="I262" s="44">
        <v>1399</v>
      </c>
      <c r="J262" s="44"/>
      <c r="K262" s="44"/>
      <c r="L262" s="44"/>
      <c r="M262" s="44"/>
      <c r="N262" s="44"/>
      <c r="O262" s="44"/>
      <c r="P262" s="44"/>
      <c r="Q262" s="44"/>
      <c r="R262" s="44"/>
      <c r="S262" s="44"/>
      <c r="T262" s="44"/>
      <c r="U262" s="44"/>
      <c r="V262" s="44"/>
      <c r="W262" s="44"/>
      <c r="X262" s="44"/>
      <c r="Y262" s="44"/>
      <c r="Z262" s="44"/>
      <c r="AA262" s="44"/>
      <c r="AB262" s="44"/>
      <c r="AC262" s="44"/>
      <c r="AD262" s="44"/>
      <c r="AE262" s="44"/>
      <c r="AF262" s="44"/>
    </row>
    <row r="263" spans="1:32" x14ac:dyDescent="0.3">
      <c r="A263" s="38" t="s">
        <v>207</v>
      </c>
      <c r="B263" s="38" t="s">
        <v>174</v>
      </c>
      <c r="C263" s="38" t="s">
        <v>203</v>
      </c>
      <c r="D263" s="39" t="s">
        <v>176</v>
      </c>
      <c r="E263" s="39" t="s">
        <v>195</v>
      </c>
      <c r="F263" s="38" t="s">
        <v>131</v>
      </c>
      <c r="G263" s="38" t="s">
        <v>130</v>
      </c>
      <c r="H263" s="44">
        <v>18745</v>
      </c>
      <c r="I263" s="44">
        <v>2220</v>
      </c>
      <c r="J263" s="44">
        <v>870</v>
      </c>
      <c r="K263" s="44">
        <v>586</v>
      </c>
      <c r="L263" s="44">
        <v>501</v>
      </c>
      <c r="M263" s="44">
        <v>871</v>
      </c>
      <c r="N263" s="44">
        <v>856</v>
      </c>
      <c r="O263" s="44">
        <v>824</v>
      </c>
      <c r="P263" s="44">
        <v>824</v>
      </c>
      <c r="Q263" s="44">
        <v>802</v>
      </c>
      <c r="R263" s="44">
        <v>785</v>
      </c>
      <c r="S263" s="44">
        <v>785</v>
      </c>
      <c r="T263" s="44">
        <v>784</v>
      </c>
      <c r="U263" s="44">
        <v>754</v>
      </c>
      <c r="V263" s="44">
        <v>571</v>
      </c>
      <c r="W263" s="44">
        <v>571</v>
      </c>
      <c r="X263" s="44">
        <v>570</v>
      </c>
      <c r="Y263" s="44">
        <v>569</v>
      </c>
      <c r="Z263" s="44">
        <v>720</v>
      </c>
      <c r="AA263" s="44">
        <v>783</v>
      </c>
      <c r="AB263" s="44">
        <v>781</v>
      </c>
      <c r="AC263" s="44">
        <v>781</v>
      </c>
      <c r="AD263" s="44">
        <v>673</v>
      </c>
      <c r="AE263" s="44">
        <v>632</v>
      </c>
      <c r="AF263" s="44">
        <v>632</v>
      </c>
    </row>
    <row r="264" spans="1:32" x14ac:dyDescent="0.3">
      <c r="A264" s="38" t="s">
        <v>207</v>
      </c>
      <c r="B264" s="38" t="s">
        <v>174</v>
      </c>
      <c r="C264" s="38" t="s">
        <v>203</v>
      </c>
      <c r="D264" s="39" t="s">
        <v>176</v>
      </c>
      <c r="E264" s="39" t="s">
        <v>195</v>
      </c>
      <c r="F264" s="38" t="s">
        <v>132</v>
      </c>
      <c r="G264" s="38" t="s">
        <v>130</v>
      </c>
      <c r="H264" s="44">
        <v>0</v>
      </c>
      <c r="I264" s="44">
        <v>0</v>
      </c>
      <c r="J264" s="44"/>
      <c r="K264" s="44"/>
      <c r="L264" s="44"/>
      <c r="M264" s="44"/>
      <c r="N264" s="44"/>
      <c r="O264" s="44"/>
      <c r="P264" s="44"/>
      <c r="Q264" s="44"/>
      <c r="R264" s="44"/>
      <c r="S264" s="44"/>
      <c r="T264" s="44"/>
      <c r="U264" s="44"/>
      <c r="V264" s="44"/>
      <c r="W264" s="44"/>
      <c r="X264" s="44"/>
      <c r="Y264" s="44"/>
      <c r="Z264" s="44"/>
      <c r="AA264" s="44"/>
      <c r="AB264" s="44"/>
      <c r="AC264" s="44"/>
      <c r="AD264" s="44"/>
      <c r="AE264" s="44"/>
      <c r="AF264" s="44"/>
    </row>
    <row r="265" spans="1:32" x14ac:dyDescent="0.3">
      <c r="A265" s="38" t="s">
        <v>207</v>
      </c>
      <c r="B265" s="38" t="s">
        <v>174</v>
      </c>
      <c r="C265" s="38" t="s">
        <v>203</v>
      </c>
      <c r="D265" s="39" t="s">
        <v>176</v>
      </c>
      <c r="E265" s="39" t="s">
        <v>195</v>
      </c>
      <c r="F265" s="38" t="s">
        <v>133</v>
      </c>
      <c r="G265" s="38" t="s">
        <v>130</v>
      </c>
      <c r="H265" s="44">
        <v>0</v>
      </c>
      <c r="I265" s="44">
        <v>0</v>
      </c>
      <c r="J265" s="44"/>
      <c r="K265" s="44"/>
      <c r="L265" s="44"/>
      <c r="M265" s="44"/>
      <c r="N265" s="44"/>
      <c r="O265" s="44"/>
      <c r="P265" s="44"/>
      <c r="Q265" s="44"/>
      <c r="R265" s="44"/>
      <c r="S265" s="44"/>
      <c r="T265" s="44"/>
      <c r="U265" s="44"/>
      <c r="V265" s="44"/>
      <c r="W265" s="44"/>
      <c r="X265" s="44"/>
      <c r="Y265" s="44"/>
      <c r="Z265" s="44"/>
      <c r="AA265" s="44"/>
      <c r="AB265" s="44"/>
      <c r="AC265" s="44"/>
      <c r="AD265" s="44"/>
      <c r="AE265" s="44"/>
      <c r="AF265" s="44"/>
    </row>
    <row r="266" spans="1:32" x14ac:dyDescent="0.3">
      <c r="A266" s="38" t="s">
        <v>207</v>
      </c>
      <c r="B266" s="38" t="s">
        <v>174</v>
      </c>
      <c r="C266" s="38" t="s">
        <v>203</v>
      </c>
      <c r="D266" s="39" t="s">
        <v>176</v>
      </c>
      <c r="E266" s="39" t="s">
        <v>195</v>
      </c>
      <c r="F266" s="38" t="s">
        <v>134</v>
      </c>
      <c r="G266" s="38" t="s">
        <v>130</v>
      </c>
      <c r="H266" s="44">
        <v>0</v>
      </c>
      <c r="I266" s="44">
        <v>0</v>
      </c>
      <c r="J266" s="44"/>
      <c r="K266" s="44"/>
      <c r="L266" s="44"/>
      <c r="M266" s="44"/>
      <c r="N266" s="44"/>
      <c r="O266" s="44"/>
      <c r="P266" s="44"/>
      <c r="Q266" s="44"/>
      <c r="R266" s="44"/>
      <c r="S266" s="44"/>
      <c r="T266" s="44"/>
      <c r="U266" s="44"/>
      <c r="V266" s="44"/>
      <c r="W266" s="44"/>
      <c r="X266" s="44"/>
      <c r="Y266" s="44"/>
      <c r="Z266" s="44"/>
      <c r="AA266" s="44"/>
      <c r="AB266" s="44"/>
      <c r="AC266" s="44"/>
      <c r="AD266" s="44"/>
      <c r="AE266" s="44"/>
      <c r="AF266" s="44"/>
    </row>
    <row r="267" spans="1:32" x14ac:dyDescent="0.3">
      <c r="A267" s="38" t="s">
        <v>207</v>
      </c>
      <c r="B267" s="38" t="s">
        <v>174</v>
      </c>
      <c r="C267" s="38" t="s">
        <v>203</v>
      </c>
      <c r="D267" s="39" t="s">
        <v>176</v>
      </c>
      <c r="E267" s="39" t="s">
        <v>195</v>
      </c>
      <c r="F267" s="38" t="s">
        <v>135</v>
      </c>
      <c r="G267" s="38" t="s">
        <v>130</v>
      </c>
      <c r="H267" s="44"/>
      <c r="I267" s="44"/>
      <c r="J267" s="44"/>
      <c r="K267" s="44"/>
      <c r="L267" s="44"/>
      <c r="M267" s="44"/>
      <c r="N267" s="44"/>
      <c r="O267" s="44"/>
      <c r="P267" s="44"/>
      <c r="Q267" s="44"/>
      <c r="R267" s="44"/>
      <c r="S267" s="44"/>
      <c r="T267" s="44"/>
      <c r="U267" s="44"/>
      <c r="V267" s="44"/>
      <c r="W267" s="44"/>
      <c r="X267" s="44"/>
      <c r="Y267" s="44"/>
      <c r="Z267" s="44"/>
      <c r="AA267" s="44"/>
      <c r="AB267" s="44"/>
      <c r="AC267" s="44"/>
      <c r="AD267" s="44"/>
      <c r="AE267" s="44"/>
      <c r="AF267" s="44"/>
    </row>
    <row r="268" spans="1:32" x14ac:dyDescent="0.3">
      <c r="A268" s="38" t="s">
        <v>207</v>
      </c>
      <c r="B268" s="38" t="s">
        <v>174</v>
      </c>
      <c r="C268" s="38" t="s">
        <v>203</v>
      </c>
      <c r="D268" s="39" t="s">
        <v>176</v>
      </c>
      <c r="E268" s="39" t="s">
        <v>195</v>
      </c>
      <c r="F268" s="38" t="s">
        <v>136</v>
      </c>
      <c r="G268" s="38" t="s">
        <v>130</v>
      </c>
      <c r="H268" s="44">
        <f>SUM(I268:AF268)</f>
        <v>0</v>
      </c>
      <c r="I268" s="44">
        <f t="shared" ref="I268:AF268" si="60">IF(AND(ISBLANK(I271) = TRUE,ISBLANK(I270) = TRUE),I269,I270+I271)</f>
        <v>0</v>
      </c>
      <c r="J268" s="44">
        <f t="shared" si="60"/>
        <v>0</v>
      </c>
      <c r="K268" s="44">
        <f t="shared" si="60"/>
        <v>0</v>
      </c>
      <c r="L268" s="44">
        <f t="shared" si="60"/>
        <v>0</v>
      </c>
      <c r="M268" s="44">
        <f t="shared" si="60"/>
        <v>0</v>
      </c>
      <c r="N268" s="44">
        <f t="shared" si="60"/>
        <v>0</v>
      </c>
      <c r="O268" s="44">
        <f t="shared" si="60"/>
        <v>0</v>
      </c>
      <c r="P268" s="44">
        <f t="shared" si="60"/>
        <v>0</v>
      </c>
      <c r="Q268" s="44">
        <f t="shared" si="60"/>
        <v>0</v>
      </c>
      <c r="R268" s="44">
        <f t="shared" si="60"/>
        <v>0</v>
      </c>
      <c r="S268" s="44">
        <f t="shared" si="60"/>
        <v>0</v>
      </c>
      <c r="T268" s="44">
        <f t="shared" si="60"/>
        <v>0</v>
      </c>
      <c r="U268" s="44">
        <f t="shared" si="60"/>
        <v>0</v>
      </c>
      <c r="V268" s="44">
        <f t="shared" si="60"/>
        <v>0</v>
      </c>
      <c r="W268" s="44">
        <f t="shared" si="60"/>
        <v>0</v>
      </c>
      <c r="X268" s="44">
        <f t="shared" si="60"/>
        <v>0</v>
      </c>
      <c r="Y268" s="44">
        <f t="shared" si="60"/>
        <v>0</v>
      </c>
      <c r="Z268" s="44">
        <f t="shared" si="60"/>
        <v>0</v>
      </c>
      <c r="AA268" s="44">
        <f t="shared" si="60"/>
        <v>0</v>
      </c>
      <c r="AB268" s="44">
        <f t="shared" si="60"/>
        <v>0</v>
      </c>
      <c r="AC268" s="44">
        <f t="shared" si="60"/>
        <v>0</v>
      </c>
      <c r="AD268" s="44">
        <f t="shared" si="60"/>
        <v>0</v>
      </c>
      <c r="AE268" s="44">
        <f t="shared" si="60"/>
        <v>0</v>
      </c>
      <c r="AF268" s="44">
        <f t="shared" si="60"/>
        <v>0</v>
      </c>
    </row>
    <row r="269" spans="1:32" x14ac:dyDescent="0.3">
      <c r="A269" s="38" t="s">
        <v>207</v>
      </c>
      <c r="B269" s="38" t="s">
        <v>174</v>
      </c>
      <c r="C269" s="38" t="s">
        <v>203</v>
      </c>
      <c r="D269" s="39" t="s">
        <v>176</v>
      </c>
      <c r="E269" s="39" t="s">
        <v>195</v>
      </c>
      <c r="F269" s="38" t="s">
        <v>124</v>
      </c>
      <c r="G269" s="38" t="s">
        <v>130</v>
      </c>
      <c r="H269" s="44"/>
      <c r="I269" s="44"/>
      <c r="J269" s="44"/>
      <c r="K269" s="44"/>
      <c r="L269" s="44"/>
      <c r="M269" s="44"/>
      <c r="N269" s="44"/>
      <c r="O269" s="44"/>
      <c r="P269" s="44"/>
      <c r="Q269" s="44"/>
      <c r="R269" s="44"/>
      <c r="S269" s="44"/>
      <c r="T269" s="44"/>
      <c r="U269" s="44"/>
      <c r="V269" s="44"/>
      <c r="W269" s="44"/>
      <c r="X269" s="44"/>
      <c r="Y269" s="44"/>
      <c r="Z269" s="44"/>
      <c r="AA269" s="44"/>
      <c r="AB269" s="44"/>
      <c r="AC269" s="44"/>
      <c r="AD269" s="44"/>
      <c r="AE269" s="44"/>
      <c r="AF269" s="44"/>
    </row>
    <row r="270" spans="1:32" x14ac:dyDescent="0.3">
      <c r="A270" s="38" t="s">
        <v>207</v>
      </c>
      <c r="B270" s="38" t="s">
        <v>174</v>
      </c>
      <c r="C270" s="38" t="s">
        <v>203</v>
      </c>
      <c r="D270" s="39" t="s">
        <v>176</v>
      </c>
      <c r="E270" s="39" t="s">
        <v>195</v>
      </c>
      <c r="F270" s="38" t="s">
        <v>137</v>
      </c>
      <c r="G270" s="38" t="s">
        <v>130</v>
      </c>
      <c r="H270" s="44">
        <f>SUM(I270:AF270)</f>
        <v>0</v>
      </c>
      <c r="I270" s="44"/>
      <c r="J270" s="44"/>
      <c r="K270" s="44"/>
      <c r="L270" s="44"/>
      <c r="M270" s="44"/>
      <c r="N270" s="44"/>
      <c r="O270" s="44"/>
      <c r="P270" s="44"/>
      <c r="Q270" s="44"/>
      <c r="R270" s="44"/>
      <c r="S270" s="44"/>
      <c r="T270" s="44"/>
      <c r="U270" s="44"/>
      <c r="V270" s="44"/>
      <c r="W270" s="44"/>
      <c r="X270" s="44"/>
      <c r="Y270" s="44"/>
      <c r="Z270" s="44"/>
      <c r="AA270" s="44"/>
      <c r="AB270" s="44"/>
      <c r="AC270" s="44"/>
      <c r="AD270" s="44"/>
      <c r="AE270" s="44"/>
      <c r="AF270" s="44"/>
    </row>
    <row r="271" spans="1:32" x14ac:dyDescent="0.3">
      <c r="A271" s="38" t="s">
        <v>207</v>
      </c>
      <c r="B271" s="38" t="s">
        <v>174</v>
      </c>
      <c r="C271" s="38" t="s">
        <v>203</v>
      </c>
      <c r="D271" s="39" t="s">
        <v>176</v>
      </c>
      <c r="E271" s="39" t="s">
        <v>195</v>
      </c>
      <c r="F271" s="38" t="s">
        <v>138</v>
      </c>
      <c r="G271" s="38" t="s">
        <v>130</v>
      </c>
      <c r="H271" s="44">
        <f>SUM(I271:AF271)</f>
        <v>0</v>
      </c>
      <c r="I271" s="44"/>
      <c r="J271" s="44"/>
      <c r="K271" s="44"/>
      <c r="L271" s="44"/>
      <c r="M271" s="44"/>
      <c r="N271" s="44"/>
      <c r="O271" s="44"/>
      <c r="P271" s="44"/>
      <c r="Q271" s="44"/>
      <c r="R271" s="44"/>
      <c r="S271" s="44"/>
      <c r="T271" s="44"/>
      <c r="U271" s="44"/>
      <c r="V271" s="44"/>
      <c r="W271" s="44"/>
      <c r="X271" s="44"/>
      <c r="Y271" s="44"/>
      <c r="Z271" s="44"/>
      <c r="AA271" s="44"/>
      <c r="AB271" s="44"/>
      <c r="AC271" s="44"/>
      <c r="AD271" s="44"/>
      <c r="AE271" s="44"/>
      <c r="AF271" s="44"/>
    </row>
    <row r="272" spans="1:32" x14ac:dyDescent="0.3">
      <c r="A272" s="38" t="s">
        <v>207</v>
      </c>
      <c r="B272" s="38" t="s">
        <v>174</v>
      </c>
      <c r="C272" s="38" t="s">
        <v>203</v>
      </c>
      <c r="D272" s="39" t="s">
        <v>176</v>
      </c>
      <c r="E272" s="39" t="s">
        <v>195</v>
      </c>
      <c r="F272" s="38" t="s">
        <v>139</v>
      </c>
      <c r="G272" s="38" t="s">
        <v>130</v>
      </c>
      <c r="H272" s="44"/>
      <c r="I272" s="44"/>
      <c r="J272" s="44"/>
      <c r="K272" s="44"/>
      <c r="L272" s="44"/>
      <c r="M272" s="44"/>
      <c r="N272" s="44"/>
      <c r="O272" s="44"/>
      <c r="P272" s="44"/>
      <c r="Q272" s="44"/>
      <c r="R272" s="44"/>
      <c r="S272" s="44"/>
      <c r="T272" s="44"/>
      <c r="U272" s="44"/>
      <c r="V272" s="44"/>
      <c r="W272" s="44"/>
      <c r="X272" s="44"/>
      <c r="Y272" s="44"/>
      <c r="Z272" s="44"/>
      <c r="AA272" s="44"/>
      <c r="AB272" s="44"/>
      <c r="AC272" s="44"/>
      <c r="AD272" s="44"/>
      <c r="AE272" s="44"/>
      <c r="AF272" s="44"/>
    </row>
    <row r="273" spans="1:32" x14ac:dyDescent="0.3">
      <c r="A273" s="38" t="s">
        <v>207</v>
      </c>
      <c r="B273" s="38" t="s">
        <v>174</v>
      </c>
      <c r="C273" s="38" t="s">
        <v>203</v>
      </c>
      <c r="D273" s="39" t="s">
        <v>176</v>
      </c>
      <c r="E273" s="39" t="s">
        <v>195</v>
      </c>
      <c r="F273" s="38" t="s">
        <v>140</v>
      </c>
      <c r="G273" s="38" t="s">
        <v>130</v>
      </c>
      <c r="H273" s="44"/>
      <c r="I273" s="44">
        <f>I268-(I263+I262)+(I267+I266+I265+I264)</f>
        <v>-3619</v>
      </c>
      <c r="J273" s="44">
        <f t="shared" ref="J273:AF273" si="61">I273+J268-J263</f>
        <v>-4489</v>
      </c>
      <c r="K273" s="44">
        <f t="shared" si="61"/>
        <v>-5075</v>
      </c>
      <c r="L273" s="44">
        <f t="shared" si="61"/>
        <v>-5576</v>
      </c>
      <c r="M273" s="44">
        <f t="shared" si="61"/>
        <v>-6447</v>
      </c>
      <c r="N273" s="44">
        <f t="shared" si="61"/>
        <v>-7303</v>
      </c>
      <c r="O273" s="44">
        <f t="shared" si="61"/>
        <v>-8127</v>
      </c>
      <c r="P273" s="44">
        <f t="shared" si="61"/>
        <v>-8951</v>
      </c>
      <c r="Q273" s="44">
        <f t="shared" si="61"/>
        <v>-9753</v>
      </c>
      <c r="R273" s="44">
        <f t="shared" si="61"/>
        <v>-10538</v>
      </c>
      <c r="S273" s="44">
        <f t="shared" si="61"/>
        <v>-11323</v>
      </c>
      <c r="T273" s="44">
        <f t="shared" si="61"/>
        <v>-12107</v>
      </c>
      <c r="U273" s="44">
        <f t="shared" si="61"/>
        <v>-12861</v>
      </c>
      <c r="V273" s="44">
        <f t="shared" si="61"/>
        <v>-13432</v>
      </c>
      <c r="W273" s="44">
        <f t="shared" si="61"/>
        <v>-14003</v>
      </c>
      <c r="X273" s="44">
        <f t="shared" si="61"/>
        <v>-14573</v>
      </c>
      <c r="Y273" s="44">
        <f t="shared" si="61"/>
        <v>-15142</v>
      </c>
      <c r="Z273" s="44">
        <f t="shared" si="61"/>
        <v>-15862</v>
      </c>
      <c r="AA273" s="44">
        <f t="shared" si="61"/>
        <v>-16645</v>
      </c>
      <c r="AB273" s="44">
        <f t="shared" si="61"/>
        <v>-17426</v>
      </c>
      <c r="AC273" s="44">
        <f t="shared" si="61"/>
        <v>-18207</v>
      </c>
      <c r="AD273" s="44">
        <f t="shared" si="61"/>
        <v>-18880</v>
      </c>
      <c r="AE273" s="44">
        <f t="shared" si="61"/>
        <v>-19512</v>
      </c>
      <c r="AF273" s="44">
        <f t="shared" si="61"/>
        <v>-20144</v>
      </c>
    </row>
    <row r="274" spans="1:32" ht="15" thickBot="1" x14ac:dyDescent="0.35">
      <c r="A274" s="40" t="s">
        <v>207</v>
      </c>
      <c r="B274" s="40" t="s">
        <v>174</v>
      </c>
      <c r="C274" s="40" t="s">
        <v>203</v>
      </c>
      <c r="D274" s="41" t="s">
        <v>176</v>
      </c>
      <c r="E274" s="41" t="s">
        <v>195</v>
      </c>
      <c r="F274" s="40" t="s">
        <v>141</v>
      </c>
      <c r="G274" s="40" t="s">
        <v>130</v>
      </c>
      <c r="H274" s="45"/>
      <c r="I274" s="45">
        <f>I268-I272</f>
        <v>0</v>
      </c>
      <c r="J274" s="45">
        <f t="shared" ref="J274:AF274" si="62">I274+J268-J272</f>
        <v>0</v>
      </c>
      <c r="K274" s="45">
        <f t="shared" si="62"/>
        <v>0</v>
      </c>
      <c r="L274" s="45">
        <f t="shared" si="62"/>
        <v>0</v>
      </c>
      <c r="M274" s="45">
        <f t="shared" si="62"/>
        <v>0</v>
      </c>
      <c r="N274" s="45">
        <f t="shared" si="62"/>
        <v>0</v>
      </c>
      <c r="O274" s="45">
        <f t="shared" si="62"/>
        <v>0</v>
      </c>
      <c r="P274" s="45">
        <f t="shared" si="62"/>
        <v>0</v>
      </c>
      <c r="Q274" s="45">
        <f t="shared" si="62"/>
        <v>0</v>
      </c>
      <c r="R274" s="45">
        <f t="shared" si="62"/>
        <v>0</v>
      </c>
      <c r="S274" s="45">
        <f t="shared" si="62"/>
        <v>0</v>
      </c>
      <c r="T274" s="45">
        <f t="shared" si="62"/>
        <v>0</v>
      </c>
      <c r="U274" s="45">
        <f t="shared" si="62"/>
        <v>0</v>
      </c>
      <c r="V274" s="45">
        <f t="shared" si="62"/>
        <v>0</v>
      </c>
      <c r="W274" s="45">
        <f t="shared" si="62"/>
        <v>0</v>
      </c>
      <c r="X274" s="45">
        <f t="shared" si="62"/>
        <v>0</v>
      </c>
      <c r="Y274" s="45">
        <f t="shared" si="62"/>
        <v>0</v>
      </c>
      <c r="Z274" s="45">
        <f t="shared" si="62"/>
        <v>0</v>
      </c>
      <c r="AA274" s="45">
        <f t="shared" si="62"/>
        <v>0</v>
      </c>
      <c r="AB274" s="45">
        <f t="shared" si="62"/>
        <v>0</v>
      </c>
      <c r="AC274" s="45">
        <f t="shared" si="62"/>
        <v>0</v>
      </c>
      <c r="AD274" s="45">
        <f t="shared" si="62"/>
        <v>0</v>
      </c>
      <c r="AE274" s="45">
        <f t="shared" si="62"/>
        <v>0</v>
      </c>
      <c r="AF274" s="45">
        <f t="shared" si="62"/>
        <v>0</v>
      </c>
    </row>
    <row r="275" spans="1:32" x14ac:dyDescent="0.3">
      <c r="A275" s="38" t="s">
        <v>207</v>
      </c>
      <c r="B275" s="38" t="s">
        <v>174</v>
      </c>
      <c r="C275" s="38" t="s">
        <v>203</v>
      </c>
      <c r="D275" s="39" t="s">
        <v>176</v>
      </c>
      <c r="E275" s="39" t="s">
        <v>177</v>
      </c>
      <c r="F275" s="38" t="s">
        <v>129</v>
      </c>
      <c r="G275" s="38" t="s">
        <v>130</v>
      </c>
      <c r="H275" s="44">
        <v>269730</v>
      </c>
      <c r="I275" s="44">
        <v>269730</v>
      </c>
      <c r="J275" s="44"/>
      <c r="K275" s="44"/>
      <c r="L275" s="44"/>
      <c r="M275" s="44"/>
      <c r="N275" s="44"/>
      <c r="O275" s="44"/>
      <c r="P275" s="44"/>
      <c r="Q275" s="44"/>
      <c r="R275" s="44"/>
      <c r="S275" s="44"/>
      <c r="T275" s="44"/>
      <c r="U275" s="44"/>
      <c r="V275" s="44"/>
      <c r="W275" s="44"/>
      <c r="X275" s="44"/>
      <c r="Y275" s="44"/>
      <c r="Z275" s="44"/>
      <c r="AA275" s="44"/>
      <c r="AB275" s="44"/>
      <c r="AC275" s="44"/>
      <c r="AD275" s="44"/>
      <c r="AE275" s="44"/>
      <c r="AF275" s="44"/>
    </row>
    <row r="276" spans="1:32" x14ac:dyDescent="0.3">
      <c r="A276" s="38" t="s">
        <v>207</v>
      </c>
      <c r="B276" s="38" t="s">
        <v>174</v>
      </c>
      <c r="C276" s="38" t="s">
        <v>203</v>
      </c>
      <c r="D276" s="39" t="s">
        <v>176</v>
      </c>
      <c r="E276" s="39" t="s">
        <v>177</v>
      </c>
      <c r="F276" s="38" t="s">
        <v>131</v>
      </c>
      <c r="G276" s="38" t="s">
        <v>130</v>
      </c>
      <c r="H276" s="44">
        <v>905331</v>
      </c>
      <c r="I276" s="44">
        <v>68266</v>
      </c>
      <c r="J276" s="44">
        <v>54229</v>
      </c>
      <c r="K276" s="44">
        <v>49752</v>
      </c>
      <c r="L276" s="44">
        <v>37658</v>
      </c>
      <c r="M276" s="44">
        <v>42696</v>
      </c>
      <c r="N276" s="44">
        <v>48838</v>
      </c>
      <c r="O276" s="44">
        <v>45309</v>
      </c>
      <c r="P276" s="44">
        <v>44222</v>
      </c>
      <c r="Q276" s="44">
        <v>47702</v>
      </c>
      <c r="R276" s="44">
        <v>49932</v>
      </c>
      <c r="S276" s="44">
        <v>48041</v>
      </c>
      <c r="T276" s="44">
        <v>47870</v>
      </c>
      <c r="U276" s="44">
        <v>45475</v>
      </c>
      <c r="V276" s="44">
        <v>31138</v>
      </c>
      <c r="W276" s="44">
        <v>30961</v>
      </c>
      <c r="X276" s="44">
        <v>30952</v>
      </c>
      <c r="Y276" s="44">
        <v>30908</v>
      </c>
      <c r="Z276" s="44">
        <v>29498</v>
      </c>
      <c r="AA276" s="44">
        <v>28962</v>
      </c>
      <c r="AB276" s="44">
        <v>28956</v>
      </c>
      <c r="AC276" s="44">
        <v>28415</v>
      </c>
      <c r="AD276" s="44">
        <v>15289</v>
      </c>
      <c r="AE276" s="44">
        <v>10133</v>
      </c>
      <c r="AF276" s="44">
        <v>10129</v>
      </c>
    </row>
    <row r="277" spans="1:32" x14ac:dyDescent="0.3">
      <c r="A277" s="38" t="s">
        <v>207</v>
      </c>
      <c r="B277" s="38" t="s">
        <v>174</v>
      </c>
      <c r="C277" s="38" t="s">
        <v>203</v>
      </c>
      <c r="D277" s="39" t="s">
        <v>176</v>
      </c>
      <c r="E277" s="39" t="s">
        <v>177</v>
      </c>
      <c r="F277" s="38" t="s">
        <v>132</v>
      </c>
      <c r="G277" s="38" t="s">
        <v>130</v>
      </c>
      <c r="H277" s="44">
        <v>27450</v>
      </c>
      <c r="I277" s="44">
        <v>27450</v>
      </c>
      <c r="J277" s="44"/>
      <c r="K277" s="44"/>
      <c r="L277" s="44"/>
      <c r="M277" s="44"/>
      <c r="N277" s="44"/>
      <c r="O277" s="44"/>
      <c r="P277" s="44"/>
      <c r="Q277" s="44"/>
      <c r="R277" s="44"/>
      <c r="S277" s="44"/>
      <c r="T277" s="44"/>
      <c r="U277" s="44"/>
      <c r="V277" s="44"/>
      <c r="W277" s="44"/>
      <c r="X277" s="44"/>
      <c r="Y277" s="44"/>
      <c r="Z277" s="44"/>
      <c r="AA277" s="44"/>
      <c r="AB277" s="44"/>
      <c r="AC277" s="44"/>
      <c r="AD277" s="44"/>
      <c r="AE277" s="44"/>
      <c r="AF277" s="44"/>
    </row>
    <row r="278" spans="1:32" x14ac:dyDescent="0.3">
      <c r="A278" s="38" t="s">
        <v>207</v>
      </c>
      <c r="B278" s="38" t="s">
        <v>174</v>
      </c>
      <c r="C278" s="38" t="s">
        <v>203</v>
      </c>
      <c r="D278" s="39" t="s">
        <v>176</v>
      </c>
      <c r="E278" s="39" t="s">
        <v>177</v>
      </c>
      <c r="F278" s="38" t="s">
        <v>133</v>
      </c>
      <c r="G278" s="38" t="s">
        <v>130</v>
      </c>
      <c r="H278" s="44">
        <v>0</v>
      </c>
      <c r="I278" s="44">
        <v>0</v>
      </c>
      <c r="J278" s="44"/>
      <c r="K278" s="44"/>
      <c r="L278" s="44"/>
      <c r="M278" s="44"/>
      <c r="N278" s="44"/>
      <c r="O278" s="44"/>
      <c r="P278" s="44"/>
      <c r="Q278" s="44"/>
      <c r="R278" s="44"/>
      <c r="S278" s="44"/>
      <c r="T278" s="44"/>
      <c r="U278" s="44"/>
      <c r="V278" s="44"/>
      <c r="W278" s="44"/>
      <c r="X278" s="44"/>
      <c r="Y278" s="44"/>
      <c r="Z278" s="44"/>
      <c r="AA278" s="44"/>
      <c r="AB278" s="44"/>
      <c r="AC278" s="44"/>
      <c r="AD278" s="44"/>
      <c r="AE278" s="44"/>
      <c r="AF278" s="44"/>
    </row>
    <row r="279" spans="1:32" x14ac:dyDescent="0.3">
      <c r="A279" s="38" t="s">
        <v>207</v>
      </c>
      <c r="B279" s="38" t="s">
        <v>174</v>
      </c>
      <c r="C279" s="38" t="s">
        <v>203</v>
      </c>
      <c r="D279" s="39" t="s">
        <v>176</v>
      </c>
      <c r="E279" s="39" t="s">
        <v>177</v>
      </c>
      <c r="F279" s="38" t="s">
        <v>134</v>
      </c>
      <c r="G279" s="38" t="s">
        <v>130</v>
      </c>
      <c r="H279" s="44">
        <v>2518</v>
      </c>
      <c r="I279" s="44">
        <v>2518</v>
      </c>
      <c r="J279" s="44"/>
      <c r="K279" s="44"/>
      <c r="L279" s="44"/>
      <c r="M279" s="44"/>
      <c r="N279" s="44"/>
      <c r="O279" s="44"/>
      <c r="P279" s="44"/>
      <c r="Q279" s="44"/>
      <c r="R279" s="44"/>
      <c r="S279" s="44"/>
      <c r="T279" s="44"/>
      <c r="U279" s="44"/>
      <c r="V279" s="44"/>
      <c r="W279" s="44"/>
      <c r="X279" s="44"/>
      <c r="Y279" s="44"/>
      <c r="Z279" s="44"/>
      <c r="AA279" s="44"/>
      <c r="AB279" s="44"/>
      <c r="AC279" s="44"/>
      <c r="AD279" s="44"/>
      <c r="AE279" s="44"/>
      <c r="AF279" s="44"/>
    </row>
    <row r="280" spans="1:32" x14ac:dyDescent="0.3">
      <c r="A280" s="38" t="s">
        <v>207</v>
      </c>
      <c r="B280" s="38" t="s">
        <v>174</v>
      </c>
      <c r="C280" s="38" t="s">
        <v>203</v>
      </c>
      <c r="D280" s="39" t="s">
        <v>176</v>
      </c>
      <c r="E280" s="39" t="s">
        <v>177</v>
      </c>
      <c r="F280" s="38" t="s">
        <v>135</v>
      </c>
      <c r="G280" s="38" t="s">
        <v>130</v>
      </c>
      <c r="H280" s="44"/>
      <c r="I280" s="44"/>
      <c r="J280" s="44"/>
      <c r="K280" s="44"/>
      <c r="L280" s="44"/>
      <c r="M280" s="44"/>
      <c r="N280" s="44"/>
      <c r="O280" s="44"/>
      <c r="P280" s="44"/>
      <c r="Q280" s="44"/>
      <c r="R280" s="44"/>
      <c r="S280" s="44"/>
      <c r="T280" s="44"/>
      <c r="U280" s="44"/>
      <c r="V280" s="44"/>
      <c r="W280" s="44"/>
      <c r="X280" s="44"/>
      <c r="Y280" s="44"/>
      <c r="Z280" s="44"/>
      <c r="AA280" s="44"/>
      <c r="AB280" s="44"/>
      <c r="AC280" s="44"/>
      <c r="AD280" s="44"/>
      <c r="AE280" s="44"/>
      <c r="AF280" s="44"/>
    </row>
    <row r="281" spans="1:32" x14ac:dyDescent="0.3">
      <c r="A281" s="38" t="s">
        <v>207</v>
      </c>
      <c r="B281" s="38" t="s">
        <v>174</v>
      </c>
      <c r="C281" s="38" t="s">
        <v>203</v>
      </c>
      <c r="D281" s="39" t="s">
        <v>176</v>
      </c>
      <c r="E281" s="39" t="s">
        <v>177</v>
      </c>
      <c r="F281" s="38" t="s">
        <v>136</v>
      </c>
      <c r="G281" s="38" t="s">
        <v>130</v>
      </c>
      <c r="H281" s="44">
        <f>SUM(I281:AF281)</f>
        <v>114000</v>
      </c>
      <c r="I281" s="44">
        <f t="shared" ref="I281:AF281" si="63">IF(AND(ISBLANK(I284) = TRUE,ISBLANK(I283) = TRUE),I282,I283+I284)</f>
        <v>0</v>
      </c>
      <c r="J281" s="44">
        <f t="shared" si="63"/>
        <v>0</v>
      </c>
      <c r="K281" s="44">
        <f t="shared" si="63"/>
        <v>19500</v>
      </c>
      <c r="L281" s="44">
        <f t="shared" si="63"/>
        <v>0</v>
      </c>
      <c r="M281" s="44">
        <f t="shared" si="63"/>
        <v>4500</v>
      </c>
      <c r="N281" s="44">
        <f t="shared" si="63"/>
        <v>4500</v>
      </c>
      <c r="O281" s="44">
        <f t="shared" si="63"/>
        <v>0</v>
      </c>
      <c r="P281" s="44">
        <f t="shared" si="63"/>
        <v>9000</v>
      </c>
      <c r="Q281" s="44">
        <f t="shared" si="63"/>
        <v>9000</v>
      </c>
      <c r="R281" s="44">
        <f t="shared" si="63"/>
        <v>10500</v>
      </c>
      <c r="S281" s="44">
        <f t="shared" si="63"/>
        <v>9000</v>
      </c>
      <c r="T281" s="44">
        <f t="shared" si="63"/>
        <v>9000</v>
      </c>
      <c r="U281" s="44">
        <f t="shared" si="63"/>
        <v>9000</v>
      </c>
      <c r="V281" s="44">
        <f t="shared" si="63"/>
        <v>12000</v>
      </c>
      <c r="W281" s="44">
        <f t="shared" si="63"/>
        <v>9000</v>
      </c>
      <c r="X281" s="44">
        <f t="shared" si="63"/>
        <v>9000</v>
      </c>
      <c r="Y281" s="44">
        <f t="shared" si="63"/>
        <v>0</v>
      </c>
      <c r="Z281" s="44">
        <f t="shared" si="63"/>
        <v>0</v>
      </c>
      <c r="AA281" s="44">
        <f t="shared" si="63"/>
        <v>0</v>
      </c>
      <c r="AB281" s="44">
        <f t="shared" si="63"/>
        <v>0</v>
      </c>
      <c r="AC281" s="44">
        <f t="shared" si="63"/>
        <v>0</v>
      </c>
      <c r="AD281" s="44">
        <f t="shared" si="63"/>
        <v>0</v>
      </c>
      <c r="AE281" s="44">
        <f t="shared" si="63"/>
        <v>0</v>
      </c>
      <c r="AF281" s="44">
        <f t="shared" si="63"/>
        <v>0</v>
      </c>
    </row>
    <row r="282" spans="1:32" x14ac:dyDescent="0.3">
      <c r="A282" s="38" t="s">
        <v>207</v>
      </c>
      <c r="B282" s="38" t="s">
        <v>174</v>
      </c>
      <c r="C282" s="38" t="s">
        <v>203</v>
      </c>
      <c r="D282" s="39" t="s">
        <v>176</v>
      </c>
      <c r="E282" s="39" t="s">
        <v>177</v>
      </c>
      <c r="F282" s="38" t="s">
        <v>124</v>
      </c>
      <c r="G282" s="38" t="s">
        <v>130</v>
      </c>
      <c r="H282" s="44">
        <v>114000</v>
      </c>
      <c r="I282" s="44"/>
      <c r="J282" s="44"/>
      <c r="K282" s="44">
        <v>19500</v>
      </c>
      <c r="L282" s="44"/>
      <c r="M282" s="44">
        <v>4500</v>
      </c>
      <c r="N282" s="44">
        <v>4500</v>
      </c>
      <c r="O282" s="44"/>
      <c r="P282" s="44">
        <v>9000</v>
      </c>
      <c r="Q282" s="44">
        <v>9000</v>
      </c>
      <c r="R282" s="44">
        <v>10500</v>
      </c>
      <c r="S282" s="44">
        <v>9000</v>
      </c>
      <c r="T282" s="44">
        <v>9000</v>
      </c>
      <c r="U282" s="44">
        <v>9000</v>
      </c>
      <c r="V282" s="44">
        <v>12000</v>
      </c>
      <c r="W282" s="44">
        <v>9000</v>
      </c>
      <c r="X282" s="44">
        <v>9000</v>
      </c>
      <c r="Y282" s="44"/>
      <c r="Z282" s="44"/>
      <c r="AA282" s="44"/>
      <c r="AB282" s="44"/>
      <c r="AC282" s="44"/>
      <c r="AD282" s="44"/>
      <c r="AE282" s="44"/>
      <c r="AF282" s="44"/>
    </row>
    <row r="283" spans="1:32" x14ac:dyDescent="0.3">
      <c r="A283" s="38" t="s">
        <v>207</v>
      </c>
      <c r="B283" s="38" t="s">
        <v>174</v>
      </c>
      <c r="C283" s="38" t="s">
        <v>203</v>
      </c>
      <c r="D283" s="39" t="s">
        <v>176</v>
      </c>
      <c r="E283" s="39" t="s">
        <v>177</v>
      </c>
      <c r="F283" s="38" t="s">
        <v>137</v>
      </c>
      <c r="G283" s="38" t="s">
        <v>130</v>
      </c>
      <c r="H283" s="44">
        <f>SUM(I283:AF283)</f>
        <v>0</v>
      </c>
      <c r="I283" s="44"/>
      <c r="J283" s="44"/>
      <c r="K283" s="44"/>
      <c r="L283" s="44"/>
      <c r="M283" s="44"/>
      <c r="N283" s="44"/>
      <c r="O283" s="44"/>
      <c r="P283" s="44"/>
      <c r="Q283" s="44"/>
      <c r="R283" s="44"/>
      <c r="S283" s="44"/>
      <c r="T283" s="44"/>
      <c r="U283" s="44"/>
      <c r="V283" s="44"/>
      <c r="W283" s="44"/>
      <c r="X283" s="44"/>
      <c r="Y283" s="44"/>
      <c r="Z283" s="44"/>
      <c r="AA283" s="44"/>
      <c r="AB283" s="44"/>
      <c r="AC283" s="44"/>
      <c r="AD283" s="44"/>
      <c r="AE283" s="44"/>
      <c r="AF283" s="44"/>
    </row>
    <row r="284" spans="1:32" x14ac:dyDescent="0.3">
      <c r="A284" s="38" t="s">
        <v>207</v>
      </c>
      <c r="B284" s="38" t="s">
        <v>174</v>
      </c>
      <c r="C284" s="38" t="s">
        <v>203</v>
      </c>
      <c r="D284" s="39" t="s">
        <v>176</v>
      </c>
      <c r="E284" s="39" t="s">
        <v>177</v>
      </c>
      <c r="F284" s="38" t="s">
        <v>138</v>
      </c>
      <c r="G284" s="38" t="s">
        <v>130</v>
      </c>
      <c r="H284" s="44">
        <f>SUM(I284:AF284)</f>
        <v>0</v>
      </c>
      <c r="I284" s="44"/>
      <c r="J284" s="44"/>
      <c r="K284" s="44"/>
      <c r="L284" s="44"/>
      <c r="M284" s="44"/>
      <c r="N284" s="44"/>
      <c r="O284" s="44"/>
      <c r="P284" s="44"/>
      <c r="Q284" s="44"/>
      <c r="R284" s="44"/>
      <c r="S284" s="44"/>
      <c r="T284" s="44"/>
      <c r="U284" s="44"/>
      <c r="V284" s="44"/>
      <c r="W284" s="44"/>
      <c r="X284" s="44"/>
      <c r="Y284" s="44"/>
      <c r="Z284" s="44"/>
      <c r="AA284" s="44"/>
      <c r="AB284" s="44"/>
      <c r="AC284" s="44"/>
      <c r="AD284" s="44"/>
      <c r="AE284" s="44"/>
      <c r="AF284" s="44"/>
    </row>
    <row r="285" spans="1:32" x14ac:dyDescent="0.3">
      <c r="A285" s="38" t="s">
        <v>207</v>
      </c>
      <c r="B285" s="38" t="s">
        <v>174</v>
      </c>
      <c r="C285" s="38" t="s">
        <v>203</v>
      </c>
      <c r="D285" s="39" t="s">
        <v>176</v>
      </c>
      <c r="E285" s="39" t="s">
        <v>177</v>
      </c>
      <c r="F285" s="38" t="s">
        <v>139</v>
      </c>
      <c r="G285" s="38" t="s">
        <v>130</v>
      </c>
      <c r="H285" s="44">
        <v>114000</v>
      </c>
      <c r="I285" s="44"/>
      <c r="J285" s="44"/>
      <c r="K285" s="44">
        <v>19500</v>
      </c>
      <c r="L285" s="44"/>
      <c r="M285" s="44">
        <v>4500</v>
      </c>
      <c r="N285" s="44">
        <v>4500</v>
      </c>
      <c r="O285" s="44"/>
      <c r="P285" s="44">
        <v>9000</v>
      </c>
      <c r="Q285" s="44">
        <v>9000</v>
      </c>
      <c r="R285" s="44">
        <v>10500</v>
      </c>
      <c r="S285" s="44">
        <v>9000</v>
      </c>
      <c r="T285" s="44">
        <v>9000</v>
      </c>
      <c r="U285" s="44">
        <v>9000</v>
      </c>
      <c r="V285" s="44">
        <v>12000</v>
      </c>
      <c r="W285" s="44">
        <v>9000</v>
      </c>
      <c r="X285" s="44">
        <v>9000</v>
      </c>
      <c r="Y285" s="44"/>
      <c r="Z285" s="44"/>
      <c r="AA285" s="44"/>
      <c r="AB285" s="44"/>
      <c r="AC285" s="44"/>
      <c r="AD285" s="44"/>
      <c r="AE285" s="44"/>
      <c r="AF285" s="44"/>
    </row>
    <row r="286" spans="1:32" x14ac:dyDescent="0.3">
      <c r="A286" s="38" t="s">
        <v>207</v>
      </c>
      <c r="B286" s="38" t="s">
        <v>174</v>
      </c>
      <c r="C286" s="38" t="s">
        <v>203</v>
      </c>
      <c r="D286" s="39" t="s">
        <v>176</v>
      </c>
      <c r="E286" s="39" t="s">
        <v>177</v>
      </c>
      <c r="F286" s="38" t="s">
        <v>140</v>
      </c>
      <c r="G286" s="38" t="s">
        <v>130</v>
      </c>
      <c r="H286" s="44"/>
      <c r="I286" s="44">
        <f>I281-(I276+I275)+(I280+I279+I278+I277)</f>
        <v>-308028</v>
      </c>
      <c r="J286" s="44">
        <f t="shared" ref="J286:AF286" si="64">I286+J281-J276</f>
        <v>-362257</v>
      </c>
      <c r="K286" s="44">
        <f t="shared" si="64"/>
        <v>-392509</v>
      </c>
      <c r="L286" s="44">
        <f t="shared" si="64"/>
        <v>-430167</v>
      </c>
      <c r="M286" s="44">
        <f t="shared" si="64"/>
        <v>-468363</v>
      </c>
      <c r="N286" s="44">
        <f t="shared" si="64"/>
        <v>-512701</v>
      </c>
      <c r="O286" s="44">
        <f t="shared" si="64"/>
        <v>-558010</v>
      </c>
      <c r="P286" s="44">
        <f t="shared" si="64"/>
        <v>-593232</v>
      </c>
      <c r="Q286" s="44">
        <f t="shared" si="64"/>
        <v>-631934</v>
      </c>
      <c r="R286" s="44">
        <f t="shared" si="64"/>
        <v>-671366</v>
      </c>
      <c r="S286" s="44">
        <f t="shared" si="64"/>
        <v>-710407</v>
      </c>
      <c r="T286" s="44">
        <f t="shared" si="64"/>
        <v>-749277</v>
      </c>
      <c r="U286" s="44">
        <f t="shared" si="64"/>
        <v>-785752</v>
      </c>
      <c r="V286" s="44">
        <f t="shared" si="64"/>
        <v>-804890</v>
      </c>
      <c r="W286" s="44">
        <f t="shared" si="64"/>
        <v>-826851</v>
      </c>
      <c r="X286" s="44">
        <f t="shared" si="64"/>
        <v>-848803</v>
      </c>
      <c r="Y286" s="44">
        <f t="shared" si="64"/>
        <v>-879711</v>
      </c>
      <c r="Z286" s="44">
        <f t="shared" si="64"/>
        <v>-909209</v>
      </c>
      <c r="AA286" s="44">
        <f t="shared" si="64"/>
        <v>-938171</v>
      </c>
      <c r="AB286" s="44">
        <f t="shared" si="64"/>
        <v>-967127</v>
      </c>
      <c r="AC286" s="44">
        <f t="shared" si="64"/>
        <v>-995542</v>
      </c>
      <c r="AD286" s="44">
        <f t="shared" si="64"/>
        <v>-1010831</v>
      </c>
      <c r="AE286" s="44">
        <f t="shared" si="64"/>
        <v>-1020964</v>
      </c>
      <c r="AF286" s="44">
        <f t="shared" si="64"/>
        <v>-1031093</v>
      </c>
    </row>
    <row r="287" spans="1:32" ht="15" thickBot="1" x14ac:dyDescent="0.35">
      <c r="A287" s="40" t="s">
        <v>207</v>
      </c>
      <c r="B287" s="40" t="s">
        <v>174</v>
      </c>
      <c r="C287" s="40" t="s">
        <v>203</v>
      </c>
      <c r="D287" s="41" t="s">
        <v>176</v>
      </c>
      <c r="E287" s="41" t="s">
        <v>177</v>
      </c>
      <c r="F287" s="40" t="s">
        <v>141</v>
      </c>
      <c r="G287" s="40" t="s">
        <v>130</v>
      </c>
      <c r="H287" s="45"/>
      <c r="I287" s="45">
        <f>I281-I285</f>
        <v>0</v>
      </c>
      <c r="J287" s="45">
        <f t="shared" ref="J287:AF287" si="65">I287+J281-J285</f>
        <v>0</v>
      </c>
      <c r="K287" s="45">
        <f t="shared" si="65"/>
        <v>0</v>
      </c>
      <c r="L287" s="45">
        <f t="shared" si="65"/>
        <v>0</v>
      </c>
      <c r="M287" s="45">
        <f t="shared" si="65"/>
        <v>0</v>
      </c>
      <c r="N287" s="45">
        <f t="shared" si="65"/>
        <v>0</v>
      </c>
      <c r="O287" s="45">
        <f t="shared" si="65"/>
        <v>0</v>
      </c>
      <c r="P287" s="45">
        <f t="shared" si="65"/>
        <v>0</v>
      </c>
      <c r="Q287" s="45">
        <f t="shared" si="65"/>
        <v>0</v>
      </c>
      <c r="R287" s="45">
        <f t="shared" si="65"/>
        <v>0</v>
      </c>
      <c r="S287" s="45">
        <f t="shared" si="65"/>
        <v>0</v>
      </c>
      <c r="T287" s="45">
        <f t="shared" si="65"/>
        <v>0</v>
      </c>
      <c r="U287" s="45">
        <f t="shared" si="65"/>
        <v>0</v>
      </c>
      <c r="V287" s="45">
        <f t="shared" si="65"/>
        <v>0</v>
      </c>
      <c r="W287" s="45">
        <f t="shared" si="65"/>
        <v>0</v>
      </c>
      <c r="X287" s="45">
        <f t="shared" si="65"/>
        <v>0</v>
      </c>
      <c r="Y287" s="45">
        <f t="shared" si="65"/>
        <v>0</v>
      </c>
      <c r="Z287" s="45">
        <f t="shared" si="65"/>
        <v>0</v>
      </c>
      <c r="AA287" s="45">
        <f t="shared" si="65"/>
        <v>0</v>
      </c>
      <c r="AB287" s="45">
        <f t="shared" si="65"/>
        <v>0</v>
      </c>
      <c r="AC287" s="45">
        <f t="shared" si="65"/>
        <v>0</v>
      </c>
      <c r="AD287" s="45">
        <f t="shared" si="65"/>
        <v>0</v>
      </c>
      <c r="AE287" s="45">
        <f t="shared" si="65"/>
        <v>0</v>
      </c>
      <c r="AF287" s="45">
        <f t="shared" si="65"/>
        <v>0</v>
      </c>
    </row>
    <row r="288" spans="1:32" x14ac:dyDescent="0.3">
      <c r="A288" s="38" t="s">
        <v>208</v>
      </c>
      <c r="B288" s="38" t="s">
        <v>174</v>
      </c>
      <c r="C288" s="38" t="s">
        <v>209</v>
      </c>
      <c r="D288" s="39" t="s">
        <v>198</v>
      </c>
      <c r="E288" s="39" t="s">
        <v>177</v>
      </c>
      <c r="F288" s="38" t="s">
        <v>129</v>
      </c>
      <c r="G288" s="38" t="s">
        <v>130</v>
      </c>
      <c r="H288" s="44">
        <v>4763</v>
      </c>
      <c r="I288" s="44">
        <v>4763</v>
      </c>
      <c r="J288" s="44"/>
      <c r="K288" s="44"/>
      <c r="L288" s="44"/>
      <c r="M288" s="44"/>
      <c r="N288" s="44"/>
      <c r="O288" s="44"/>
      <c r="P288" s="44"/>
      <c r="Q288" s="44"/>
      <c r="R288" s="44"/>
      <c r="S288" s="44"/>
      <c r="T288" s="44"/>
      <c r="U288" s="44"/>
      <c r="V288" s="44"/>
      <c r="W288" s="44"/>
      <c r="X288" s="44"/>
      <c r="Y288" s="44"/>
      <c r="Z288" s="44"/>
      <c r="AA288" s="44"/>
      <c r="AB288" s="44"/>
      <c r="AC288" s="44"/>
      <c r="AD288" s="44"/>
      <c r="AE288" s="44"/>
      <c r="AF288" s="44"/>
    </row>
    <row r="289" spans="1:32" x14ac:dyDescent="0.3">
      <c r="A289" s="38" t="s">
        <v>208</v>
      </c>
      <c r="B289" s="38" t="s">
        <v>174</v>
      </c>
      <c r="C289" s="38" t="s">
        <v>209</v>
      </c>
      <c r="D289" s="39" t="s">
        <v>198</v>
      </c>
      <c r="E289" s="39" t="s">
        <v>177</v>
      </c>
      <c r="F289" s="38" t="s">
        <v>131</v>
      </c>
      <c r="G289" s="38" t="s">
        <v>130</v>
      </c>
      <c r="H289" s="44">
        <v>30</v>
      </c>
      <c r="I289" s="44">
        <v>0</v>
      </c>
      <c r="J289" s="44">
        <v>30</v>
      </c>
      <c r="K289" s="44">
        <v>0</v>
      </c>
      <c r="L289" s="44">
        <v>0</v>
      </c>
      <c r="M289" s="44">
        <v>0</v>
      </c>
      <c r="N289" s="44">
        <v>0</v>
      </c>
      <c r="O289" s="44">
        <v>0</v>
      </c>
      <c r="P289" s="44">
        <v>0</v>
      </c>
      <c r="Q289" s="44">
        <v>0</v>
      </c>
      <c r="R289" s="44">
        <v>0</v>
      </c>
      <c r="S289" s="44">
        <v>0</v>
      </c>
      <c r="T289" s="44">
        <v>0</v>
      </c>
      <c r="U289" s="44">
        <v>0</v>
      </c>
      <c r="V289" s="44">
        <v>0</v>
      </c>
      <c r="W289" s="44">
        <v>0</v>
      </c>
      <c r="X289" s="44">
        <v>0</v>
      </c>
      <c r="Y289" s="44">
        <v>0</v>
      </c>
      <c r="Z289" s="44">
        <v>0</v>
      </c>
      <c r="AA289" s="44">
        <v>0</v>
      </c>
      <c r="AB289" s="44">
        <v>0</v>
      </c>
      <c r="AC289" s="44">
        <v>0</v>
      </c>
      <c r="AD289" s="44">
        <v>0</v>
      </c>
      <c r="AE289" s="44">
        <v>0</v>
      </c>
      <c r="AF289" s="44">
        <v>0</v>
      </c>
    </row>
    <row r="290" spans="1:32" x14ac:dyDescent="0.3">
      <c r="A290" s="38" t="s">
        <v>208</v>
      </c>
      <c r="B290" s="38" t="s">
        <v>174</v>
      </c>
      <c r="C290" s="38" t="s">
        <v>209</v>
      </c>
      <c r="D290" s="39" t="s">
        <v>198</v>
      </c>
      <c r="E290" s="39" t="s">
        <v>177</v>
      </c>
      <c r="F290" s="38" t="s">
        <v>132</v>
      </c>
      <c r="G290" s="38" t="s">
        <v>130</v>
      </c>
      <c r="H290" s="44">
        <v>146600</v>
      </c>
      <c r="I290" s="44">
        <v>146600</v>
      </c>
      <c r="J290" s="44"/>
      <c r="K290" s="44"/>
      <c r="L290" s="44"/>
      <c r="M290" s="44"/>
      <c r="N290" s="44"/>
      <c r="O290" s="44"/>
      <c r="P290" s="44"/>
      <c r="Q290" s="44"/>
      <c r="R290" s="44"/>
      <c r="S290" s="44"/>
      <c r="T290" s="44"/>
      <c r="U290" s="44"/>
      <c r="V290" s="44"/>
      <c r="W290" s="44"/>
      <c r="X290" s="44"/>
      <c r="Y290" s="44"/>
      <c r="Z290" s="44"/>
      <c r="AA290" s="44"/>
      <c r="AB290" s="44"/>
      <c r="AC290" s="44"/>
      <c r="AD290" s="44"/>
      <c r="AE290" s="44"/>
      <c r="AF290" s="44"/>
    </row>
    <row r="291" spans="1:32" x14ac:dyDescent="0.3">
      <c r="A291" s="38" t="s">
        <v>208</v>
      </c>
      <c r="B291" s="38" t="s">
        <v>174</v>
      </c>
      <c r="C291" s="38" t="s">
        <v>209</v>
      </c>
      <c r="D291" s="39" t="s">
        <v>198</v>
      </c>
      <c r="E291" s="39" t="s">
        <v>177</v>
      </c>
      <c r="F291" s="38" t="s">
        <v>133</v>
      </c>
      <c r="G291" s="38" t="s">
        <v>130</v>
      </c>
      <c r="H291" s="44">
        <v>0</v>
      </c>
      <c r="I291" s="44">
        <v>0</v>
      </c>
      <c r="J291" s="44"/>
      <c r="K291" s="44"/>
      <c r="L291" s="44"/>
      <c r="M291" s="44"/>
      <c r="N291" s="44"/>
      <c r="O291" s="44"/>
      <c r="P291" s="44"/>
      <c r="Q291" s="44"/>
      <c r="R291" s="44"/>
      <c r="S291" s="44"/>
      <c r="T291" s="44"/>
      <c r="U291" s="44"/>
      <c r="V291" s="44"/>
      <c r="W291" s="44"/>
      <c r="X291" s="44"/>
      <c r="Y291" s="44"/>
      <c r="Z291" s="44"/>
      <c r="AA291" s="44"/>
      <c r="AB291" s="44"/>
      <c r="AC291" s="44"/>
      <c r="AD291" s="44"/>
      <c r="AE291" s="44"/>
      <c r="AF291" s="44"/>
    </row>
    <row r="292" spans="1:32" x14ac:dyDescent="0.3">
      <c r="A292" s="38" t="s">
        <v>208</v>
      </c>
      <c r="B292" s="38" t="s">
        <v>174</v>
      </c>
      <c r="C292" s="38" t="s">
        <v>209</v>
      </c>
      <c r="D292" s="39" t="s">
        <v>198</v>
      </c>
      <c r="E292" s="39" t="s">
        <v>177</v>
      </c>
      <c r="F292" s="38" t="s">
        <v>134</v>
      </c>
      <c r="G292" s="38" t="s">
        <v>130</v>
      </c>
      <c r="H292" s="44">
        <v>4158</v>
      </c>
      <c r="I292" s="44">
        <v>4158</v>
      </c>
      <c r="J292" s="44"/>
      <c r="K292" s="44"/>
      <c r="L292" s="44"/>
      <c r="M292" s="44"/>
      <c r="N292" s="44"/>
      <c r="O292" s="44"/>
      <c r="P292" s="44"/>
      <c r="Q292" s="44"/>
      <c r="R292" s="44"/>
      <c r="S292" s="44"/>
      <c r="T292" s="44"/>
      <c r="U292" s="44"/>
      <c r="V292" s="44"/>
      <c r="W292" s="44"/>
      <c r="X292" s="44"/>
      <c r="Y292" s="44"/>
      <c r="Z292" s="44"/>
      <c r="AA292" s="44"/>
      <c r="AB292" s="44"/>
      <c r="AC292" s="44"/>
      <c r="AD292" s="44"/>
      <c r="AE292" s="44"/>
      <c r="AF292" s="44"/>
    </row>
    <row r="293" spans="1:32" x14ac:dyDescent="0.3">
      <c r="A293" s="38" t="s">
        <v>208</v>
      </c>
      <c r="B293" s="38" t="s">
        <v>174</v>
      </c>
      <c r="C293" s="38" t="s">
        <v>209</v>
      </c>
      <c r="D293" s="39" t="s">
        <v>198</v>
      </c>
      <c r="E293" s="39" t="s">
        <v>177</v>
      </c>
      <c r="F293" s="38" t="s">
        <v>135</v>
      </c>
      <c r="G293" s="38" t="s">
        <v>130</v>
      </c>
      <c r="H293" s="44">
        <v>18000</v>
      </c>
      <c r="I293" s="44">
        <v>18000</v>
      </c>
      <c r="J293" s="44"/>
      <c r="K293" s="44"/>
      <c r="L293" s="44"/>
      <c r="M293" s="44"/>
      <c r="N293" s="44"/>
      <c r="O293" s="44"/>
      <c r="P293" s="44"/>
      <c r="Q293" s="44"/>
      <c r="R293" s="44"/>
      <c r="S293" s="44"/>
      <c r="T293" s="44"/>
      <c r="U293" s="44"/>
      <c r="V293" s="44"/>
      <c r="W293" s="44"/>
      <c r="X293" s="44"/>
      <c r="Y293" s="44"/>
      <c r="Z293" s="44"/>
      <c r="AA293" s="44"/>
      <c r="AB293" s="44"/>
      <c r="AC293" s="44"/>
      <c r="AD293" s="44"/>
      <c r="AE293" s="44"/>
      <c r="AF293" s="44"/>
    </row>
    <row r="294" spans="1:32" x14ac:dyDescent="0.3">
      <c r="A294" s="38" t="s">
        <v>208</v>
      </c>
      <c r="B294" s="38" t="s">
        <v>174</v>
      </c>
      <c r="C294" s="38" t="s">
        <v>209</v>
      </c>
      <c r="D294" s="39" t="s">
        <v>198</v>
      </c>
      <c r="E294" s="39" t="s">
        <v>177</v>
      </c>
      <c r="F294" s="38" t="s">
        <v>136</v>
      </c>
      <c r="G294" s="38" t="s">
        <v>130</v>
      </c>
      <c r="H294" s="44">
        <f>SUM(I294:AF294)</f>
        <v>126000</v>
      </c>
      <c r="I294" s="44">
        <f t="shared" ref="I294:AF294" si="66">IF(AND(ISBLANK(I297) = TRUE,ISBLANK(I296) = TRUE),I295,I296+I297)</f>
        <v>6000</v>
      </c>
      <c r="J294" s="44">
        <f t="shared" si="66"/>
        <v>0</v>
      </c>
      <c r="K294" s="44">
        <f t="shared" si="66"/>
        <v>0</v>
      </c>
      <c r="L294" s="44">
        <f t="shared" si="66"/>
        <v>0</v>
      </c>
      <c r="M294" s="44">
        <f t="shared" si="66"/>
        <v>30000</v>
      </c>
      <c r="N294" s="44">
        <f t="shared" si="66"/>
        <v>20000</v>
      </c>
      <c r="O294" s="44">
        <f t="shared" si="66"/>
        <v>0</v>
      </c>
      <c r="P294" s="44">
        <f t="shared" si="66"/>
        <v>0</v>
      </c>
      <c r="Q294" s="44">
        <f t="shared" si="66"/>
        <v>20000</v>
      </c>
      <c r="R294" s="44">
        <f t="shared" si="66"/>
        <v>20000</v>
      </c>
      <c r="S294" s="44">
        <f t="shared" si="66"/>
        <v>0</v>
      </c>
      <c r="T294" s="44">
        <f t="shared" si="66"/>
        <v>0</v>
      </c>
      <c r="U294" s="44">
        <f t="shared" si="66"/>
        <v>20000</v>
      </c>
      <c r="V294" s="44">
        <f t="shared" si="66"/>
        <v>10000</v>
      </c>
      <c r="W294" s="44">
        <f t="shared" si="66"/>
        <v>0</v>
      </c>
      <c r="X294" s="44">
        <f t="shared" si="66"/>
        <v>0</v>
      </c>
      <c r="Y294" s="44">
        <f t="shared" si="66"/>
        <v>0</v>
      </c>
      <c r="Z294" s="44">
        <f t="shared" si="66"/>
        <v>0</v>
      </c>
      <c r="AA294" s="44">
        <f t="shared" si="66"/>
        <v>0</v>
      </c>
      <c r="AB294" s="44">
        <f t="shared" si="66"/>
        <v>0</v>
      </c>
      <c r="AC294" s="44">
        <f t="shared" si="66"/>
        <v>0</v>
      </c>
      <c r="AD294" s="44">
        <f t="shared" si="66"/>
        <v>0</v>
      </c>
      <c r="AE294" s="44">
        <f t="shared" si="66"/>
        <v>0</v>
      </c>
      <c r="AF294" s="44">
        <f t="shared" si="66"/>
        <v>0</v>
      </c>
    </row>
    <row r="295" spans="1:32" x14ac:dyDescent="0.3">
      <c r="A295" s="38" t="s">
        <v>208</v>
      </c>
      <c r="B295" s="38" t="s">
        <v>174</v>
      </c>
      <c r="C295" s="38" t="s">
        <v>209</v>
      </c>
      <c r="D295" s="39" t="s">
        <v>198</v>
      </c>
      <c r="E295" s="39" t="s">
        <v>177</v>
      </c>
      <c r="F295" s="38" t="s">
        <v>124</v>
      </c>
      <c r="G295" s="38" t="s">
        <v>130</v>
      </c>
      <c r="H295" s="44">
        <v>126000</v>
      </c>
      <c r="I295" s="44">
        <v>6000</v>
      </c>
      <c r="J295" s="44"/>
      <c r="K295" s="44"/>
      <c r="L295" s="44"/>
      <c r="M295" s="44">
        <v>30000</v>
      </c>
      <c r="N295" s="44">
        <v>20000</v>
      </c>
      <c r="O295" s="44"/>
      <c r="P295" s="44"/>
      <c r="Q295" s="44">
        <v>20000</v>
      </c>
      <c r="R295" s="44">
        <v>20000</v>
      </c>
      <c r="S295" s="44"/>
      <c r="T295" s="44"/>
      <c r="U295" s="44">
        <v>20000</v>
      </c>
      <c r="V295" s="44">
        <v>10000</v>
      </c>
      <c r="W295" s="44"/>
      <c r="X295" s="44"/>
      <c r="Y295" s="44"/>
      <c r="Z295" s="44"/>
      <c r="AA295" s="44"/>
      <c r="AB295" s="44"/>
      <c r="AC295" s="44"/>
      <c r="AD295" s="44"/>
      <c r="AE295" s="44"/>
      <c r="AF295" s="44"/>
    </row>
    <row r="296" spans="1:32" x14ac:dyDescent="0.3">
      <c r="A296" s="38" t="s">
        <v>208</v>
      </c>
      <c r="B296" s="38" t="s">
        <v>174</v>
      </c>
      <c r="C296" s="38" t="s">
        <v>209</v>
      </c>
      <c r="D296" s="39" t="s">
        <v>198</v>
      </c>
      <c r="E296" s="39" t="s">
        <v>177</v>
      </c>
      <c r="F296" s="38" t="s">
        <v>137</v>
      </c>
      <c r="G296" s="38" t="s">
        <v>130</v>
      </c>
      <c r="H296" s="44">
        <f>SUM(I296:AF296)</f>
        <v>0</v>
      </c>
      <c r="I296" s="44"/>
      <c r="J296" s="44"/>
      <c r="K296" s="44"/>
      <c r="L296" s="44"/>
      <c r="M296" s="44"/>
      <c r="N296" s="44"/>
      <c r="O296" s="44"/>
      <c r="P296" s="44"/>
      <c r="Q296" s="44"/>
      <c r="R296" s="44"/>
      <c r="S296" s="44"/>
      <c r="T296" s="44"/>
      <c r="U296" s="44"/>
      <c r="V296" s="44"/>
      <c r="W296" s="44"/>
      <c r="X296" s="44"/>
      <c r="Y296" s="44"/>
      <c r="Z296" s="44"/>
      <c r="AA296" s="44"/>
      <c r="AB296" s="44"/>
      <c r="AC296" s="44"/>
      <c r="AD296" s="44"/>
      <c r="AE296" s="44"/>
      <c r="AF296" s="44"/>
    </row>
    <row r="297" spans="1:32" x14ac:dyDescent="0.3">
      <c r="A297" s="38" t="s">
        <v>208</v>
      </c>
      <c r="B297" s="38" t="s">
        <v>174</v>
      </c>
      <c r="C297" s="38" t="s">
        <v>209</v>
      </c>
      <c r="D297" s="39" t="s">
        <v>198</v>
      </c>
      <c r="E297" s="39" t="s">
        <v>177</v>
      </c>
      <c r="F297" s="38" t="s">
        <v>138</v>
      </c>
      <c r="G297" s="38" t="s">
        <v>130</v>
      </c>
      <c r="H297" s="44">
        <f>SUM(I297:AF297)</f>
        <v>0</v>
      </c>
      <c r="I297" s="44"/>
      <c r="J297" s="44"/>
      <c r="K297" s="44"/>
      <c r="L297" s="44"/>
      <c r="M297" s="44"/>
      <c r="N297" s="44"/>
      <c r="O297" s="44"/>
      <c r="P297" s="44"/>
      <c r="Q297" s="44"/>
      <c r="R297" s="44"/>
      <c r="S297" s="44"/>
      <c r="T297" s="44"/>
      <c r="U297" s="44"/>
      <c r="V297" s="44"/>
      <c r="W297" s="44"/>
      <c r="X297" s="44"/>
      <c r="Y297" s="44"/>
      <c r="Z297" s="44"/>
      <c r="AA297" s="44"/>
      <c r="AB297" s="44"/>
      <c r="AC297" s="44"/>
      <c r="AD297" s="44"/>
      <c r="AE297" s="44"/>
      <c r="AF297" s="44"/>
    </row>
    <row r="298" spans="1:32" x14ac:dyDescent="0.3">
      <c r="A298" s="38" t="s">
        <v>208</v>
      </c>
      <c r="B298" s="38" t="s">
        <v>174</v>
      </c>
      <c r="C298" s="38" t="s">
        <v>209</v>
      </c>
      <c r="D298" s="39" t="s">
        <v>198</v>
      </c>
      <c r="E298" s="39" t="s">
        <v>177</v>
      </c>
      <c r="F298" s="38" t="s">
        <v>139</v>
      </c>
      <c r="G298" s="38" t="s">
        <v>130</v>
      </c>
      <c r="H298" s="44">
        <v>126000</v>
      </c>
      <c r="I298" s="44">
        <v>6000</v>
      </c>
      <c r="J298" s="44"/>
      <c r="K298" s="44"/>
      <c r="L298" s="44"/>
      <c r="M298" s="44">
        <v>30000</v>
      </c>
      <c r="N298" s="44">
        <v>20000</v>
      </c>
      <c r="O298" s="44"/>
      <c r="P298" s="44"/>
      <c r="Q298" s="44">
        <v>20000</v>
      </c>
      <c r="R298" s="44">
        <v>20000</v>
      </c>
      <c r="S298" s="44"/>
      <c r="T298" s="44"/>
      <c r="U298" s="44">
        <v>20000</v>
      </c>
      <c r="V298" s="44">
        <v>10000</v>
      </c>
      <c r="W298" s="44"/>
      <c r="X298" s="44"/>
      <c r="Y298" s="44"/>
      <c r="Z298" s="44"/>
      <c r="AA298" s="44"/>
      <c r="AB298" s="44"/>
      <c r="AC298" s="44"/>
      <c r="AD298" s="44"/>
      <c r="AE298" s="44"/>
      <c r="AF298" s="44"/>
    </row>
    <row r="299" spans="1:32" x14ac:dyDescent="0.3">
      <c r="A299" s="38" t="s">
        <v>208</v>
      </c>
      <c r="B299" s="38" t="s">
        <v>174</v>
      </c>
      <c r="C299" s="38" t="s">
        <v>209</v>
      </c>
      <c r="D299" s="39" t="s">
        <v>198</v>
      </c>
      <c r="E299" s="39" t="s">
        <v>177</v>
      </c>
      <c r="F299" s="38" t="s">
        <v>140</v>
      </c>
      <c r="G299" s="38" t="s">
        <v>130</v>
      </c>
      <c r="H299" s="44"/>
      <c r="I299" s="44">
        <f>I294-(I289+I288)+(I293+I292+I291+I290)</f>
        <v>169995</v>
      </c>
      <c r="J299" s="44">
        <f t="shared" ref="J299:AF299" si="67">I299+J294-J289</f>
        <v>169965</v>
      </c>
      <c r="K299" s="44">
        <f t="shared" si="67"/>
        <v>169965</v>
      </c>
      <c r="L299" s="44">
        <f t="shared" si="67"/>
        <v>169965</v>
      </c>
      <c r="M299" s="44">
        <f t="shared" si="67"/>
        <v>199965</v>
      </c>
      <c r="N299" s="44">
        <f t="shared" si="67"/>
        <v>219965</v>
      </c>
      <c r="O299" s="44">
        <f t="shared" si="67"/>
        <v>219965</v>
      </c>
      <c r="P299" s="44">
        <f t="shared" si="67"/>
        <v>219965</v>
      </c>
      <c r="Q299" s="44">
        <f t="shared" si="67"/>
        <v>239965</v>
      </c>
      <c r="R299" s="44">
        <f t="shared" si="67"/>
        <v>259965</v>
      </c>
      <c r="S299" s="44">
        <f t="shared" si="67"/>
        <v>259965</v>
      </c>
      <c r="T299" s="44">
        <f t="shared" si="67"/>
        <v>259965</v>
      </c>
      <c r="U299" s="44">
        <f t="shared" si="67"/>
        <v>279965</v>
      </c>
      <c r="V299" s="44">
        <f t="shared" si="67"/>
        <v>289965</v>
      </c>
      <c r="W299" s="44">
        <f t="shared" si="67"/>
        <v>289965</v>
      </c>
      <c r="X299" s="44">
        <f t="shared" si="67"/>
        <v>289965</v>
      </c>
      <c r="Y299" s="44">
        <f t="shared" si="67"/>
        <v>289965</v>
      </c>
      <c r="Z299" s="44">
        <f t="shared" si="67"/>
        <v>289965</v>
      </c>
      <c r="AA299" s="44">
        <f t="shared" si="67"/>
        <v>289965</v>
      </c>
      <c r="AB299" s="44">
        <f t="shared" si="67"/>
        <v>289965</v>
      </c>
      <c r="AC299" s="44">
        <f t="shared" si="67"/>
        <v>289965</v>
      </c>
      <c r="AD299" s="44">
        <f t="shared" si="67"/>
        <v>289965</v>
      </c>
      <c r="AE299" s="44">
        <f t="shared" si="67"/>
        <v>289965</v>
      </c>
      <c r="AF299" s="44">
        <f t="shared" si="67"/>
        <v>289965</v>
      </c>
    </row>
    <row r="300" spans="1:32" ht="15" thickBot="1" x14ac:dyDescent="0.35">
      <c r="A300" s="40" t="s">
        <v>208</v>
      </c>
      <c r="B300" s="40" t="s">
        <v>174</v>
      </c>
      <c r="C300" s="40" t="s">
        <v>209</v>
      </c>
      <c r="D300" s="41" t="s">
        <v>198</v>
      </c>
      <c r="E300" s="41" t="s">
        <v>177</v>
      </c>
      <c r="F300" s="40" t="s">
        <v>141</v>
      </c>
      <c r="G300" s="40" t="s">
        <v>130</v>
      </c>
      <c r="H300" s="45"/>
      <c r="I300" s="45">
        <f>I294-I298</f>
        <v>0</v>
      </c>
      <c r="J300" s="45">
        <f t="shared" ref="J300:AF300" si="68">I300+J294-J298</f>
        <v>0</v>
      </c>
      <c r="K300" s="45">
        <f t="shared" si="68"/>
        <v>0</v>
      </c>
      <c r="L300" s="45">
        <f t="shared" si="68"/>
        <v>0</v>
      </c>
      <c r="M300" s="45">
        <f t="shared" si="68"/>
        <v>0</v>
      </c>
      <c r="N300" s="45">
        <f t="shared" si="68"/>
        <v>0</v>
      </c>
      <c r="O300" s="45">
        <f t="shared" si="68"/>
        <v>0</v>
      </c>
      <c r="P300" s="45">
        <f t="shared" si="68"/>
        <v>0</v>
      </c>
      <c r="Q300" s="45">
        <f t="shared" si="68"/>
        <v>0</v>
      </c>
      <c r="R300" s="45">
        <f t="shared" si="68"/>
        <v>0</v>
      </c>
      <c r="S300" s="45">
        <f t="shared" si="68"/>
        <v>0</v>
      </c>
      <c r="T300" s="45">
        <f t="shared" si="68"/>
        <v>0</v>
      </c>
      <c r="U300" s="45">
        <f t="shared" si="68"/>
        <v>0</v>
      </c>
      <c r="V300" s="45">
        <f t="shared" si="68"/>
        <v>0</v>
      </c>
      <c r="W300" s="45">
        <f t="shared" si="68"/>
        <v>0</v>
      </c>
      <c r="X300" s="45">
        <f t="shared" si="68"/>
        <v>0</v>
      </c>
      <c r="Y300" s="45">
        <f t="shared" si="68"/>
        <v>0</v>
      </c>
      <c r="Z300" s="45">
        <f t="shared" si="68"/>
        <v>0</v>
      </c>
      <c r="AA300" s="45">
        <f t="shared" si="68"/>
        <v>0</v>
      </c>
      <c r="AB300" s="45">
        <f t="shared" si="68"/>
        <v>0</v>
      </c>
      <c r="AC300" s="45">
        <f t="shared" si="68"/>
        <v>0</v>
      </c>
      <c r="AD300" s="45">
        <f t="shared" si="68"/>
        <v>0</v>
      </c>
      <c r="AE300" s="45">
        <f t="shared" si="68"/>
        <v>0</v>
      </c>
      <c r="AF300" s="45">
        <f t="shared" si="68"/>
        <v>0</v>
      </c>
    </row>
    <row r="301" spans="1:32" x14ac:dyDescent="0.3">
      <c r="A301" s="38" t="s">
        <v>210</v>
      </c>
      <c r="B301" s="38" t="s">
        <v>174</v>
      </c>
      <c r="C301" s="38" t="s">
        <v>209</v>
      </c>
      <c r="D301" s="39" t="s">
        <v>183</v>
      </c>
      <c r="E301" s="39" t="s">
        <v>195</v>
      </c>
      <c r="F301" s="38" t="s">
        <v>129</v>
      </c>
      <c r="G301" s="38" t="s">
        <v>130</v>
      </c>
      <c r="H301" s="44">
        <v>10328</v>
      </c>
      <c r="I301" s="44">
        <v>10328</v>
      </c>
      <c r="J301" s="44"/>
      <c r="K301" s="44"/>
      <c r="L301" s="44"/>
      <c r="M301" s="44"/>
      <c r="N301" s="44"/>
      <c r="O301" s="44"/>
      <c r="P301" s="44"/>
      <c r="Q301" s="44"/>
      <c r="R301" s="44"/>
      <c r="S301" s="44"/>
      <c r="T301" s="44"/>
      <c r="U301" s="44"/>
      <c r="V301" s="44"/>
      <c r="W301" s="44"/>
      <c r="X301" s="44"/>
      <c r="Y301" s="44"/>
      <c r="Z301" s="44"/>
      <c r="AA301" s="44"/>
      <c r="AB301" s="44"/>
      <c r="AC301" s="44"/>
      <c r="AD301" s="44"/>
      <c r="AE301" s="44"/>
      <c r="AF301" s="44"/>
    </row>
    <row r="302" spans="1:32" x14ac:dyDescent="0.3">
      <c r="A302" s="38" t="s">
        <v>210</v>
      </c>
      <c r="B302" s="38" t="s">
        <v>174</v>
      </c>
      <c r="C302" s="38" t="s">
        <v>209</v>
      </c>
      <c r="D302" s="39" t="s">
        <v>183</v>
      </c>
      <c r="E302" s="39" t="s">
        <v>195</v>
      </c>
      <c r="F302" s="38" t="s">
        <v>131</v>
      </c>
      <c r="G302" s="38" t="s">
        <v>130</v>
      </c>
      <c r="H302" s="44">
        <v>67000</v>
      </c>
      <c r="I302" s="44">
        <v>7628</v>
      </c>
      <c r="J302" s="44">
        <v>2987</v>
      </c>
      <c r="K302" s="44">
        <v>4315</v>
      </c>
      <c r="L302" s="44">
        <v>5371</v>
      </c>
      <c r="M302" s="44">
        <v>3043</v>
      </c>
      <c r="N302" s="44">
        <v>3116</v>
      </c>
      <c r="O302" s="44">
        <v>3114</v>
      </c>
      <c r="P302" s="44">
        <v>3113</v>
      </c>
      <c r="Q302" s="44">
        <v>2968</v>
      </c>
      <c r="R302" s="44">
        <v>2856</v>
      </c>
      <c r="S302" s="44">
        <v>2854</v>
      </c>
      <c r="T302" s="44">
        <v>2852</v>
      </c>
      <c r="U302" s="44">
        <v>2683</v>
      </c>
      <c r="V302" s="44">
        <v>1661</v>
      </c>
      <c r="W302" s="44">
        <v>1660</v>
      </c>
      <c r="X302" s="44">
        <v>1660</v>
      </c>
      <c r="Y302" s="44">
        <v>1658</v>
      </c>
      <c r="Z302" s="44">
        <v>2024</v>
      </c>
      <c r="AA302" s="44">
        <v>2177</v>
      </c>
      <c r="AB302" s="44">
        <v>2175</v>
      </c>
      <c r="AC302" s="44">
        <v>2175</v>
      </c>
      <c r="AD302" s="44">
        <v>1750</v>
      </c>
      <c r="AE302" s="44">
        <v>1580</v>
      </c>
      <c r="AF302" s="44">
        <v>1580</v>
      </c>
    </row>
    <row r="303" spans="1:32" x14ac:dyDescent="0.3">
      <c r="A303" s="38" t="s">
        <v>210</v>
      </c>
      <c r="B303" s="38" t="s">
        <v>174</v>
      </c>
      <c r="C303" s="38" t="s">
        <v>209</v>
      </c>
      <c r="D303" s="39" t="s">
        <v>183</v>
      </c>
      <c r="E303" s="39" t="s">
        <v>195</v>
      </c>
      <c r="F303" s="38" t="s">
        <v>132</v>
      </c>
      <c r="G303" s="38" t="s">
        <v>130</v>
      </c>
      <c r="H303" s="44">
        <v>0</v>
      </c>
      <c r="I303" s="44">
        <v>0</v>
      </c>
      <c r="J303" s="44"/>
      <c r="K303" s="44"/>
      <c r="L303" s="44"/>
      <c r="M303" s="44"/>
      <c r="N303" s="44"/>
      <c r="O303" s="44"/>
      <c r="P303" s="44"/>
      <c r="Q303" s="44"/>
      <c r="R303" s="44"/>
      <c r="S303" s="44"/>
      <c r="T303" s="44"/>
      <c r="U303" s="44"/>
      <c r="V303" s="44"/>
      <c r="W303" s="44"/>
      <c r="X303" s="44"/>
      <c r="Y303" s="44"/>
      <c r="Z303" s="44"/>
      <c r="AA303" s="44"/>
      <c r="AB303" s="44"/>
      <c r="AC303" s="44"/>
      <c r="AD303" s="44"/>
      <c r="AE303" s="44"/>
      <c r="AF303" s="44"/>
    </row>
    <row r="304" spans="1:32" x14ac:dyDescent="0.3">
      <c r="A304" s="38" t="s">
        <v>210</v>
      </c>
      <c r="B304" s="38" t="s">
        <v>174</v>
      </c>
      <c r="C304" s="38" t="s">
        <v>209</v>
      </c>
      <c r="D304" s="39" t="s">
        <v>183</v>
      </c>
      <c r="E304" s="39" t="s">
        <v>195</v>
      </c>
      <c r="F304" s="38" t="s">
        <v>133</v>
      </c>
      <c r="G304" s="38" t="s">
        <v>130</v>
      </c>
      <c r="H304" s="44">
        <v>0</v>
      </c>
      <c r="I304" s="44">
        <v>0</v>
      </c>
      <c r="J304" s="44"/>
      <c r="K304" s="44"/>
      <c r="L304" s="44"/>
      <c r="M304" s="44"/>
      <c r="N304" s="44"/>
      <c r="O304" s="44"/>
      <c r="P304" s="44"/>
      <c r="Q304" s="44"/>
      <c r="R304" s="44"/>
      <c r="S304" s="44"/>
      <c r="T304" s="44"/>
      <c r="U304" s="44"/>
      <c r="V304" s="44"/>
      <c r="W304" s="44"/>
      <c r="X304" s="44"/>
      <c r="Y304" s="44"/>
      <c r="Z304" s="44"/>
      <c r="AA304" s="44"/>
      <c r="AB304" s="44"/>
      <c r="AC304" s="44"/>
      <c r="AD304" s="44"/>
      <c r="AE304" s="44"/>
      <c r="AF304" s="44"/>
    </row>
    <row r="305" spans="1:32" x14ac:dyDescent="0.3">
      <c r="A305" s="38" t="s">
        <v>210</v>
      </c>
      <c r="B305" s="38" t="s">
        <v>174</v>
      </c>
      <c r="C305" s="38" t="s">
        <v>209</v>
      </c>
      <c r="D305" s="39" t="s">
        <v>183</v>
      </c>
      <c r="E305" s="39" t="s">
        <v>195</v>
      </c>
      <c r="F305" s="38" t="s">
        <v>134</v>
      </c>
      <c r="G305" s="38" t="s">
        <v>130</v>
      </c>
      <c r="H305" s="44">
        <v>222</v>
      </c>
      <c r="I305" s="44">
        <v>222</v>
      </c>
      <c r="J305" s="44"/>
      <c r="K305" s="44"/>
      <c r="L305" s="44"/>
      <c r="M305" s="44"/>
      <c r="N305" s="44"/>
      <c r="O305" s="44"/>
      <c r="P305" s="44"/>
      <c r="Q305" s="44"/>
      <c r="R305" s="44"/>
      <c r="S305" s="44"/>
      <c r="T305" s="44"/>
      <c r="U305" s="44"/>
      <c r="V305" s="44"/>
      <c r="W305" s="44"/>
      <c r="X305" s="44"/>
      <c r="Y305" s="44"/>
      <c r="Z305" s="44"/>
      <c r="AA305" s="44"/>
      <c r="AB305" s="44"/>
      <c r="AC305" s="44"/>
      <c r="AD305" s="44"/>
      <c r="AE305" s="44"/>
      <c r="AF305" s="44"/>
    </row>
    <row r="306" spans="1:32" x14ac:dyDescent="0.3">
      <c r="A306" s="38" t="s">
        <v>210</v>
      </c>
      <c r="B306" s="38" t="s">
        <v>174</v>
      </c>
      <c r="C306" s="38" t="s">
        <v>209</v>
      </c>
      <c r="D306" s="39" t="s">
        <v>183</v>
      </c>
      <c r="E306" s="39" t="s">
        <v>195</v>
      </c>
      <c r="F306" s="38" t="s">
        <v>135</v>
      </c>
      <c r="G306" s="38" t="s">
        <v>130</v>
      </c>
      <c r="H306" s="44"/>
      <c r="I306" s="44"/>
      <c r="J306" s="44"/>
      <c r="K306" s="44"/>
      <c r="L306" s="44"/>
      <c r="M306" s="44"/>
      <c r="N306" s="44"/>
      <c r="O306" s="44"/>
      <c r="P306" s="44"/>
      <c r="Q306" s="44"/>
      <c r="R306" s="44"/>
      <c r="S306" s="44"/>
      <c r="T306" s="44"/>
      <c r="U306" s="44"/>
      <c r="V306" s="44"/>
      <c r="W306" s="44"/>
      <c r="X306" s="44"/>
      <c r="Y306" s="44"/>
      <c r="Z306" s="44"/>
      <c r="AA306" s="44"/>
      <c r="AB306" s="44"/>
      <c r="AC306" s="44"/>
      <c r="AD306" s="44"/>
      <c r="AE306" s="44"/>
      <c r="AF306" s="44"/>
    </row>
    <row r="307" spans="1:32" x14ac:dyDescent="0.3">
      <c r="A307" s="38" t="s">
        <v>210</v>
      </c>
      <c r="B307" s="38" t="s">
        <v>174</v>
      </c>
      <c r="C307" s="38" t="s">
        <v>209</v>
      </c>
      <c r="D307" s="39" t="s">
        <v>183</v>
      </c>
      <c r="E307" s="39" t="s">
        <v>195</v>
      </c>
      <c r="F307" s="38" t="s">
        <v>136</v>
      </c>
      <c r="G307" s="38" t="s">
        <v>130</v>
      </c>
      <c r="H307" s="44">
        <f>SUM(I307:AF307)</f>
        <v>0</v>
      </c>
      <c r="I307" s="44">
        <f t="shared" ref="I307:AF307" si="69">IF(AND(ISBLANK(I310) = TRUE,ISBLANK(I309) = TRUE),I308,I309+I310)</f>
        <v>0</v>
      </c>
      <c r="J307" s="44">
        <f t="shared" si="69"/>
        <v>0</v>
      </c>
      <c r="K307" s="44">
        <f t="shared" si="69"/>
        <v>0</v>
      </c>
      <c r="L307" s="44">
        <f t="shared" si="69"/>
        <v>0</v>
      </c>
      <c r="M307" s="44">
        <f t="shared" si="69"/>
        <v>0</v>
      </c>
      <c r="N307" s="44">
        <f t="shared" si="69"/>
        <v>0</v>
      </c>
      <c r="O307" s="44">
        <f t="shared" si="69"/>
        <v>0</v>
      </c>
      <c r="P307" s="44">
        <f t="shared" si="69"/>
        <v>0</v>
      </c>
      <c r="Q307" s="44">
        <f t="shared" si="69"/>
        <v>0</v>
      </c>
      <c r="R307" s="44">
        <f t="shared" si="69"/>
        <v>0</v>
      </c>
      <c r="S307" s="44">
        <f t="shared" si="69"/>
        <v>0</v>
      </c>
      <c r="T307" s="44">
        <f t="shared" si="69"/>
        <v>0</v>
      </c>
      <c r="U307" s="44">
        <f t="shared" si="69"/>
        <v>0</v>
      </c>
      <c r="V307" s="44">
        <f t="shared" si="69"/>
        <v>0</v>
      </c>
      <c r="W307" s="44">
        <f t="shared" si="69"/>
        <v>0</v>
      </c>
      <c r="X307" s="44">
        <f t="shared" si="69"/>
        <v>0</v>
      </c>
      <c r="Y307" s="44">
        <f t="shared" si="69"/>
        <v>0</v>
      </c>
      <c r="Z307" s="44">
        <f t="shared" si="69"/>
        <v>0</v>
      </c>
      <c r="AA307" s="44">
        <f t="shared" si="69"/>
        <v>0</v>
      </c>
      <c r="AB307" s="44">
        <f t="shared" si="69"/>
        <v>0</v>
      </c>
      <c r="AC307" s="44">
        <f t="shared" si="69"/>
        <v>0</v>
      </c>
      <c r="AD307" s="44">
        <f t="shared" si="69"/>
        <v>0</v>
      </c>
      <c r="AE307" s="44">
        <f t="shared" si="69"/>
        <v>0</v>
      </c>
      <c r="AF307" s="44">
        <f t="shared" si="69"/>
        <v>0</v>
      </c>
    </row>
    <row r="308" spans="1:32" x14ac:dyDescent="0.3">
      <c r="A308" s="38" t="s">
        <v>210</v>
      </c>
      <c r="B308" s="38" t="s">
        <v>174</v>
      </c>
      <c r="C308" s="38" t="s">
        <v>209</v>
      </c>
      <c r="D308" s="39" t="s">
        <v>183</v>
      </c>
      <c r="E308" s="39" t="s">
        <v>195</v>
      </c>
      <c r="F308" s="38" t="s">
        <v>124</v>
      </c>
      <c r="G308" s="38" t="s">
        <v>130</v>
      </c>
      <c r="H308" s="44"/>
      <c r="I308" s="44"/>
      <c r="J308" s="44"/>
      <c r="K308" s="44"/>
      <c r="L308" s="44"/>
      <c r="M308" s="44"/>
      <c r="N308" s="44"/>
      <c r="O308" s="44"/>
      <c r="P308" s="44"/>
      <c r="Q308" s="44"/>
      <c r="R308" s="44"/>
      <c r="S308" s="44"/>
      <c r="T308" s="44"/>
      <c r="U308" s="44"/>
      <c r="V308" s="44"/>
      <c r="W308" s="44"/>
      <c r="X308" s="44"/>
      <c r="Y308" s="44"/>
      <c r="Z308" s="44"/>
      <c r="AA308" s="44"/>
      <c r="AB308" s="44"/>
      <c r="AC308" s="44"/>
      <c r="AD308" s="44"/>
      <c r="AE308" s="44"/>
      <c r="AF308" s="44"/>
    </row>
    <row r="309" spans="1:32" x14ac:dyDescent="0.3">
      <c r="A309" s="38" t="s">
        <v>210</v>
      </c>
      <c r="B309" s="38" t="s">
        <v>174</v>
      </c>
      <c r="C309" s="38" t="s">
        <v>209</v>
      </c>
      <c r="D309" s="39" t="s">
        <v>183</v>
      </c>
      <c r="E309" s="39" t="s">
        <v>195</v>
      </c>
      <c r="F309" s="38" t="s">
        <v>137</v>
      </c>
      <c r="G309" s="38" t="s">
        <v>130</v>
      </c>
      <c r="H309" s="44">
        <f>SUM(I309:AF309)</f>
        <v>0</v>
      </c>
      <c r="I309" s="44"/>
      <c r="J309" s="44"/>
      <c r="K309" s="44"/>
      <c r="L309" s="44"/>
      <c r="M309" s="44"/>
      <c r="N309" s="44"/>
      <c r="O309" s="44"/>
      <c r="P309" s="44"/>
      <c r="Q309" s="44"/>
      <c r="R309" s="44"/>
      <c r="S309" s="44"/>
      <c r="T309" s="44"/>
      <c r="U309" s="44"/>
      <c r="V309" s="44"/>
      <c r="W309" s="44"/>
      <c r="X309" s="44"/>
      <c r="Y309" s="44"/>
      <c r="Z309" s="44"/>
      <c r="AA309" s="44"/>
      <c r="AB309" s="44"/>
      <c r="AC309" s="44"/>
      <c r="AD309" s="44"/>
      <c r="AE309" s="44"/>
      <c r="AF309" s="44"/>
    </row>
    <row r="310" spans="1:32" x14ac:dyDescent="0.3">
      <c r="A310" s="38" t="s">
        <v>210</v>
      </c>
      <c r="B310" s="38" t="s">
        <v>174</v>
      </c>
      <c r="C310" s="38" t="s">
        <v>209</v>
      </c>
      <c r="D310" s="39" t="s">
        <v>183</v>
      </c>
      <c r="E310" s="39" t="s">
        <v>195</v>
      </c>
      <c r="F310" s="38" t="s">
        <v>138</v>
      </c>
      <c r="G310" s="38" t="s">
        <v>130</v>
      </c>
      <c r="H310" s="44">
        <f>SUM(I310:AF310)</f>
        <v>0</v>
      </c>
      <c r="I310" s="44"/>
      <c r="J310" s="44"/>
      <c r="K310" s="44"/>
      <c r="L310" s="44"/>
      <c r="M310" s="44"/>
      <c r="N310" s="44"/>
      <c r="O310" s="44"/>
      <c r="P310" s="44"/>
      <c r="Q310" s="44"/>
      <c r="R310" s="44"/>
      <c r="S310" s="44"/>
      <c r="T310" s="44"/>
      <c r="U310" s="44"/>
      <c r="V310" s="44"/>
      <c r="W310" s="44"/>
      <c r="X310" s="44"/>
      <c r="Y310" s="44"/>
      <c r="Z310" s="44"/>
      <c r="AA310" s="44"/>
      <c r="AB310" s="44"/>
      <c r="AC310" s="44"/>
      <c r="AD310" s="44"/>
      <c r="AE310" s="44"/>
      <c r="AF310" s="44"/>
    </row>
    <row r="311" spans="1:32" x14ac:dyDescent="0.3">
      <c r="A311" s="38" t="s">
        <v>210</v>
      </c>
      <c r="B311" s="38" t="s">
        <v>174</v>
      </c>
      <c r="C311" s="38" t="s">
        <v>209</v>
      </c>
      <c r="D311" s="39" t="s">
        <v>183</v>
      </c>
      <c r="E311" s="39" t="s">
        <v>195</v>
      </c>
      <c r="F311" s="38" t="s">
        <v>139</v>
      </c>
      <c r="G311" s="38" t="s">
        <v>130</v>
      </c>
      <c r="H311" s="44"/>
      <c r="I311" s="44"/>
      <c r="J311" s="44"/>
      <c r="K311" s="44"/>
      <c r="L311" s="44"/>
      <c r="M311" s="44"/>
      <c r="N311" s="44"/>
      <c r="O311" s="44"/>
      <c r="P311" s="44"/>
      <c r="Q311" s="44"/>
      <c r="R311" s="44"/>
      <c r="S311" s="44"/>
      <c r="T311" s="44"/>
      <c r="U311" s="44"/>
      <c r="V311" s="44"/>
      <c r="W311" s="44"/>
      <c r="X311" s="44"/>
      <c r="Y311" s="44"/>
      <c r="Z311" s="44"/>
      <c r="AA311" s="44"/>
      <c r="AB311" s="44"/>
      <c r="AC311" s="44"/>
      <c r="AD311" s="44"/>
      <c r="AE311" s="44"/>
      <c r="AF311" s="44"/>
    </row>
    <row r="312" spans="1:32" x14ac:dyDescent="0.3">
      <c r="A312" s="38" t="s">
        <v>210</v>
      </c>
      <c r="B312" s="38" t="s">
        <v>174</v>
      </c>
      <c r="C312" s="38" t="s">
        <v>209</v>
      </c>
      <c r="D312" s="39" t="s">
        <v>183</v>
      </c>
      <c r="E312" s="39" t="s">
        <v>195</v>
      </c>
      <c r="F312" s="38" t="s">
        <v>140</v>
      </c>
      <c r="G312" s="38" t="s">
        <v>130</v>
      </c>
      <c r="H312" s="44"/>
      <c r="I312" s="44">
        <f>I307-(I302+I301)+(I306+I305+I304+I303)</f>
        <v>-17734</v>
      </c>
      <c r="J312" s="44">
        <f t="shared" ref="J312:AF312" si="70">I312+J307-J302</f>
        <v>-20721</v>
      </c>
      <c r="K312" s="44">
        <f t="shared" si="70"/>
        <v>-25036</v>
      </c>
      <c r="L312" s="44">
        <f t="shared" si="70"/>
        <v>-30407</v>
      </c>
      <c r="M312" s="44">
        <f t="shared" si="70"/>
        <v>-33450</v>
      </c>
      <c r="N312" s="44">
        <f t="shared" si="70"/>
        <v>-36566</v>
      </c>
      <c r="O312" s="44">
        <f t="shared" si="70"/>
        <v>-39680</v>
      </c>
      <c r="P312" s="44">
        <f t="shared" si="70"/>
        <v>-42793</v>
      </c>
      <c r="Q312" s="44">
        <f t="shared" si="70"/>
        <v>-45761</v>
      </c>
      <c r="R312" s="44">
        <f t="shared" si="70"/>
        <v>-48617</v>
      </c>
      <c r="S312" s="44">
        <f t="shared" si="70"/>
        <v>-51471</v>
      </c>
      <c r="T312" s="44">
        <f t="shared" si="70"/>
        <v>-54323</v>
      </c>
      <c r="U312" s="44">
        <f t="shared" si="70"/>
        <v>-57006</v>
      </c>
      <c r="V312" s="44">
        <f t="shared" si="70"/>
        <v>-58667</v>
      </c>
      <c r="W312" s="44">
        <f t="shared" si="70"/>
        <v>-60327</v>
      </c>
      <c r="X312" s="44">
        <f t="shared" si="70"/>
        <v>-61987</v>
      </c>
      <c r="Y312" s="44">
        <f t="shared" si="70"/>
        <v>-63645</v>
      </c>
      <c r="Z312" s="44">
        <f t="shared" si="70"/>
        <v>-65669</v>
      </c>
      <c r="AA312" s="44">
        <f t="shared" si="70"/>
        <v>-67846</v>
      </c>
      <c r="AB312" s="44">
        <f t="shared" si="70"/>
        <v>-70021</v>
      </c>
      <c r="AC312" s="44">
        <f t="shared" si="70"/>
        <v>-72196</v>
      </c>
      <c r="AD312" s="44">
        <f t="shared" si="70"/>
        <v>-73946</v>
      </c>
      <c r="AE312" s="44">
        <f t="shared" si="70"/>
        <v>-75526</v>
      </c>
      <c r="AF312" s="44">
        <f t="shared" si="70"/>
        <v>-77106</v>
      </c>
    </row>
    <row r="313" spans="1:32" ht="15" thickBot="1" x14ac:dyDescent="0.35">
      <c r="A313" s="40" t="s">
        <v>210</v>
      </c>
      <c r="B313" s="40" t="s">
        <v>174</v>
      </c>
      <c r="C313" s="40" t="s">
        <v>209</v>
      </c>
      <c r="D313" s="41" t="s">
        <v>183</v>
      </c>
      <c r="E313" s="41" t="s">
        <v>195</v>
      </c>
      <c r="F313" s="40" t="s">
        <v>141</v>
      </c>
      <c r="G313" s="40" t="s">
        <v>130</v>
      </c>
      <c r="H313" s="45"/>
      <c r="I313" s="45">
        <f>I307-I311</f>
        <v>0</v>
      </c>
      <c r="J313" s="45">
        <f t="shared" ref="J313:AF313" si="71">I313+J307-J311</f>
        <v>0</v>
      </c>
      <c r="K313" s="45">
        <f t="shared" si="71"/>
        <v>0</v>
      </c>
      <c r="L313" s="45">
        <f t="shared" si="71"/>
        <v>0</v>
      </c>
      <c r="M313" s="45">
        <f t="shared" si="71"/>
        <v>0</v>
      </c>
      <c r="N313" s="45">
        <f t="shared" si="71"/>
        <v>0</v>
      </c>
      <c r="O313" s="45">
        <f t="shared" si="71"/>
        <v>0</v>
      </c>
      <c r="P313" s="45">
        <f t="shared" si="71"/>
        <v>0</v>
      </c>
      <c r="Q313" s="45">
        <f t="shared" si="71"/>
        <v>0</v>
      </c>
      <c r="R313" s="45">
        <f t="shared" si="71"/>
        <v>0</v>
      </c>
      <c r="S313" s="45">
        <f t="shared" si="71"/>
        <v>0</v>
      </c>
      <c r="T313" s="45">
        <f t="shared" si="71"/>
        <v>0</v>
      </c>
      <c r="U313" s="45">
        <f t="shared" si="71"/>
        <v>0</v>
      </c>
      <c r="V313" s="45">
        <f t="shared" si="71"/>
        <v>0</v>
      </c>
      <c r="W313" s="45">
        <f t="shared" si="71"/>
        <v>0</v>
      </c>
      <c r="X313" s="45">
        <f t="shared" si="71"/>
        <v>0</v>
      </c>
      <c r="Y313" s="45">
        <f t="shared" si="71"/>
        <v>0</v>
      </c>
      <c r="Z313" s="45">
        <f t="shared" si="71"/>
        <v>0</v>
      </c>
      <c r="AA313" s="45">
        <f t="shared" si="71"/>
        <v>0</v>
      </c>
      <c r="AB313" s="45">
        <f t="shared" si="71"/>
        <v>0</v>
      </c>
      <c r="AC313" s="45">
        <f t="shared" si="71"/>
        <v>0</v>
      </c>
      <c r="AD313" s="45">
        <f t="shared" si="71"/>
        <v>0</v>
      </c>
      <c r="AE313" s="45">
        <f t="shared" si="71"/>
        <v>0</v>
      </c>
      <c r="AF313" s="45">
        <f t="shared" si="71"/>
        <v>0</v>
      </c>
    </row>
    <row r="314" spans="1:32" x14ac:dyDescent="0.3">
      <c r="A314" s="38" t="s">
        <v>210</v>
      </c>
      <c r="B314" s="38" t="s">
        <v>174</v>
      </c>
      <c r="C314" s="38" t="s">
        <v>209</v>
      </c>
      <c r="D314" s="39" t="s">
        <v>183</v>
      </c>
      <c r="E314" s="39" t="s">
        <v>177</v>
      </c>
      <c r="F314" s="38" t="s">
        <v>129</v>
      </c>
      <c r="G314" s="38" t="s">
        <v>130</v>
      </c>
      <c r="H314" s="44">
        <v>58927</v>
      </c>
      <c r="I314" s="44">
        <v>58927</v>
      </c>
      <c r="J314" s="44"/>
      <c r="K314" s="44"/>
      <c r="L314" s="44"/>
      <c r="M314" s="44"/>
      <c r="N314" s="44"/>
      <c r="O314" s="44"/>
      <c r="P314" s="44"/>
      <c r="Q314" s="44"/>
      <c r="R314" s="44"/>
      <c r="S314" s="44"/>
      <c r="T314" s="44"/>
      <c r="U314" s="44"/>
      <c r="V314" s="44"/>
      <c r="W314" s="44"/>
      <c r="X314" s="44"/>
      <c r="Y314" s="44"/>
      <c r="Z314" s="44"/>
      <c r="AA314" s="44"/>
      <c r="AB314" s="44"/>
      <c r="AC314" s="44"/>
      <c r="AD314" s="44"/>
      <c r="AE314" s="44"/>
      <c r="AF314" s="44"/>
    </row>
    <row r="315" spans="1:32" x14ac:dyDescent="0.3">
      <c r="A315" s="38" t="s">
        <v>210</v>
      </c>
      <c r="B315" s="38" t="s">
        <v>174</v>
      </c>
      <c r="C315" s="38" t="s">
        <v>209</v>
      </c>
      <c r="D315" s="39" t="s">
        <v>183</v>
      </c>
      <c r="E315" s="39" t="s">
        <v>177</v>
      </c>
      <c r="F315" s="38" t="s">
        <v>131</v>
      </c>
      <c r="G315" s="38" t="s">
        <v>130</v>
      </c>
      <c r="H315" s="44">
        <v>548793</v>
      </c>
      <c r="I315" s="44">
        <v>45758</v>
      </c>
      <c r="J315" s="44">
        <v>41414</v>
      </c>
      <c r="K315" s="44">
        <v>24056</v>
      </c>
      <c r="L315" s="44">
        <v>24614</v>
      </c>
      <c r="M315" s="44">
        <v>29390</v>
      </c>
      <c r="N315" s="44">
        <v>30538</v>
      </c>
      <c r="O315" s="44">
        <v>30874</v>
      </c>
      <c r="P315" s="44">
        <v>30472</v>
      </c>
      <c r="Q315" s="44">
        <v>31886</v>
      </c>
      <c r="R315" s="44">
        <v>28473</v>
      </c>
      <c r="S315" s="44">
        <v>29162</v>
      </c>
      <c r="T315" s="44">
        <v>29746</v>
      </c>
      <c r="U315" s="44">
        <v>30787</v>
      </c>
      <c r="V315" s="44">
        <v>21876</v>
      </c>
      <c r="W315" s="44">
        <v>21920</v>
      </c>
      <c r="X315" s="44">
        <v>22045</v>
      </c>
      <c r="Y315" s="44">
        <v>22139</v>
      </c>
      <c r="Z315" s="44">
        <v>12467</v>
      </c>
      <c r="AA315" s="44">
        <v>8731</v>
      </c>
      <c r="AB315" s="44">
        <v>8728</v>
      </c>
      <c r="AC315" s="44">
        <v>8724</v>
      </c>
      <c r="AD315" s="44">
        <v>5775</v>
      </c>
      <c r="AE315" s="44">
        <v>4610</v>
      </c>
      <c r="AF315" s="44">
        <v>4608</v>
      </c>
    </row>
    <row r="316" spans="1:32" x14ac:dyDescent="0.3">
      <c r="A316" s="38" t="s">
        <v>210</v>
      </c>
      <c r="B316" s="38" t="s">
        <v>174</v>
      </c>
      <c r="C316" s="38" t="s">
        <v>209</v>
      </c>
      <c r="D316" s="39" t="s">
        <v>183</v>
      </c>
      <c r="E316" s="39" t="s">
        <v>177</v>
      </c>
      <c r="F316" s="38" t="s">
        <v>132</v>
      </c>
      <c r="G316" s="38" t="s">
        <v>130</v>
      </c>
      <c r="H316" s="44">
        <v>62240</v>
      </c>
      <c r="I316" s="44">
        <v>62240</v>
      </c>
      <c r="J316" s="44"/>
      <c r="K316" s="44"/>
      <c r="L316" s="44"/>
      <c r="M316" s="44"/>
      <c r="N316" s="44"/>
      <c r="O316" s="44"/>
      <c r="P316" s="44"/>
      <c r="Q316" s="44"/>
      <c r="R316" s="44"/>
      <c r="S316" s="44"/>
      <c r="T316" s="44"/>
      <c r="U316" s="44"/>
      <c r="V316" s="44"/>
      <c r="W316" s="44"/>
      <c r="X316" s="44"/>
      <c r="Y316" s="44"/>
      <c r="Z316" s="44"/>
      <c r="AA316" s="44"/>
      <c r="AB316" s="44"/>
      <c r="AC316" s="44"/>
      <c r="AD316" s="44"/>
      <c r="AE316" s="44"/>
      <c r="AF316" s="44"/>
    </row>
    <row r="317" spans="1:32" x14ac:dyDescent="0.3">
      <c r="A317" s="38" t="s">
        <v>210</v>
      </c>
      <c r="B317" s="38" t="s">
        <v>174</v>
      </c>
      <c r="C317" s="38" t="s">
        <v>209</v>
      </c>
      <c r="D317" s="39" t="s">
        <v>183</v>
      </c>
      <c r="E317" s="39" t="s">
        <v>177</v>
      </c>
      <c r="F317" s="38" t="s">
        <v>133</v>
      </c>
      <c r="G317" s="38" t="s">
        <v>130</v>
      </c>
      <c r="H317" s="44">
        <v>0</v>
      </c>
      <c r="I317" s="44">
        <v>0</v>
      </c>
      <c r="J317" s="44"/>
      <c r="K317" s="44"/>
      <c r="L317" s="44"/>
      <c r="M317" s="44"/>
      <c r="N317" s="44"/>
      <c r="O317" s="44"/>
      <c r="P317" s="44"/>
      <c r="Q317" s="44"/>
      <c r="R317" s="44"/>
      <c r="S317" s="44"/>
      <c r="T317" s="44"/>
      <c r="U317" s="44"/>
      <c r="V317" s="44"/>
      <c r="W317" s="44"/>
      <c r="X317" s="44"/>
      <c r="Y317" s="44"/>
      <c r="Z317" s="44"/>
      <c r="AA317" s="44"/>
      <c r="AB317" s="44"/>
      <c r="AC317" s="44"/>
      <c r="AD317" s="44"/>
      <c r="AE317" s="44"/>
      <c r="AF317" s="44"/>
    </row>
    <row r="318" spans="1:32" x14ac:dyDescent="0.3">
      <c r="A318" s="38" t="s">
        <v>210</v>
      </c>
      <c r="B318" s="38" t="s">
        <v>174</v>
      </c>
      <c r="C318" s="38" t="s">
        <v>209</v>
      </c>
      <c r="D318" s="39" t="s">
        <v>183</v>
      </c>
      <c r="E318" s="39" t="s">
        <v>177</v>
      </c>
      <c r="F318" s="38" t="s">
        <v>134</v>
      </c>
      <c r="G318" s="38" t="s">
        <v>130</v>
      </c>
      <c r="H318" s="44">
        <v>1598</v>
      </c>
      <c r="I318" s="44">
        <v>1598</v>
      </c>
      <c r="J318" s="44"/>
      <c r="K318" s="44"/>
      <c r="L318" s="44"/>
      <c r="M318" s="44"/>
      <c r="N318" s="44"/>
      <c r="O318" s="44"/>
      <c r="P318" s="44"/>
      <c r="Q318" s="44"/>
      <c r="R318" s="44"/>
      <c r="S318" s="44"/>
      <c r="T318" s="44"/>
      <c r="U318" s="44"/>
      <c r="V318" s="44"/>
      <c r="W318" s="44"/>
      <c r="X318" s="44"/>
      <c r="Y318" s="44"/>
      <c r="Z318" s="44"/>
      <c r="AA318" s="44"/>
      <c r="AB318" s="44"/>
      <c r="AC318" s="44"/>
      <c r="AD318" s="44"/>
      <c r="AE318" s="44"/>
      <c r="AF318" s="44"/>
    </row>
    <row r="319" spans="1:32" x14ac:dyDescent="0.3">
      <c r="A319" s="38" t="s">
        <v>210</v>
      </c>
      <c r="B319" s="38" t="s">
        <v>174</v>
      </c>
      <c r="C319" s="38" t="s">
        <v>209</v>
      </c>
      <c r="D319" s="39" t="s">
        <v>183</v>
      </c>
      <c r="E319" s="39" t="s">
        <v>177</v>
      </c>
      <c r="F319" s="38" t="s">
        <v>135</v>
      </c>
      <c r="G319" s="38" t="s">
        <v>130</v>
      </c>
      <c r="H319" s="44"/>
      <c r="I319" s="44"/>
      <c r="J319" s="44"/>
      <c r="K319" s="44"/>
      <c r="L319" s="44"/>
      <c r="M319" s="44"/>
      <c r="N319" s="44"/>
      <c r="O319" s="44"/>
      <c r="P319" s="44"/>
      <c r="Q319" s="44"/>
      <c r="R319" s="44"/>
      <c r="S319" s="44"/>
      <c r="T319" s="44"/>
      <c r="U319" s="44"/>
      <c r="V319" s="44"/>
      <c r="W319" s="44"/>
      <c r="X319" s="44"/>
      <c r="Y319" s="44"/>
      <c r="Z319" s="44"/>
      <c r="AA319" s="44"/>
      <c r="AB319" s="44"/>
      <c r="AC319" s="44"/>
      <c r="AD319" s="44"/>
      <c r="AE319" s="44"/>
      <c r="AF319" s="44"/>
    </row>
    <row r="320" spans="1:32" x14ac:dyDescent="0.3">
      <c r="A320" s="38" t="s">
        <v>210</v>
      </c>
      <c r="B320" s="38" t="s">
        <v>174</v>
      </c>
      <c r="C320" s="38" t="s">
        <v>209</v>
      </c>
      <c r="D320" s="39" t="s">
        <v>183</v>
      </c>
      <c r="E320" s="39" t="s">
        <v>177</v>
      </c>
      <c r="F320" s="38" t="s">
        <v>136</v>
      </c>
      <c r="G320" s="38" t="s">
        <v>130</v>
      </c>
      <c r="H320" s="44">
        <f>SUM(I320:AF320)</f>
        <v>160000</v>
      </c>
      <c r="I320" s="44">
        <f t="shared" ref="I320:AF320" si="72">IF(AND(ISBLANK(I323) = TRUE,ISBLANK(I322) = TRUE),I321,I322+I323)</f>
        <v>20000</v>
      </c>
      <c r="J320" s="44">
        <f t="shared" si="72"/>
        <v>0</v>
      </c>
      <c r="K320" s="44">
        <f t="shared" si="72"/>
        <v>20000</v>
      </c>
      <c r="L320" s="44">
        <f t="shared" si="72"/>
        <v>20000</v>
      </c>
      <c r="M320" s="44">
        <f t="shared" si="72"/>
        <v>20000</v>
      </c>
      <c r="N320" s="44">
        <f t="shared" si="72"/>
        <v>0</v>
      </c>
      <c r="O320" s="44">
        <f t="shared" si="72"/>
        <v>0</v>
      </c>
      <c r="P320" s="44">
        <f t="shared" si="72"/>
        <v>20000</v>
      </c>
      <c r="Q320" s="44">
        <f t="shared" si="72"/>
        <v>20000</v>
      </c>
      <c r="R320" s="44">
        <f t="shared" si="72"/>
        <v>0</v>
      </c>
      <c r="S320" s="44">
        <f t="shared" si="72"/>
        <v>0</v>
      </c>
      <c r="T320" s="44">
        <f t="shared" si="72"/>
        <v>20000</v>
      </c>
      <c r="U320" s="44">
        <f t="shared" si="72"/>
        <v>0</v>
      </c>
      <c r="V320" s="44">
        <f t="shared" si="72"/>
        <v>20000</v>
      </c>
      <c r="W320" s="44">
        <f t="shared" si="72"/>
        <v>0</v>
      </c>
      <c r="X320" s="44">
        <f t="shared" si="72"/>
        <v>0</v>
      </c>
      <c r="Y320" s="44">
        <f t="shared" si="72"/>
        <v>0</v>
      </c>
      <c r="Z320" s="44">
        <f t="shared" si="72"/>
        <v>0</v>
      </c>
      <c r="AA320" s="44">
        <f t="shared" si="72"/>
        <v>0</v>
      </c>
      <c r="AB320" s="44">
        <f t="shared" si="72"/>
        <v>0</v>
      </c>
      <c r="AC320" s="44">
        <f t="shared" si="72"/>
        <v>0</v>
      </c>
      <c r="AD320" s="44">
        <f t="shared" si="72"/>
        <v>0</v>
      </c>
      <c r="AE320" s="44">
        <f t="shared" si="72"/>
        <v>0</v>
      </c>
      <c r="AF320" s="44">
        <f t="shared" si="72"/>
        <v>0</v>
      </c>
    </row>
    <row r="321" spans="1:32" x14ac:dyDescent="0.3">
      <c r="A321" s="38" t="s">
        <v>210</v>
      </c>
      <c r="B321" s="38" t="s">
        <v>174</v>
      </c>
      <c r="C321" s="38" t="s">
        <v>209</v>
      </c>
      <c r="D321" s="39" t="s">
        <v>183</v>
      </c>
      <c r="E321" s="39" t="s">
        <v>177</v>
      </c>
      <c r="F321" s="38" t="s">
        <v>124</v>
      </c>
      <c r="G321" s="38" t="s">
        <v>130</v>
      </c>
      <c r="H321" s="44">
        <v>160000</v>
      </c>
      <c r="I321" s="44">
        <v>20000</v>
      </c>
      <c r="J321" s="44"/>
      <c r="K321" s="44">
        <v>20000</v>
      </c>
      <c r="L321" s="44">
        <v>20000</v>
      </c>
      <c r="M321" s="44">
        <v>20000</v>
      </c>
      <c r="N321" s="44"/>
      <c r="O321" s="44"/>
      <c r="P321" s="44">
        <v>20000</v>
      </c>
      <c r="Q321" s="44">
        <v>20000</v>
      </c>
      <c r="R321" s="44"/>
      <c r="S321" s="44"/>
      <c r="T321" s="44">
        <v>20000</v>
      </c>
      <c r="U321" s="44"/>
      <c r="V321" s="44">
        <v>20000</v>
      </c>
      <c r="W321" s="44"/>
      <c r="X321" s="44"/>
      <c r="Y321" s="44"/>
      <c r="Z321" s="44"/>
      <c r="AA321" s="44"/>
      <c r="AB321" s="44"/>
      <c r="AC321" s="44"/>
      <c r="AD321" s="44"/>
      <c r="AE321" s="44"/>
      <c r="AF321" s="44"/>
    </row>
    <row r="322" spans="1:32" x14ac:dyDescent="0.3">
      <c r="A322" s="38" t="s">
        <v>210</v>
      </c>
      <c r="B322" s="38" t="s">
        <v>174</v>
      </c>
      <c r="C322" s="38" t="s">
        <v>209</v>
      </c>
      <c r="D322" s="39" t="s">
        <v>183</v>
      </c>
      <c r="E322" s="39" t="s">
        <v>177</v>
      </c>
      <c r="F322" s="38" t="s">
        <v>137</v>
      </c>
      <c r="G322" s="38" t="s">
        <v>130</v>
      </c>
      <c r="H322" s="44">
        <f>SUM(I322:AF322)</f>
        <v>0</v>
      </c>
      <c r="I322" s="44"/>
      <c r="J322" s="44"/>
      <c r="K322" s="44"/>
      <c r="L322" s="44"/>
      <c r="M322" s="44"/>
      <c r="N322" s="44"/>
      <c r="O322" s="44"/>
      <c r="P322" s="44"/>
      <c r="Q322" s="44"/>
      <c r="R322" s="44"/>
      <c r="S322" s="44"/>
      <c r="T322" s="44"/>
      <c r="U322" s="44"/>
      <c r="V322" s="44"/>
      <c r="W322" s="44"/>
      <c r="X322" s="44"/>
      <c r="Y322" s="44"/>
      <c r="Z322" s="44"/>
      <c r="AA322" s="44"/>
      <c r="AB322" s="44"/>
      <c r="AC322" s="44"/>
      <c r="AD322" s="44"/>
      <c r="AE322" s="44"/>
      <c r="AF322" s="44"/>
    </row>
    <row r="323" spans="1:32" x14ac:dyDescent="0.3">
      <c r="A323" s="38" t="s">
        <v>210</v>
      </c>
      <c r="B323" s="38" t="s">
        <v>174</v>
      </c>
      <c r="C323" s="38" t="s">
        <v>209</v>
      </c>
      <c r="D323" s="39" t="s">
        <v>183</v>
      </c>
      <c r="E323" s="39" t="s">
        <v>177</v>
      </c>
      <c r="F323" s="38" t="s">
        <v>138</v>
      </c>
      <c r="G323" s="38" t="s">
        <v>130</v>
      </c>
      <c r="H323" s="44">
        <f>SUM(I323:AF323)</f>
        <v>0</v>
      </c>
      <c r="I323" s="44"/>
      <c r="J323" s="44"/>
      <c r="K323" s="44"/>
      <c r="L323" s="44"/>
      <c r="M323" s="44"/>
      <c r="N323" s="44"/>
      <c r="O323" s="44"/>
      <c r="P323" s="44"/>
      <c r="Q323" s="44"/>
      <c r="R323" s="44"/>
      <c r="S323" s="44"/>
      <c r="T323" s="44"/>
      <c r="U323" s="44"/>
      <c r="V323" s="44"/>
      <c r="W323" s="44"/>
      <c r="X323" s="44"/>
      <c r="Y323" s="44"/>
      <c r="Z323" s="44"/>
      <c r="AA323" s="44"/>
      <c r="AB323" s="44"/>
      <c r="AC323" s="44"/>
      <c r="AD323" s="44"/>
      <c r="AE323" s="44"/>
      <c r="AF323" s="44"/>
    </row>
    <row r="324" spans="1:32" x14ac:dyDescent="0.3">
      <c r="A324" s="38" t="s">
        <v>210</v>
      </c>
      <c r="B324" s="38" t="s">
        <v>174</v>
      </c>
      <c r="C324" s="38" t="s">
        <v>209</v>
      </c>
      <c r="D324" s="39" t="s">
        <v>183</v>
      </c>
      <c r="E324" s="39" t="s">
        <v>177</v>
      </c>
      <c r="F324" s="38" t="s">
        <v>139</v>
      </c>
      <c r="G324" s="38" t="s">
        <v>130</v>
      </c>
      <c r="H324" s="44">
        <v>160000</v>
      </c>
      <c r="I324" s="44">
        <v>20000</v>
      </c>
      <c r="J324" s="44"/>
      <c r="K324" s="44">
        <v>20000</v>
      </c>
      <c r="L324" s="44">
        <v>20000</v>
      </c>
      <c r="M324" s="44">
        <v>20000</v>
      </c>
      <c r="N324" s="44"/>
      <c r="O324" s="44"/>
      <c r="P324" s="44">
        <v>20000</v>
      </c>
      <c r="Q324" s="44">
        <v>20000</v>
      </c>
      <c r="R324" s="44"/>
      <c r="S324" s="44"/>
      <c r="T324" s="44">
        <v>20000</v>
      </c>
      <c r="U324" s="44"/>
      <c r="V324" s="44">
        <v>20000</v>
      </c>
      <c r="W324" s="44"/>
      <c r="X324" s="44"/>
      <c r="Y324" s="44"/>
      <c r="Z324" s="44"/>
      <c r="AA324" s="44"/>
      <c r="AB324" s="44"/>
      <c r="AC324" s="44"/>
      <c r="AD324" s="44"/>
      <c r="AE324" s="44"/>
      <c r="AF324" s="44"/>
    </row>
    <row r="325" spans="1:32" x14ac:dyDescent="0.3">
      <c r="A325" s="38" t="s">
        <v>210</v>
      </c>
      <c r="B325" s="38" t="s">
        <v>174</v>
      </c>
      <c r="C325" s="38" t="s">
        <v>209</v>
      </c>
      <c r="D325" s="39" t="s">
        <v>183</v>
      </c>
      <c r="E325" s="39" t="s">
        <v>177</v>
      </c>
      <c r="F325" s="38" t="s">
        <v>140</v>
      </c>
      <c r="G325" s="38" t="s">
        <v>130</v>
      </c>
      <c r="H325" s="44"/>
      <c r="I325" s="44">
        <f>I320-(I315+I314)+(I319+I318+I317+I316)</f>
        <v>-20847</v>
      </c>
      <c r="J325" s="44">
        <f t="shared" ref="J325:AF325" si="73">I325+J320-J315</f>
        <v>-62261</v>
      </c>
      <c r="K325" s="44">
        <f t="shared" si="73"/>
        <v>-66317</v>
      </c>
      <c r="L325" s="44">
        <f t="shared" si="73"/>
        <v>-70931</v>
      </c>
      <c r="M325" s="44">
        <f t="shared" si="73"/>
        <v>-80321</v>
      </c>
      <c r="N325" s="44">
        <f t="shared" si="73"/>
        <v>-110859</v>
      </c>
      <c r="O325" s="44">
        <f t="shared" si="73"/>
        <v>-141733</v>
      </c>
      <c r="P325" s="44">
        <f t="shared" si="73"/>
        <v>-152205</v>
      </c>
      <c r="Q325" s="44">
        <f t="shared" si="73"/>
        <v>-164091</v>
      </c>
      <c r="R325" s="44">
        <f t="shared" si="73"/>
        <v>-192564</v>
      </c>
      <c r="S325" s="44">
        <f t="shared" si="73"/>
        <v>-221726</v>
      </c>
      <c r="T325" s="44">
        <f t="shared" si="73"/>
        <v>-231472</v>
      </c>
      <c r="U325" s="44">
        <f t="shared" si="73"/>
        <v>-262259</v>
      </c>
      <c r="V325" s="44">
        <f t="shared" si="73"/>
        <v>-264135</v>
      </c>
      <c r="W325" s="44">
        <f t="shared" si="73"/>
        <v>-286055</v>
      </c>
      <c r="X325" s="44">
        <f t="shared" si="73"/>
        <v>-308100</v>
      </c>
      <c r="Y325" s="44">
        <f t="shared" si="73"/>
        <v>-330239</v>
      </c>
      <c r="Z325" s="44">
        <f t="shared" si="73"/>
        <v>-342706</v>
      </c>
      <c r="AA325" s="44">
        <f t="shared" si="73"/>
        <v>-351437</v>
      </c>
      <c r="AB325" s="44">
        <f t="shared" si="73"/>
        <v>-360165</v>
      </c>
      <c r="AC325" s="44">
        <f t="shared" si="73"/>
        <v>-368889</v>
      </c>
      <c r="AD325" s="44">
        <f t="shared" si="73"/>
        <v>-374664</v>
      </c>
      <c r="AE325" s="44">
        <f t="shared" si="73"/>
        <v>-379274</v>
      </c>
      <c r="AF325" s="44">
        <f t="shared" si="73"/>
        <v>-383882</v>
      </c>
    </row>
    <row r="326" spans="1:32" ht="15" thickBot="1" x14ac:dyDescent="0.35">
      <c r="A326" s="40" t="s">
        <v>210</v>
      </c>
      <c r="B326" s="40" t="s">
        <v>174</v>
      </c>
      <c r="C326" s="40" t="s">
        <v>209</v>
      </c>
      <c r="D326" s="41" t="s">
        <v>183</v>
      </c>
      <c r="E326" s="41" t="s">
        <v>177</v>
      </c>
      <c r="F326" s="40" t="s">
        <v>141</v>
      </c>
      <c r="G326" s="40" t="s">
        <v>130</v>
      </c>
      <c r="H326" s="45"/>
      <c r="I326" s="45">
        <f>I320-I324</f>
        <v>0</v>
      </c>
      <c r="J326" s="45">
        <f t="shared" ref="J326:AF326" si="74">I326+J320-J324</f>
        <v>0</v>
      </c>
      <c r="K326" s="45">
        <f t="shared" si="74"/>
        <v>0</v>
      </c>
      <c r="L326" s="45">
        <f t="shared" si="74"/>
        <v>0</v>
      </c>
      <c r="M326" s="45">
        <f t="shared" si="74"/>
        <v>0</v>
      </c>
      <c r="N326" s="45">
        <f t="shared" si="74"/>
        <v>0</v>
      </c>
      <c r="O326" s="45">
        <f t="shared" si="74"/>
        <v>0</v>
      </c>
      <c r="P326" s="45">
        <f t="shared" si="74"/>
        <v>0</v>
      </c>
      <c r="Q326" s="45">
        <f t="shared" si="74"/>
        <v>0</v>
      </c>
      <c r="R326" s="45">
        <f t="shared" si="74"/>
        <v>0</v>
      </c>
      <c r="S326" s="45">
        <f t="shared" si="74"/>
        <v>0</v>
      </c>
      <c r="T326" s="45">
        <f t="shared" si="74"/>
        <v>0</v>
      </c>
      <c r="U326" s="45">
        <f t="shared" si="74"/>
        <v>0</v>
      </c>
      <c r="V326" s="45">
        <f t="shared" si="74"/>
        <v>0</v>
      </c>
      <c r="W326" s="45">
        <f t="shared" si="74"/>
        <v>0</v>
      </c>
      <c r="X326" s="45">
        <f t="shared" si="74"/>
        <v>0</v>
      </c>
      <c r="Y326" s="45">
        <f t="shared" si="74"/>
        <v>0</v>
      </c>
      <c r="Z326" s="45">
        <f t="shared" si="74"/>
        <v>0</v>
      </c>
      <c r="AA326" s="45">
        <f t="shared" si="74"/>
        <v>0</v>
      </c>
      <c r="AB326" s="45">
        <f t="shared" si="74"/>
        <v>0</v>
      </c>
      <c r="AC326" s="45">
        <f t="shared" si="74"/>
        <v>0</v>
      </c>
      <c r="AD326" s="45">
        <f t="shared" si="74"/>
        <v>0</v>
      </c>
      <c r="AE326" s="45">
        <f t="shared" si="74"/>
        <v>0</v>
      </c>
      <c r="AF326" s="45">
        <f t="shared" si="74"/>
        <v>0</v>
      </c>
    </row>
    <row r="327" spans="1:32" x14ac:dyDescent="0.3">
      <c r="A327" s="38" t="s">
        <v>211</v>
      </c>
      <c r="B327" s="38" t="s">
        <v>174</v>
      </c>
      <c r="C327" s="38" t="s">
        <v>212</v>
      </c>
      <c r="D327" s="39" t="s">
        <v>180</v>
      </c>
      <c r="E327" s="39" t="s">
        <v>177</v>
      </c>
      <c r="F327" s="38" t="s">
        <v>129</v>
      </c>
      <c r="G327" s="38" t="s">
        <v>130</v>
      </c>
      <c r="H327" s="44">
        <v>0</v>
      </c>
      <c r="I327" s="44">
        <v>0</v>
      </c>
      <c r="J327" s="44"/>
      <c r="K327" s="44"/>
      <c r="L327" s="44"/>
      <c r="M327" s="44"/>
      <c r="N327" s="44"/>
      <c r="O327" s="44"/>
      <c r="P327" s="44"/>
      <c r="Q327" s="44"/>
      <c r="R327" s="44"/>
      <c r="S327" s="44"/>
      <c r="T327" s="44"/>
      <c r="U327" s="44"/>
      <c r="V327" s="44"/>
      <c r="W327" s="44"/>
      <c r="X327" s="44"/>
      <c r="Y327" s="44"/>
      <c r="Z327" s="44"/>
      <c r="AA327" s="44"/>
      <c r="AB327" s="44"/>
      <c r="AC327" s="44"/>
      <c r="AD327" s="44"/>
      <c r="AE327" s="44"/>
      <c r="AF327" s="44"/>
    </row>
    <row r="328" spans="1:32" x14ac:dyDescent="0.3">
      <c r="A328" s="38" t="s">
        <v>211</v>
      </c>
      <c r="B328" s="38" t="s">
        <v>174</v>
      </c>
      <c r="C328" s="38" t="s">
        <v>212</v>
      </c>
      <c r="D328" s="39" t="s">
        <v>180</v>
      </c>
      <c r="E328" s="39" t="s">
        <v>177</v>
      </c>
      <c r="F328" s="38" t="s">
        <v>131</v>
      </c>
      <c r="G328" s="38" t="s">
        <v>130</v>
      </c>
      <c r="H328" s="44">
        <v>118</v>
      </c>
      <c r="I328" s="44">
        <v>2</v>
      </c>
      <c r="J328" s="44">
        <v>2</v>
      </c>
      <c r="K328" s="44">
        <v>1</v>
      </c>
      <c r="L328" s="44">
        <v>1</v>
      </c>
      <c r="M328" s="44">
        <v>4</v>
      </c>
      <c r="N328" s="44">
        <v>4</v>
      </c>
      <c r="O328" s="44">
        <v>3</v>
      </c>
      <c r="P328" s="44">
        <v>3</v>
      </c>
      <c r="Q328" s="44">
        <v>4</v>
      </c>
      <c r="R328" s="44">
        <v>5</v>
      </c>
      <c r="S328" s="44">
        <v>5</v>
      </c>
      <c r="T328" s="44">
        <v>4</v>
      </c>
      <c r="U328" s="44">
        <v>5</v>
      </c>
      <c r="V328" s="44">
        <v>7</v>
      </c>
      <c r="W328" s="44">
        <v>6</v>
      </c>
      <c r="X328" s="44">
        <v>6</v>
      </c>
      <c r="Y328" s="44">
        <v>6</v>
      </c>
      <c r="Z328" s="44">
        <v>6</v>
      </c>
      <c r="AA328" s="44">
        <v>8</v>
      </c>
      <c r="AB328" s="44">
        <v>8</v>
      </c>
      <c r="AC328" s="44">
        <v>7</v>
      </c>
      <c r="AD328" s="44">
        <v>7</v>
      </c>
      <c r="AE328" s="44">
        <v>7</v>
      </c>
      <c r="AF328" s="44">
        <v>7</v>
      </c>
    </row>
    <row r="329" spans="1:32" x14ac:dyDescent="0.3">
      <c r="A329" s="38" t="s">
        <v>211</v>
      </c>
      <c r="B329" s="38" t="s">
        <v>174</v>
      </c>
      <c r="C329" s="38" t="s">
        <v>212</v>
      </c>
      <c r="D329" s="39" t="s">
        <v>180</v>
      </c>
      <c r="E329" s="39" t="s">
        <v>177</v>
      </c>
      <c r="F329" s="38" t="s">
        <v>132</v>
      </c>
      <c r="G329" s="38" t="s">
        <v>130</v>
      </c>
      <c r="H329" s="44"/>
      <c r="I329" s="44"/>
      <c r="J329" s="44"/>
      <c r="K329" s="44"/>
      <c r="L329" s="44"/>
      <c r="M329" s="44"/>
      <c r="N329" s="44"/>
      <c r="O329" s="44"/>
      <c r="P329" s="44"/>
      <c r="Q329" s="44"/>
      <c r="R329" s="44"/>
      <c r="S329" s="44"/>
      <c r="T329" s="44"/>
      <c r="U329" s="44"/>
      <c r="V329" s="44"/>
      <c r="W329" s="44"/>
      <c r="X329" s="44"/>
      <c r="Y329" s="44"/>
      <c r="Z329" s="44"/>
      <c r="AA329" s="44"/>
      <c r="AB329" s="44"/>
      <c r="AC329" s="44"/>
      <c r="AD329" s="44"/>
      <c r="AE329" s="44"/>
      <c r="AF329" s="44"/>
    </row>
    <row r="330" spans="1:32" x14ac:dyDescent="0.3">
      <c r="A330" s="38" t="s">
        <v>211</v>
      </c>
      <c r="B330" s="38" t="s">
        <v>174</v>
      </c>
      <c r="C330" s="38" t="s">
        <v>212</v>
      </c>
      <c r="D330" s="39" t="s">
        <v>180</v>
      </c>
      <c r="E330" s="39" t="s">
        <v>177</v>
      </c>
      <c r="F330" s="38" t="s">
        <v>133</v>
      </c>
      <c r="G330" s="38" t="s">
        <v>130</v>
      </c>
      <c r="H330" s="44"/>
      <c r="I330" s="44"/>
      <c r="J330" s="44"/>
      <c r="K330" s="44"/>
      <c r="L330" s="44"/>
      <c r="M330" s="44"/>
      <c r="N330" s="44"/>
      <c r="O330" s="44"/>
      <c r="P330" s="44"/>
      <c r="Q330" s="44"/>
      <c r="R330" s="44"/>
      <c r="S330" s="44"/>
      <c r="T330" s="44"/>
      <c r="U330" s="44"/>
      <c r="V330" s="44"/>
      <c r="W330" s="44"/>
      <c r="X330" s="44"/>
      <c r="Y330" s="44"/>
      <c r="Z330" s="44"/>
      <c r="AA330" s="44"/>
      <c r="AB330" s="44"/>
      <c r="AC330" s="44"/>
      <c r="AD330" s="44"/>
      <c r="AE330" s="44"/>
      <c r="AF330" s="44"/>
    </row>
    <row r="331" spans="1:32" x14ac:dyDescent="0.3">
      <c r="A331" s="38" t="s">
        <v>211</v>
      </c>
      <c r="B331" s="38" t="s">
        <v>174</v>
      </c>
      <c r="C331" s="38" t="s">
        <v>212</v>
      </c>
      <c r="D331" s="39" t="s">
        <v>180</v>
      </c>
      <c r="E331" s="39" t="s">
        <v>177</v>
      </c>
      <c r="F331" s="38" t="s">
        <v>134</v>
      </c>
      <c r="G331" s="38" t="s">
        <v>130</v>
      </c>
      <c r="H331" s="44"/>
      <c r="I331" s="44"/>
      <c r="J331" s="44"/>
      <c r="K331" s="44"/>
      <c r="L331" s="44"/>
      <c r="M331" s="44"/>
      <c r="N331" s="44"/>
      <c r="O331" s="44"/>
      <c r="P331" s="44"/>
      <c r="Q331" s="44"/>
      <c r="R331" s="44"/>
      <c r="S331" s="44"/>
      <c r="T331" s="44"/>
      <c r="U331" s="44"/>
      <c r="V331" s="44"/>
      <c r="W331" s="44"/>
      <c r="X331" s="44"/>
      <c r="Y331" s="44"/>
      <c r="Z331" s="44"/>
      <c r="AA331" s="44"/>
      <c r="AB331" s="44"/>
      <c r="AC331" s="44"/>
      <c r="AD331" s="44"/>
      <c r="AE331" s="44"/>
      <c r="AF331" s="44"/>
    </row>
    <row r="332" spans="1:32" x14ac:dyDescent="0.3">
      <c r="A332" s="38" t="s">
        <v>211</v>
      </c>
      <c r="B332" s="38" t="s">
        <v>174</v>
      </c>
      <c r="C332" s="38" t="s">
        <v>212</v>
      </c>
      <c r="D332" s="39" t="s">
        <v>180</v>
      </c>
      <c r="E332" s="39" t="s">
        <v>177</v>
      </c>
      <c r="F332" s="38" t="s">
        <v>135</v>
      </c>
      <c r="G332" s="38" t="s">
        <v>130</v>
      </c>
      <c r="H332" s="44"/>
      <c r="I332" s="44"/>
      <c r="J332" s="44"/>
      <c r="K332" s="44"/>
      <c r="L332" s="44"/>
      <c r="M332" s="44"/>
      <c r="N332" s="44"/>
      <c r="O332" s="44"/>
      <c r="P332" s="44"/>
      <c r="Q332" s="44"/>
      <c r="R332" s="44"/>
      <c r="S332" s="44"/>
      <c r="T332" s="44"/>
      <c r="U332" s="44"/>
      <c r="V332" s="44"/>
      <c r="W332" s="44"/>
      <c r="X332" s="44"/>
      <c r="Y332" s="44"/>
      <c r="Z332" s="44"/>
      <c r="AA332" s="44"/>
      <c r="AB332" s="44"/>
      <c r="AC332" s="44"/>
      <c r="AD332" s="44"/>
      <c r="AE332" s="44"/>
      <c r="AF332" s="44"/>
    </row>
    <row r="333" spans="1:32" x14ac:dyDescent="0.3">
      <c r="A333" s="38" t="s">
        <v>211</v>
      </c>
      <c r="B333" s="38" t="s">
        <v>174</v>
      </c>
      <c r="C333" s="38" t="s">
        <v>212</v>
      </c>
      <c r="D333" s="39" t="s">
        <v>180</v>
      </c>
      <c r="E333" s="39" t="s">
        <v>177</v>
      </c>
      <c r="F333" s="38" t="s">
        <v>136</v>
      </c>
      <c r="G333" s="38" t="s">
        <v>130</v>
      </c>
      <c r="H333" s="44">
        <f>SUM(I333:AF333)</f>
        <v>0</v>
      </c>
      <c r="I333" s="44">
        <f t="shared" ref="I333:AF333" si="75">IF(AND(ISBLANK(I336) = TRUE,ISBLANK(I335) = TRUE),I334,I335+I336)</f>
        <v>0</v>
      </c>
      <c r="J333" s="44">
        <f t="shared" si="75"/>
        <v>0</v>
      </c>
      <c r="K333" s="44">
        <f t="shared" si="75"/>
        <v>0</v>
      </c>
      <c r="L333" s="44">
        <f t="shared" si="75"/>
        <v>0</v>
      </c>
      <c r="M333" s="44">
        <f t="shared" si="75"/>
        <v>0</v>
      </c>
      <c r="N333" s="44">
        <f t="shared" si="75"/>
        <v>0</v>
      </c>
      <c r="O333" s="44">
        <f t="shared" si="75"/>
        <v>0</v>
      </c>
      <c r="P333" s="44">
        <f t="shared" si="75"/>
        <v>0</v>
      </c>
      <c r="Q333" s="44">
        <f t="shared" si="75"/>
        <v>0</v>
      </c>
      <c r="R333" s="44">
        <f t="shared" si="75"/>
        <v>0</v>
      </c>
      <c r="S333" s="44">
        <f t="shared" si="75"/>
        <v>0</v>
      </c>
      <c r="T333" s="44">
        <f t="shared" si="75"/>
        <v>0</v>
      </c>
      <c r="U333" s="44">
        <f t="shared" si="75"/>
        <v>0</v>
      </c>
      <c r="V333" s="44">
        <f t="shared" si="75"/>
        <v>0</v>
      </c>
      <c r="W333" s="44">
        <f t="shared" si="75"/>
        <v>0</v>
      </c>
      <c r="X333" s="44">
        <f t="shared" si="75"/>
        <v>0</v>
      </c>
      <c r="Y333" s="44">
        <f t="shared" si="75"/>
        <v>0</v>
      </c>
      <c r="Z333" s="44">
        <f t="shared" si="75"/>
        <v>0</v>
      </c>
      <c r="AA333" s="44">
        <f t="shared" si="75"/>
        <v>0</v>
      </c>
      <c r="AB333" s="44">
        <f t="shared" si="75"/>
        <v>0</v>
      </c>
      <c r="AC333" s="44">
        <f t="shared" si="75"/>
        <v>0</v>
      </c>
      <c r="AD333" s="44">
        <f t="shared" si="75"/>
        <v>0</v>
      </c>
      <c r="AE333" s="44">
        <f t="shared" si="75"/>
        <v>0</v>
      </c>
      <c r="AF333" s="44">
        <f t="shared" si="75"/>
        <v>0</v>
      </c>
    </row>
    <row r="334" spans="1:32" x14ac:dyDescent="0.3">
      <c r="A334" s="38" t="s">
        <v>211</v>
      </c>
      <c r="B334" s="38" t="s">
        <v>174</v>
      </c>
      <c r="C334" s="38" t="s">
        <v>212</v>
      </c>
      <c r="D334" s="39" t="s">
        <v>180</v>
      </c>
      <c r="E334" s="39" t="s">
        <v>177</v>
      </c>
      <c r="F334" s="38" t="s">
        <v>124</v>
      </c>
      <c r="G334" s="38" t="s">
        <v>130</v>
      </c>
      <c r="H334" s="44"/>
      <c r="I334" s="44"/>
      <c r="J334" s="44"/>
      <c r="K334" s="44"/>
      <c r="L334" s="44"/>
      <c r="M334" s="44"/>
      <c r="N334" s="44"/>
      <c r="O334" s="44"/>
      <c r="P334" s="44"/>
      <c r="Q334" s="44"/>
      <c r="R334" s="44"/>
      <c r="S334" s="44"/>
      <c r="T334" s="44"/>
      <c r="U334" s="44"/>
      <c r="V334" s="44"/>
      <c r="W334" s="44"/>
      <c r="X334" s="44"/>
      <c r="Y334" s="44"/>
      <c r="Z334" s="44"/>
      <c r="AA334" s="44"/>
      <c r="AB334" s="44"/>
      <c r="AC334" s="44"/>
      <c r="AD334" s="44"/>
      <c r="AE334" s="44"/>
      <c r="AF334" s="44"/>
    </row>
    <row r="335" spans="1:32" x14ac:dyDescent="0.3">
      <c r="A335" s="38" t="s">
        <v>211</v>
      </c>
      <c r="B335" s="38" t="s">
        <v>174</v>
      </c>
      <c r="C335" s="38" t="s">
        <v>212</v>
      </c>
      <c r="D335" s="39" t="s">
        <v>180</v>
      </c>
      <c r="E335" s="39" t="s">
        <v>177</v>
      </c>
      <c r="F335" s="38" t="s">
        <v>137</v>
      </c>
      <c r="G335" s="38" t="s">
        <v>130</v>
      </c>
      <c r="H335" s="44">
        <f>SUM(I335:AF335)</f>
        <v>0</v>
      </c>
      <c r="I335" s="44"/>
      <c r="J335" s="44"/>
      <c r="K335" s="44"/>
      <c r="L335" s="44"/>
      <c r="M335" s="44"/>
      <c r="N335" s="44"/>
      <c r="O335" s="44"/>
      <c r="P335" s="44"/>
      <c r="Q335" s="44"/>
      <c r="R335" s="44"/>
      <c r="S335" s="44"/>
      <c r="T335" s="44"/>
      <c r="U335" s="44"/>
      <c r="V335" s="44"/>
      <c r="W335" s="44"/>
      <c r="X335" s="44"/>
      <c r="Y335" s="44"/>
      <c r="Z335" s="44"/>
      <c r="AA335" s="44"/>
      <c r="AB335" s="44"/>
      <c r="AC335" s="44"/>
      <c r="AD335" s="44"/>
      <c r="AE335" s="44"/>
      <c r="AF335" s="44"/>
    </row>
    <row r="336" spans="1:32" x14ac:dyDescent="0.3">
      <c r="A336" s="38" t="s">
        <v>211</v>
      </c>
      <c r="B336" s="38" t="s">
        <v>174</v>
      </c>
      <c r="C336" s="38" t="s">
        <v>212</v>
      </c>
      <c r="D336" s="39" t="s">
        <v>180</v>
      </c>
      <c r="E336" s="39" t="s">
        <v>177</v>
      </c>
      <c r="F336" s="38" t="s">
        <v>138</v>
      </c>
      <c r="G336" s="38" t="s">
        <v>130</v>
      </c>
      <c r="H336" s="44">
        <f>SUM(I336:AF336)</f>
        <v>0</v>
      </c>
      <c r="I336" s="44"/>
      <c r="J336" s="44"/>
      <c r="K336" s="44"/>
      <c r="L336" s="44"/>
      <c r="M336" s="44"/>
      <c r="N336" s="44"/>
      <c r="O336" s="44"/>
      <c r="P336" s="44"/>
      <c r="Q336" s="44"/>
      <c r="R336" s="44"/>
      <c r="S336" s="44"/>
      <c r="T336" s="44"/>
      <c r="U336" s="44"/>
      <c r="V336" s="44"/>
      <c r="W336" s="44"/>
      <c r="X336" s="44"/>
      <c r="Y336" s="44"/>
      <c r="Z336" s="44"/>
      <c r="AA336" s="44"/>
      <c r="AB336" s="44"/>
      <c r="AC336" s="44"/>
      <c r="AD336" s="44"/>
      <c r="AE336" s="44"/>
      <c r="AF336" s="44"/>
    </row>
    <row r="337" spans="1:32" x14ac:dyDescent="0.3">
      <c r="A337" s="38" t="s">
        <v>211</v>
      </c>
      <c r="B337" s="38" t="s">
        <v>174</v>
      </c>
      <c r="C337" s="38" t="s">
        <v>212</v>
      </c>
      <c r="D337" s="39" t="s">
        <v>180</v>
      </c>
      <c r="E337" s="39" t="s">
        <v>177</v>
      </c>
      <c r="F337" s="38" t="s">
        <v>139</v>
      </c>
      <c r="G337" s="38" t="s">
        <v>130</v>
      </c>
      <c r="H337" s="44"/>
      <c r="I337" s="44"/>
      <c r="J337" s="44"/>
      <c r="K337" s="44"/>
      <c r="L337" s="44"/>
      <c r="M337" s="44"/>
      <c r="N337" s="44"/>
      <c r="O337" s="44"/>
      <c r="P337" s="44"/>
      <c r="Q337" s="44"/>
      <c r="R337" s="44"/>
      <c r="S337" s="44"/>
      <c r="T337" s="44"/>
      <c r="U337" s="44"/>
      <c r="V337" s="44"/>
      <c r="W337" s="44"/>
      <c r="X337" s="44"/>
      <c r="Y337" s="44"/>
      <c r="Z337" s="44"/>
      <c r="AA337" s="44"/>
      <c r="AB337" s="44"/>
      <c r="AC337" s="44"/>
      <c r="AD337" s="44"/>
      <c r="AE337" s="44"/>
      <c r="AF337" s="44"/>
    </row>
    <row r="338" spans="1:32" x14ac:dyDescent="0.3">
      <c r="A338" s="38" t="s">
        <v>211</v>
      </c>
      <c r="B338" s="38" t="s">
        <v>174</v>
      </c>
      <c r="C338" s="38" t="s">
        <v>212</v>
      </c>
      <c r="D338" s="39" t="s">
        <v>180</v>
      </c>
      <c r="E338" s="39" t="s">
        <v>177</v>
      </c>
      <c r="F338" s="38" t="s">
        <v>140</v>
      </c>
      <c r="G338" s="38" t="s">
        <v>130</v>
      </c>
      <c r="H338" s="44"/>
      <c r="I338" s="44">
        <f>I333-(I328+I327)+(I332+I331+I330+I329)</f>
        <v>-2</v>
      </c>
      <c r="J338" s="44">
        <f t="shared" ref="J338:AF338" si="76">I338+J333-J328</f>
        <v>-4</v>
      </c>
      <c r="K338" s="44">
        <f t="shared" si="76"/>
        <v>-5</v>
      </c>
      <c r="L338" s="44">
        <f t="shared" si="76"/>
        <v>-6</v>
      </c>
      <c r="M338" s="44">
        <f t="shared" si="76"/>
        <v>-10</v>
      </c>
      <c r="N338" s="44">
        <f t="shared" si="76"/>
        <v>-14</v>
      </c>
      <c r="O338" s="44">
        <f t="shared" si="76"/>
        <v>-17</v>
      </c>
      <c r="P338" s="44">
        <f t="shared" si="76"/>
        <v>-20</v>
      </c>
      <c r="Q338" s="44">
        <f t="shared" si="76"/>
        <v>-24</v>
      </c>
      <c r="R338" s="44">
        <f t="shared" si="76"/>
        <v>-29</v>
      </c>
      <c r="S338" s="44">
        <f t="shared" si="76"/>
        <v>-34</v>
      </c>
      <c r="T338" s="44">
        <f t="shared" si="76"/>
        <v>-38</v>
      </c>
      <c r="U338" s="44">
        <f t="shared" si="76"/>
        <v>-43</v>
      </c>
      <c r="V338" s="44">
        <f t="shared" si="76"/>
        <v>-50</v>
      </c>
      <c r="W338" s="44">
        <f t="shared" si="76"/>
        <v>-56</v>
      </c>
      <c r="X338" s="44">
        <f t="shared" si="76"/>
        <v>-62</v>
      </c>
      <c r="Y338" s="44">
        <f t="shared" si="76"/>
        <v>-68</v>
      </c>
      <c r="Z338" s="44">
        <f t="shared" si="76"/>
        <v>-74</v>
      </c>
      <c r="AA338" s="44">
        <f t="shared" si="76"/>
        <v>-82</v>
      </c>
      <c r="AB338" s="44">
        <f t="shared" si="76"/>
        <v>-90</v>
      </c>
      <c r="AC338" s="44">
        <f t="shared" si="76"/>
        <v>-97</v>
      </c>
      <c r="AD338" s="44">
        <f t="shared" si="76"/>
        <v>-104</v>
      </c>
      <c r="AE338" s="44">
        <f t="shared" si="76"/>
        <v>-111</v>
      </c>
      <c r="AF338" s="44">
        <f t="shared" si="76"/>
        <v>-118</v>
      </c>
    </row>
    <row r="339" spans="1:32" ht="15" thickBot="1" x14ac:dyDescent="0.35">
      <c r="A339" s="40" t="s">
        <v>211</v>
      </c>
      <c r="B339" s="40" t="s">
        <v>174</v>
      </c>
      <c r="C339" s="40" t="s">
        <v>212</v>
      </c>
      <c r="D339" s="41" t="s">
        <v>180</v>
      </c>
      <c r="E339" s="41" t="s">
        <v>177</v>
      </c>
      <c r="F339" s="40" t="s">
        <v>141</v>
      </c>
      <c r="G339" s="40" t="s">
        <v>130</v>
      </c>
      <c r="H339" s="45"/>
      <c r="I339" s="45">
        <f>I333-I337</f>
        <v>0</v>
      </c>
      <c r="J339" s="45">
        <f t="shared" ref="J339:AF339" si="77">I339+J333-J337</f>
        <v>0</v>
      </c>
      <c r="K339" s="45">
        <f t="shared" si="77"/>
        <v>0</v>
      </c>
      <c r="L339" s="45">
        <f t="shared" si="77"/>
        <v>0</v>
      </c>
      <c r="M339" s="45">
        <f t="shared" si="77"/>
        <v>0</v>
      </c>
      <c r="N339" s="45">
        <f t="shared" si="77"/>
        <v>0</v>
      </c>
      <c r="O339" s="45">
        <f t="shared" si="77"/>
        <v>0</v>
      </c>
      <c r="P339" s="45">
        <f t="shared" si="77"/>
        <v>0</v>
      </c>
      <c r="Q339" s="45">
        <f t="shared" si="77"/>
        <v>0</v>
      </c>
      <c r="R339" s="45">
        <f t="shared" si="77"/>
        <v>0</v>
      </c>
      <c r="S339" s="45">
        <f t="shared" si="77"/>
        <v>0</v>
      </c>
      <c r="T339" s="45">
        <f t="shared" si="77"/>
        <v>0</v>
      </c>
      <c r="U339" s="45">
        <f t="shared" si="77"/>
        <v>0</v>
      </c>
      <c r="V339" s="45">
        <f t="shared" si="77"/>
        <v>0</v>
      </c>
      <c r="W339" s="45">
        <f t="shared" si="77"/>
        <v>0</v>
      </c>
      <c r="X339" s="45">
        <f t="shared" si="77"/>
        <v>0</v>
      </c>
      <c r="Y339" s="45">
        <f t="shared" si="77"/>
        <v>0</v>
      </c>
      <c r="Z339" s="45">
        <f t="shared" si="77"/>
        <v>0</v>
      </c>
      <c r="AA339" s="45">
        <f t="shared" si="77"/>
        <v>0</v>
      </c>
      <c r="AB339" s="45">
        <f t="shared" si="77"/>
        <v>0</v>
      </c>
      <c r="AC339" s="45">
        <f t="shared" si="77"/>
        <v>0</v>
      </c>
      <c r="AD339" s="45">
        <f t="shared" si="77"/>
        <v>0</v>
      </c>
      <c r="AE339" s="45">
        <f t="shared" si="77"/>
        <v>0</v>
      </c>
      <c r="AF339" s="45">
        <f t="shared" si="77"/>
        <v>0</v>
      </c>
    </row>
    <row r="340" spans="1:32" x14ac:dyDescent="0.3">
      <c r="A340" s="38" t="s">
        <v>213</v>
      </c>
      <c r="B340" s="38" t="s">
        <v>174</v>
      </c>
      <c r="C340" s="38" t="s">
        <v>214</v>
      </c>
      <c r="D340" s="39" t="s">
        <v>183</v>
      </c>
      <c r="E340" s="39" t="s">
        <v>177</v>
      </c>
      <c r="F340" s="38" t="s">
        <v>129</v>
      </c>
      <c r="G340" s="38" t="s">
        <v>130</v>
      </c>
      <c r="H340" s="44">
        <v>65.5</v>
      </c>
      <c r="I340" s="44">
        <v>65.5</v>
      </c>
      <c r="J340" s="44"/>
      <c r="K340" s="44"/>
      <c r="L340" s="44"/>
      <c r="M340" s="44"/>
      <c r="N340" s="44"/>
      <c r="O340" s="44"/>
      <c r="P340" s="44"/>
      <c r="Q340" s="44"/>
      <c r="R340" s="44"/>
      <c r="S340" s="44"/>
      <c r="T340" s="44"/>
      <c r="U340" s="44"/>
      <c r="V340" s="44"/>
      <c r="W340" s="44"/>
      <c r="X340" s="44"/>
      <c r="Y340" s="44"/>
      <c r="Z340" s="44"/>
      <c r="AA340" s="44"/>
      <c r="AB340" s="44"/>
      <c r="AC340" s="44"/>
      <c r="AD340" s="44"/>
      <c r="AE340" s="44"/>
      <c r="AF340" s="44"/>
    </row>
    <row r="341" spans="1:32" x14ac:dyDescent="0.3">
      <c r="A341" s="38" t="s">
        <v>213</v>
      </c>
      <c r="B341" s="38" t="s">
        <v>174</v>
      </c>
      <c r="C341" s="38" t="s">
        <v>214</v>
      </c>
      <c r="D341" s="39" t="s">
        <v>183</v>
      </c>
      <c r="E341" s="39" t="s">
        <v>177</v>
      </c>
      <c r="F341" s="38" t="s">
        <v>131</v>
      </c>
      <c r="G341" s="38" t="s">
        <v>130</v>
      </c>
      <c r="H341" s="44">
        <v>400.5</v>
      </c>
      <c r="I341" s="44">
        <v>18.5</v>
      </c>
      <c r="J341" s="44">
        <v>18</v>
      </c>
      <c r="K341" s="44">
        <v>18.5</v>
      </c>
      <c r="L341" s="44">
        <v>18.5</v>
      </c>
      <c r="M341" s="44">
        <v>19.5</v>
      </c>
      <c r="N341" s="44">
        <v>20</v>
      </c>
      <c r="O341" s="44">
        <v>26.5</v>
      </c>
      <c r="P341" s="44">
        <v>20</v>
      </c>
      <c r="Q341" s="44">
        <v>16</v>
      </c>
      <c r="R341" s="44">
        <v>12.5</v>
      </c>
      <c r="S341" s="44">
        <v>12.5</v>
      </c>
      <c r="T341" s="44">
        <v>13</v>
      </c>
      <c r="U341" s="44">
        <v>13.5</v>
      </c>
      <c r="V341" s="44">
        <v>15.5</v>
      </c>
      <c r="W341" s="44">
        <v>14.5</v>
      </c>
      <c r="X341" s="44">
        <v>15</v>
      </c>
      <c r="Y341" s="44">
        <v>15.5</v>
      </c>
      <c r="Z341" s="44">
        <v>16.5</v>
      </c>
      <c r="AA341" s="44">
        <v>17</v>
      </c>
      <c r="AB341" s="44">
        <v>17.5</v>
      </c>
      <c r="AC341" s="44">
        <v>17</v>
      </c>
      <c r="AD341" s="44">
        <v>15</v>
      </c>
      <c r="AE341" s="44">
        <v>14.5</v>
      </c>
      <c r="AF341" s="44">
        <v>15.5</v>
      </c>
    </row>
    <row r="342" spans="1:32" x14ac:dyDescent="0.3">
      <c r="A342" s="38" t="s">
        <v>213</v>
      </c>
      <c r="B342" s="38" t="s">
        <v>174</v>
      </c>
      <c r="C342" s="38" t="s">
        <v>214</v>
      </c>
      <c r="D342" s="39" t="s">
        <v>183</v>
      </c>
      <c r="E342" s="39" t="s">
        <v>177</v>
      </c>
      <c r="F342" s="38" t="s">
        <v>132</v>
      </c>
      <c r="G342" s="38" t="s">
        <v>130</v>
      </c>
      <c r="H342" s="44">
        <v>2112</v>
      </c>
      <c r="I342" s="44">
        <v>2112</v>
      </c>
      <c r="J342" s="44"/>
      <c r="K342" s="44"/>
      <c r="L342" s="44"/>
      <c r="M342" s="44"/>
      <c r="N342" s="44"/>
      <c r="O342" s="44"/>
      <c r="P342" s="44"/>
      <c r="Q342" s="44"/>
      <c r="R342" s="44"/>
      <c r="S342" s="44"/>
      <c r="T342" s="44"/>
      <c r="U342" s="44"/>
      <c r="V342" s="44"/>
      <c r="W342" s="44"/>
      <c r="X342" s="44"/>
      <c r="Y342" s="44"/>
      <c r="Z342" s="44"/>
      <c r="AA342" s="44"/>
      <c r="AB342" s="44"/>
      <c r="AC342" s="44"/>
      <c r="AD342" s="44"/>
      <c r="AE342" s="44"/>
      <c r="AF342" s="44"/>
    </row>
    <row r="343" spans="1:32" x14ac:dyDescent="0.3">
      <c r="A343" s="38" t="s">
        <v>213</v>
      </c>
      <c r="B343" s="38" t="s">
        <v>174</v>
      </c>
      <c r="C343" s="38" t="s">
        <v>214</v>
      </c>
      <c r="D343" s="39" t="s">
        <v>183</v>
      </c>
      <c r="E343" s="39" t="s">
        <v>177</v>
      </c>
      <c r="F343" s="38" t="s">
        <v>133</v>
      </c>
      <c r="G343" s="38" t="s">
        <v>130</v>
      </c>
      <c r="H343" s="44">
        <v>0</v>
      </c>
      <c r="I343" s="44">
        <v>0</v>
      </c>
      <c r="J343" s="44"/>
      <c r="K343" s="44"/>
      <c r="L343" s="44"/>
      <c r="M343" s="44"/>
      <c r="N343" s="44"/>
      <c r="O343" s="44"/>
      <c r="P343" s="44"/>
      <c r="Q343" s="44"/>
      <c r="R343" s="44"/>
      <c r="S343" s="44"/>
      <c r="T343" s="44"/>
      <c r="U343" s="44"/>
      <c r="V343" s="44"/>
      <c r="W343" s="44"/>
      <c r="X343" s="44"/>
      <c r="Y343" s="44"/>
      <c r="Z343" s="44"/>
      <c r="AA343" s="44"/>
      <c r="AB343" s="44"/>
      <c r="AC343" s="44"/>
      <c r="AD343" s="44"/>
      <c r="AE343" s="44"/>
      <c r="AF343" s="44"/>
    </row>
    <row r="344" spans="1:32" x14ac:dyDescent="0.3">
      <c r="A344" s="38" t="s">
        <v>213</v>
      </c>
      <c r="B344" s="38" t="s">
        <v>174</v>
      </c>
      <c r="C344" s="38" t="s">
        <v>214</v>
      </c>
      <c r="D344" s="39" t="s">
        <v>183</v>
      </c>
      <c r="E344" s="39" t="s">
        <v>177</v>
      </c>
      <c r="F344" s="38" t="s">
        <v>134</v>
      </c>
      <c r="G344" s="38" t="s">
        <v>130</v>
      </c>
      <c r="H344" s="44">
        <v>78</v>
      </c>
      <c r="I344" s="44">
        <v>78</v>
      </c>
      <c r="J344" s="44"/>
      <c r="K344" s="44"/>
      <c r="L344" s="44"/>
      <c r="M344" s="44"/>
      <c r="N344" s="44"/>
      <c r="O344" s="44"/>
      <c r="P344" s="44"/>
      <c r="Q344" s="44"/>
      <c r="R344" s="44"/>
      <c r="S344" s="44"/>
      <c r="T344" s="44"/>
      <c r="U344" s="44"/>
      <c r="V344" s="44"/>
      <c r="W344" s="44"/>
      <c r="X344" s="44"/>
      <c r="Y344" s="44"/>
      <c r="Z344" s="44"/>
      <c r="AA344" s="44"/>
      <c r="AB344" s="44"/>
      <c r="AC344" s="44"/>
      <c r="AD344" s="44"/>
      <c r="AE344" s="44"/>
      <c r="AF344" s="44"/>
    </row>
    <row r="345" spans="1:32" x14ac:dyDescent="0.3">
      <c r="A345" s="38" t="s">
        <v>213</v>
      </c>
      <c r="B345" s="38" t="s">
        <v>174</v>
      </c>
      <c r="C345" s="38" t="s">
        <v>214</v>
      </c>
      <c r="D345" s="39" t="s">
        <v>183</v>
      </c>
      <c r="E345" s="39" t="s">
        <v>177</v>
      </c>
      <c r="F345" s="38" t="s">
        <v>135</v>
      </c>
      <c r="G345" s="38" t="s">
        <v>130</v>
      </c>
      <c r="H345" s="44"/>
      <c r="I345" s="44"/>
      <c r="J345" s="44"/>
      <c r="K345" s="44"/>
      <c r="L345" s="44"/>
      <c r="M345" s="44"/>
      <c r="N345" s="44"/>
      <c r="O345" s="44"/>
      <c r="P345" s="44"/>
      <c r="Q345" s="44"/>
      <c r="R345" s="44"/>
      <c r="S345" s="44"/>
      <c r="T345" s="44"/>
      <c r="U345" s="44"/>
      <c r="V345" s="44"/>
      <c r="W345" s="44"/>
      <c r="X345" s="44"/>
      <c r="Y345" s="44"/>
      <c r="Z345" s="44"/>
      <c r="AA345" s="44"/>
      <c r="AB345" s="44"/>
      <c r="AC345" s="44"/>
      <c r="AD345" s="44"/>
      <c r="AE345" s="44"/>
      <c r="AF345" s="44"/>
    </row>
    <row r="346" spans="1:32" x14ac:dyDescent="0.3">
      <c r="A346" s="38" t="s">
        <v>213</v>
      </c>
      <c r="B346" s="38" t="s">
        <v>174</v>
      </c>
      <c r="C346" s="38" t="s">
        <v>214</v>
      </c>
      <c r="D346" s="39" t="s">
        <v>183</v>
      </c>
      <c r="E346" s="39" t="s">
        <v>177</v>
      </c>
      <c r="F346" s="38" t="s">
        <v>136</v>
      </c>
      <c r="G346" s="38" t="s">
        <v>130</v>
      </c>
      <c r="H346" s="44">
        <f>SUM(I346:AF346)</f>
        <v>0</v>
      </c>
      <c r="I346" s="44">
        <f t="shared" ref="I346:AF346" si="78">IF(AND(ISBLANK(I349) = TRUE,ISBLANK(I348) = TRUE),I347,I348+I349)</f>
        <v>0</v>
      </c>
      <c r="J346" s="44">
        <f t="shared" si="78"/>
        <v>0</v>
      </c>
      <c r="K346" s="44">
        <f t="shared" si="78"/>
        <v>0</v>
      </c>
      <c r="L346" s="44">
        <f t="shared" si="78"/>
        <v>0</v>
      </c>
      <c r="M346" s="44">
        <f t="shared" si="78"/>
        <v>0</v>
      </c>
      <c r="N346" s="44">
        <f t="shared" si="78"/>
        <v>0</v>
      </c>
      <c r="O346" s="44">
        <f t="shared" si="78"/>
        <v>0</v>
      </c>
      <c r="P346" s="44">
        <f t="shared" si="78"/>
        <v>0</v>
      </c>
      <c r="Q346" s="44">
        <f t="shared" si="78"/>
        <v>0</v>
      </c>
      <c r="R346" s="44">
        <f t="shared" si="78"/>
        <v>0</v>
      </c>
      <c r="S346" s="44">
        <f t="shared" si="78"/>
        <v>0</v>
      </c>
      <c r="T346" s="44">
        <f t="shared" si="78"/>
        <v>0</v>
      </c>
      <c r="U346" s="44">
        <f t="shared" si="78"/>
        <v>0</v>
      </c>
      <c r="V346" s="44">
        <f t="shared" si="78"/>
        <v>0</v>
      </c>
      <c r="W346" s="44">
        <f t="shared" si="78"/>
        <v>0</v>
      </c>
      <c r="X346" s="44">
        <f t="shared" si="78"/>
        <v>0</v>
      </c>
      <c r="Y346" s="44">
        <f t="shared" si="78"/>
        <v>0</v>
      </c>
      <c r="Z346" s="44">
        <f t="shared" si="78"/>
        <v>0</v>
      </c>
      <c r="AA346" s="44">
        <f t="shared" si="78"/>
        <v>0</v>
      </c>
      <c r="AB346" s="44">
        <f t="shared" si="78"/>
        <v>0</v>
      </c>
      <c r="AC346" s="44">
        <f t="shared" si="78"/>
        <v>0</v>
      </c>
      <c r="AD346" s="44">
        <f t="shared" si="78"/>
        <v>0</v>
      </c>
      <c r="AE346" s="44">
        <f t="shared" si="78"/>
        <v>0</v>
      </c>
      <c r="AF346" s="44">
        <f t="shared" si="78"/>
        <v>0</v>
      </c>
    </row>
    <row r="347" spans="1:32" x14ac:dyDescent="0.3">
      <c r="A347" s="38" t="s">
        <v>213</v>
      </c>
      <c r="B347" s="38" t="s">
        <v>174</v>
      </c>
      <c r="C347" s="38" t="s">
        <v>214</v>
      </c>
      <c r="D347" s="39" t="s">
        <v>183</v>
      </c>
      <c r="E347" s="39" t="s">
        <v>177</v>
      </c>
      <c r="F347" s="38" t="s">
        <v>124</v>
      </c>
      <c r="G347" s="38" t="s">
        <v>130</v>
      </c>
      <c r="H347" s="44"/>
      <c r="I347" s="44"/>
      <c r="J347" s="44"/>
      <c r="K347" s="44"/>
      <c r="L347" s="44"/>
      <c r="M347" s="44"/>
      <c r="N347" s="44"/>
      <c r="O347" s="44"/>
      <c r="P347" s="44"/>
      <c r="Q347" s="44"/>
      <c r="R347" s="44"/>
      <c r="S347" s="44"/>
      <c r="T347" s="44"/>
      <c r="U347" s="44"/>
      <c r="V347" s="44"/>
      <c r="W347" s="44"/>
      <c r="X347" s="44"/>
      <c r="Y347" s="44"/>
      <c r="Z347" s="44"/>
      <c r="AA347" s="44"/>
      <c r="AB347" s="44"/>
      <c r="AC347" s="44"/>
      <c r="AD347" s="44"/>
      <c r="AE347" s="44"/>
      <c r="AF347" s="44"/>
    </row>
    <row r="348" spans="1:32" x14ac:dyDescent="0.3">
      <c r="A348" s="38" t="s">
        <v>213</v>
      </c>
      <c r="B348" s="38" t="s">
        <v>174</v>
      </c>
      <c r="C348" s="38" t="s">
        <v>214</v>
      </c>
      <c r="D348" s="39" t="s">
        <v>183</v>
      </c>
      <c r="E348" s="39" t="s">
        <v>177</v>
      </c>
      <c r="F348" s="38" t="s">
        <v>137</v>
      </c>
      <c r="G348" s="38" t="s">
        <v>130</v>
      </c>
      <c r="H348" s="44">
        <f>SUM(I348:AF348)</f>
        <v>0</v>
      </c>
      <c r="I348" s="44"/>
      <c r="J348" s="44"/>
      <c r="K348" s="44"/>
      <c r="L348" s="44"/>
      <c r="M348" s="44"/>
      <c r="N348" s="44"/>
      <c r="O348" s="44"/>
      <c r="P348" s="44"/>
      <c r="Q348" s="44"/>
      <c r="R348" s="44"/>
      <c r="S348" s="44"/>
      <c r="T348" s="44"/>
      <c r="U348" s="44"/>
      <c r="V348" s="44"/>
      <c r="W348" s="44"/>
      <c r="X348" s="44"/>
      <c r="Y348" s="44"/>
      <c r="Z348" s="44"/>
      <c r="AA348" s="44"/>
      <c r="AB348" s="44"/>
      <c r="AC348" s="44"/>
      <c r="AD348" s="44"/>
      <c r="AE348" s="44"/>
      <c r="AF348" s="44"/>
    </row>
    <row r="349" spans="1:32" x14ac:dyDescent="0.3">
      <c r="A349" s="38" t="s">
        <v>213</v>
      </c>
      <c r="B349" s="38" t="s">
        <v>174</v>
      </c>
      <c r="C349" s="38" t="s">
        <v>214</v>
      </c>
      <c r="D349" s="39" t="s">
        <v>183</v>
      </c>
      <c r="E349" s="39" t="s">
        <v>177</v>
      </c>
      <c r="F349" s="38" t="s">
        <v>138</v>
      </c>
      <c r="G349" s="38" t="s">
        <v>130</v>
      </c>
      <c r="H349" s="44">
        <f>SUM(I349:AF349)</f>
        <v>0</v>
      </c>
      <c r="I349" s="44"/>
      <c r="J349" s="44"/>
      <c r="K349" s="44"/>
      <c r="L349" s="44"/>
      <c r="M349" s="44"/>
      <c r="N349" s="44"/>
      <c r="O349" s="44"/>
      <c r="P349" s="44"/>
      <c r="Q349" s="44"/>
      <c r="R349" s="44"/>
      <c r="S349" s="44"/>
      <c r="T349" s="44"/>
      <c r="U349" s="44"/>
      <c r="V349" s="44"/>
      <c r="W349" s="44"/>
      <c r="X349" s="44"/>
      <c r="Y349" s="44"/>
      <c r="Z349" s="44"/>
      <c r="AA349" s="44"/>
      <c r="AB349" s="44"/>
      <c r="AC349" s="44"/>
      <c r="AD349" s="44"/>
      <c r="AE349" s="44"/>
      <c r="AF349" s="44"/>
    </row>
    <row r="350" spans="1:32" x14ac:dyDescent="0.3">
      <c r="A350" s="38" t="s">
        <v>213</v>
      </c>
      <c r="B350" s="38" t="s">
        <v>174</v>
      </c>
      <c r="C350" s="38" t="s">
        <v>214</v>
      </c>
      <c r="D350" s="39" t="s">
        <v>183</v>
      </c>
      <c r="E350" s="39" t="s">
        <v>177</v>
      </c>
      <c r="F350" s="38" t="s">
        <v>139</v>
      </c>
      <c r="G350" s="38" t="s">
        <v>130</v>
      </c>
      <c r="H350" s="44"/>
      <c r="I350" s="44"/>
      <c r="J350" s="44"/>
      <c r="K350" s="44"/>
      <c r="L350" s="44"/>
      <c r="M350" s="44"/>
      <c r="N350" s="44"/>
      <c r="O350" s="44"/>
      <c r="P350" s="44"/>
      <c r="Q350" s="44"/>
      <c r="R350" s="44"/>
      <c r="S350" s="44"/>
      <c r="T350" s="44"/>
      <c r="U350" s="44"/>
      <c r="V350" s="44"/>
      <c r="W350" s="44"/>
      <c r="X350" s="44"/>
      <c r="Y350" s="44"/>
      <c r="Z350" s="44"/>
      <c r="AA350" s="44"/>
      <c r="AB350" s="44"/>
      <c r="AC350" s="44"/>
      <c r="AD350" s="44"/>
      <c r="AE350" s="44"/>
      <c r="AF350" s="44"/>
    </row>
    <row r="351" spans="1:32" x14ac:dyDescent="0.3">
      <c r="A351" s="38" t="s">
        <v>213</v>
      </c>
      <c r="B351" s="38" t="s">
        <v>174</v>
      </c>
      <c r="C351" s="38" t="s">
        <v>214</v>
      </c>
      <c r="D351" s="39" t="s">
        <v>183</v>
      </c>
      <c r="E351" s="39" t="s">
        <v>177</v>
      </c>
      <c r="F351" s="38" t="s">
        <v>140</v>
      </c>
      <c r="G351" s="38" t="s">
        <v>130</v>
      </c>
      <c r="H351" s="44"/>
      <c r="I351" s="44">
        <f>I346-(I341+I340)+(I345+I344+I343+I342)</f>
        <v>2106</v>
      </c>
      <c r="J351" s="44">
        <f t="shared" ref="J351:AF351" si="79">I351+J346-J341</f>
        <v>2088</v>
      </c>
      <c r="K351" s="44">
        <f t="shared" si="79"/>
        <v>2069.5</v>
      </c>
      <c r="L351" s="44">
        <f t="shared" si="79"/>
        <v>2051</v>
      </c>
      <c r="M351" s="44">
        <f t="shared" si="79"/>
        <v>2031.5</v>
      </c>
      <c r="N351" s="44">
        <f t="shared" si="79"/>
        <v>2011.5</v>
      </c>
      <c r="O351" s="44">
        <f t="shared" si="79"/>
        <v>1985</v>
      </c>
      <c r="P351" s="44">
        <f t="shared" si="79"/>
        <v>1965</v>
      </c>
      <c r="Q351" s="44">
        <f t="shared" si="79"/>
        <v>1949</v>
      </c>
      <c r="R351" s="44">
        <f t="shared" si="79"/>
        <v>1936.5</v>
      </c>
      <c r="S351" s="44">
        <f t="shared" si="79"/>
        <v>1924</v>
      </c>
      <c r="T351" s="44">
        <f t="shared" si="79"/>
        <v>1911</v>
      </c>
      <c r="U351" s="44">
        <f t="shared" si="79"/>
        <v>1897.5</v>
      </c>
      <c r="V351" s="44">
        <f t="shared" si="79"/>
        <v>1882</v>
      </c>
      <c r="W351" s="44">
        <f t="shared" si="79"/>
        <v>1867.5</v>
      </c>
      <c r="X351" s="44">
        <f t="shared" si="79"/>
        <v>1852.5</v>
      </c>
      <c r="Y351" s="44">
        <f t="shared" si="79"/>
        <v>1837</v>
      </c>
      <c r="Z351" s="44">
        <f t="shared" si="79"/>
        <v>1820.5</v>
      </c>
      <c r="AA351" s="44">
        <f t="shared" si="79"/>
        <v>1803.5</v>
      </c>
      <c r="AB351" s="44">
        <f t="shared" si="79"/>
        <v>1786</v>
      </c>
      <c r="AC351" s="44">
        <f t="shared" si="79"/>
        <v>1769</v>
      </c>
      <c r="AD351" s="44">
        <f t="shared" si="79"/>
        <v>1754</v>
      </c>
      <c r="AE351" s="44">
        <f t="shared" si="79"/>
        <v>1739.5</v>
      </c>
      <c r="AF351" s="44">
        <f t="shared" si="79"/>
        <v>1724</v>
      </c>
    </row>
    <row r="352" spans="1:32" ht="15" thickBot="1" x14ac:dyDescent="0.35">
      <c r="A352" s="40" t="s">
        <v>213</v>
      </c>
      <c r="B352" s="40" t="s">
        <v>174</v>
      </c>
      <c r="C352" s="40" t="s">
        <v>214</v>
      </c>
      <c r="D352" s="41" t="s">
        <v>183</v>
      </c>
      <c r="E352" s="41" t="s">
        <v>177</v>
      </c>
      <c r="F352" s="40" t="s">
        <v>141</v>
      </c>
      <c r="G352" s="40" t="s">
        <v>130</v>
      </c>
      <c r="H352" s="45"/>
      <c r="I352" s="45">
        <f>I346-I350</f>
        <v>0</v>
      </c>
      <c r="J352" s="45">
        <f t="shared" ref="J352:AF352" si="80">I352+J346-J350</f>
        <v>0</v>
      </c>
      <c r="K352" s="45">
        <f t="shared" si="80"/>
        <v>0</v>
      </c>
      <c r="L352" s="45">
        <f t="shared" si="80"/>
        <v>0</v>
      </c>
      <c r="M352" s="45">
        <f t="shared" si="80"/>
        <v>0</v>
      </c>
      <c r="N352" s="45">
        <f t="shared" si="80"/>
        <v>0</v>
      </c>
      <c r="O352" s="45">
        <f t="shared" si="80"/>
        <v>0</v>
      </c>
      <c r="P352" s="45">
        <f t="shared" si="80"/>
        <v>0</v>
      </c>
      <c r="Q352" s="45">
        <f t="shared" si="80"/>
        <v>0</v>
      </c>
      <c r="R352" s="45">
        <f t="shared" si="80"/>
        <v>0</v>
      </c>
      <c r="S352" s="45">
        <f t="shared" si="80"/>
        <v>0</v>
      </c>
      <c r="T352" s="45">
        <f t="shared" si="80"/>
        <v>0</v>
      </c>
      <c r="U352" s="45">
        <f t="shared" si="80"/>
        <v>0</v>
      </c>
      <c r="V352" s="45">
        <f t="shared" si="80"/>
        <v>0</v>
      </c>
      <c r="W352" s="45">
        <f t="shared" si="80"/>
        <v>0</v>
      </c>
      <c r="X352" s="45">
        <f t="shared" si="80"/>
        <v>0</v>
      </c>
      <c r="Y352" s="45">
        <f t="shared" si="80"/>
        <v>0</v>
      </c>
      <c r="Z352" s="45">
        <f t="shared" si="80"/>
        <v>0</v>
      </c>
      <c r="AA352" s="45">
        <f t="shared" si="80"/>
        <v>0</v>
      </c>
      <c r="AB352" s="45">
        <f t="shared" si="80"/>
        <v>0</v>
      </c>
      <c r="AC352" s="45">
        <f t="shared" si="80"/>
        <v>0</v>
      </c>
      <c r="AD352" s="45">
        <f t="shared" si="80"/>
        <v>0</v>
      </c>
      <c r="AE352" s="45">
        <f t="shared" si="80"/>
        <v>0</v>
      </c>
      <c r="AF352" s="45">
        <f t="shared" si="80"/>
        <v>0</v>
      </c>
    </row>
    <row r="353" spans="1:32" x14ac:dyDescent="0.3">
      <c r="A353" s="38" t="s">
        <v>215</v>
      </c>
      <c r="B353" s="38" t="s">
        <v>174</v>
      </c>
      <c r="C353" s="38" t="s">
        <v>214</v>
      </c>
      <c r="D353" s="39" t="s">
        <v>176</v>
      </c>
      <c r="E353" s="39" t="s">
        <v>177</v>
      </c>
      <c r="F353" s="38" t="s">
        <v>129</v>
      </c>
      <c r="G353" s="38" t="s">
        <v>130</v>
      </c>
      <c r="H353" s="44">
        <v>65.5</v>
      </c>
      <c r="I353" s="44">
        <v>65.5</v>
      </c>
      <c r="J353" s="44"/>
      <c r="K353" s="44"/>
      <c r="L353" s="44"/>
      <c r="M353" s="44"/>
      <c r="N353" s="44"/>
      <c r="O353" s="44"/>
      <c r="P353" s="44"/>
      <c r="Q353" s="44"/>
      <c r="R353" s="44"/>
      <c r="S353" s="44"/>
      <c r="T353" s="44"/>
      <c r="U353" s="44"/>
      <c r="V353" s="44"/>
      <c r="W353" s="44"/>
      <c r="X353" s="44"/>
      <c r="Y353" s="44"/>
      <c r="Z353" s="44"/>
      <c r="AA353" s="44"/>
      <c r="AB353" s="44"/>
      <c r="AC353" s="44"/>
      <c r="AD353" s="44"/>
      <c r="AE353" s="44"/>
      <c r="AF353" s="44"/>
    </row>
    <row r="354" spans="1:32" x14ac:dyDescent="0.3">
      <c r="A354" s="38" t="s">
        <v>215</v>
      </c>
      <c r="B354" s="38" t="s">
        <v>174</v>
      </c>
      <c r="C354" s="38" t="s">
        <v>214</v>
      </c>
      <c r="D354" s="39" t="s">
        <v>176</v>
      </c>
      <c r="E354" s="39" t="s">
        <v>177</v>
      </c>
      <c r="F354" s="38" t="s">
        <v>131</v>
      </c>
      <c r="G354" s="38" t="s">
        <v>130</v>
      </c>
      <c r="H354" s="44">
        <v>400.5</v>
      </c>
      <c r="I354" s="44">
        <v>18.5</v>
      </c>
      <c r="J354" s="44">
        <v>18</v>
      </c>
      <c r="K354" s="44">
        <v>18.5</v>
      </c>
      <c r="L354" s="44">
        <v>18.5</v>
      </c>
      <c r="M354" s="44">
        <v>19.5</v>
      </c>
      <c r="N354" s="44">
        <v>20</v>
      </c>
      <c r="O354" s="44">
        <v>26.5</v>
      </c>
      <c r="P354" s="44">
        <v>20</v>
      </c>
      <c r="Q354" s="44">
        <v>16</v>
      </c>
      <c r="R354" s="44">
        <v>12.5</v>
      </c>
      <c r="S354" s="44">
        <v>12.5</v>
      </c>
      <c r="T354" s="44">
        <v>13</v>
      </c>
      <c r="U354" s="44">
        <v>13.5</v>
      </c>
      <c r="V354" s="44">
        <v>15.5</v>
      </c>
      <c r="W354" s="44">
        <v>14.5</v>
      </c>
      <c r="X354" s="44">
        <v>15</v>
      </c>
      <c r="Y354" s="44">
        <v>15.5</v>
      </c>
      <c r="Z354" s="44">
        <v>16.5</v>
      </c>
      <c r="AA354" s="44">
        <v>17</v>
      </c>
      <c r="AB354" s="44">
        <v>17.5</v>
      </c>
      <c r="AC354" s="44">
        <v>17</v>
      </c>
      <c r="AD354" s="44">
        <v>15</v>
      </c>
      <c r="AE354" s="44">
        <v>14.5</v>
      </c>
      <c r="AF354" s="44">
        <v>15.5</v>
      </c>
    </row>
    <row r="355" spans="1:32" x14ac:dyDescent="0.3">
      <c r="A355" s="38" t="s">
        <v>215</v>
      </c>
      <c r="B355" s="38" t="s">
        <v>174</v>
      </c>
      <c r="C355" s="38" t="s">
        <v>214</v>
      </c>
      <c r="D355" s="39" t="s">
        <v>176</v>
      </c>
      <c r="E355" s="39" t="s">
        <v>177</v>
      </c>
      <c r="F355" s="38" t="s">
        <v>132</v>
      </c>
      <c r="G355" s="38" t="s">
        <v>130</v>
      </c>
      <c r="H355" s="44">
        <v>1232</v>
      </c>
      <c r="I355" s="44">
        <v>1232</v>
      </c>
      <c r="J355" s="44"/>
      <c r="K355" s="44"/>
      <c r="L355" s="44"/>
      <c r="M355" s="44"/>
      <c r="N355" s="44"/>
      <c r="O355" s="44"/>
      <c r="P355" s="44"/>
      <c r="Q355" s="44"/>
      <c r="R355" s="44"/>
      <c r="S355" s="44"/>
      <c r="T355" s="44"/>
      <c r="U355" s="44"/>
      <c r="V355" s="44"/>
      <c r="W355" s="44"/>
      <c r="X355" s="44"/>
      <c r="Y355" s="44"/>
      <c r="Z355" s="44"/>
      <c r="AA355" s="44"/>
      <c r="AB355" s="44"/>
      <c r="AC355" s="44"/>
      <c r="AD355" s="44"/>
      <c r="AE355" s="44"/>
      <c r="AF355" s="44"/>
    </row>
    <row r="356" spans="1:32" x14ac:dyDescent="0.3">
      <c r="A356" s="38" t="s">
        <v>215</v>
      </c>
      <c r="B356" s="38" t="s">
        <v>174</v>
      </c>
      <c r="C356" s="38" t="s">
        <v>214</v>
      </c>
      <c r="D356" s="39" t="s">
        <v>176</v>
      </c>
      <c r="E356" s="39" t="s">
        <v>177</v>
      </c>
      <c r="F356" s="38" t="s">
        <v>133</v>
      </c>
      <c r="G356" s="38" t="s">
        <v>130</v>
      </c>
      <c r="H356" s="44">
        <v>0</v>
      </c>
      <c r="I356" s="44">
        <v>0</v>
      </c>
      <c r="J356" s="44"/>
      <c r="K356" s="44"/>
      <c r="L356" s="44"/>
      <c r="M356" s="44"/>
      <c r="N356" s="44"/>
      <c r="O356" s="44"/>
      <c r="P356" s="44"/>
      <c r="Q356" s="44"/>
      <c r="R356" s="44"/>
      <c r="S356" s="44"/>
      <c r="T356" s="44"/>
      <c r="U356" s="44"/>
      <c r="V356" s="44"/>
      <c r="W356" s="44"/>
      <c r="X356" s="44"/>
      <c r="Y356" s="44"/>
      <c r="Z356" s="44"/>
      <c r="AA356" s="44"/>
      <c r="AB356" s="44"/>
      <c r="AC356" s="44"/>
      <c r="AD356" s="44"/>
      <c r="AE356" s="44"/>
      <c r="AF356" s="44"/>
    </row>
    <row r="357" spans="1:32" x14ac:dyDescent="0.3">
      <c r="A357" s="38" t="s">
        <v>215</v>
      </c>
      <c r="B357" s="38" t="s">
        <v>174</v>
      </c>
      <c r="C357" s="38" t="s">
        <v>214</v>
      </c>
      <c r="D357" s="39" t="s">
        <v>176</v>
      </c>
      <c r="E357" s="39" t="s">
        <v>177</v>
      </c>
      <c r="F357" s="38" t="s">
        <v>134</v>
      </c>
      <c r="G357" s="38" t="s">
        <v>130</v>
      </c>
      <c r="H357" s="44">
        <v>22</v>
      </c>
      <c r="I357" s="44">
        <v>22</v>
      </c>
      <c r="J357" s="44"/>
      <c r="K357" s="44"/>
      <c r="L357" s="44"/>
      <c r="M357" s="44"/>
      <c r="N357" s="44"/>
      <c r="O357" s="44"/>
      <c r="P357" s="44"/>
      <c r="Q357" s="44"/>
      <c r="R357" s="44"/>
      <c r="S357" s="44"/>
      <c r="T357" s="44"/>
      <c r="U357" s="44"/>
      <c r="V357" s="44"/>
      <c r="W357" s="44"/>
      <c r="X357" s="44"/>
      <c r="Y357" s="44"/>
      <c r="Z357" s="44"/>
      <c r="AA357" s="44"/>
      <c r="AB357" s="44"/>
      <c r="AC357" s="44"/>
      <c r="AD357" s="44"/>
      <c r="AE357" s="44"/>
      <c r="AF357" s="44"/>
    </row>
    <row r="358" spans="1:32" x14ac:dyDescent="0.3">
      <c r="A358" s="38" t="s">
        <v>215</v>
      </c>
      <c r="B358" s="38" t="s">
        <v>174</v>
      </c>
      <c r="C358" s="38" t="s">
        <v>214</v>
      </c>
      <c r="D358" s="39" t="s">
        <v>176</v>
      </c>
      <c r="E358" s="39" t="s">
        <v>177</v>
      </c>
      <c r="F358" s="38" t="s">
        <v>135</v>
      </c>
      <c r="G358" s="38" t="s">
        <v>130</v>
      </c>
      <c r="H358" s="44"/>
      <c r="I358" s="44"/>
      <c r="J358" s="44"/>
      <c r="K358" s="44"/>
      <c r="L358" s="44"/>
      <c r="M358" s="44"/>
      <c r="N358" s="44"/>
      <c r="O358" s="44"/>
      <c r="P358" s="44"/>
      <c r="Q358" s="44"/>
      <c r="R358" s="44"/>
      <c r="S358" s="44"/>
      <c r="T358" s="44"/>
      <c r="U358" s="44"/>
      <c r="V358" s="44"/>
      <c r="W358" s="44"/>
      <c r="X358" s="44"/>
      <c r="Y358" s="44"/>
      <c r="Z358" s="44"/>
      <c r="AA358" s="44"/>
      <c r="AB358" s="44"/>
      <c r="AC358" s="44"/>
      <c r="AD358" s="44"/>
      <c r="AE358" s="44"/>
      <c r="AF358" s="44"/>
    </row>
    <row r="359" spans="1:32" x14ac:dyDescent="0.3">
      <c r="A359" s="38" t="s">
        <v>215</v>
      </c>
      <c r="B359" s="38" t="s">
        <v>174</v>
      </c>
      <c r="C359" s="38" t="s">
        <v>214</v>
      </c>
      <c r="D359" s="39" t="s">
        <v>176</v>
      </c>
      <c r="E359" s="39" t="s">
        <v>177</v>
      </c>
      <c r="F359" s="38" t="s">
        <v>136</v>
      </c>
      <c r="G359" s="38" t="s">
        <v>130</v>
      </c>
      <c r="H359" s="44">
        <f>SUM(I359:AF359)</f>
        <v>3220</v>
      </c>
      <c r="I359" s="44">
        <f t="shared" ref="I359:AF359" si="81">IF(AND(ISBLANK(I362) = TRUE,ISBLANK(I361) = TRUE),I360,I361+I362)</f>
        <v>0</v>
      </c>
      <c r="J359" s="44">
        <f t="shared" si="81"/>
        <v>0</v>
      </c>
      <c r="K359" s="44">
        <f t="shared" si="81"/>
        <v>0</v>
      </c>
      <c r="L359" s="44">
        <f t="shared" si="81"/>
        <v>0</v>
      </c>
      <c r="M359" s="44">
        <f t="shared" si="81"/>
        <v>0</v>
      </c>
      <c r="N359" s="44">
        <f t="shared" si="81"/>
        <v>0</v>
      </c>
      <c r="O359" s="44">
        <f t="shared" si="81"/>
        <v>0</v>
      </c>
      <c r="P359" s="44">
        <f t="shared" si="81"/>
        <v>0</v>
      </c>
      <c r="Q359" s="44">
        <f t="shared" si="81"/>
        <v>0</v>
      </c>
      <c r="R359" s="44">
        <f t="shared" si="81"/>
        <v>3220</v>
      </c>
      <c r="S359" s="44">
        <f t="shared" si="81"/>
        <v>0</v>
      </c>
      <c r="T359" s="44">
        <f t="shared" si="81"/>
        <v>0</v>
      </c>
      <c r="U359" s="44">
        <f t="shared" si="81"/>
        <v>0</v>
      </c>
      <c r="V359" s="44">
        <f t="shared" si="81"/>
        <v>0</v>
      </c>
      <c r="W359" s="44">
        <f t="shared" si="81"/>
        <v>0</v>
      </c>
      <c r="X359" s="44">
        <f t="shared" si="81"/>
        <v>0</v>
      </c>
      <c r="Y359" s="44">
        <f t="shared" si="81"/>
        <v>0</v>
      </c>
      <c r="Z359" s="44">
        <f t="shared" si="81"/>
        <v>0</v>
      </c>
      <c r="AA359" s="44">
        <f t="shared" si="81"/>
        <v>0</v>
      </c>
      <c r="AB359" s="44">
        <f t="shared" si="81"/>
        <v>0</v>
      </c>
      <c r="AC359" s="44">
        <f t="shared" si="81"/>
        <v>0</v>
      </c>
      <c r="AD359" s="44">
        <f t="shared" si="81"/>
        <v>0</v>
      </c>
      <c r="AE359" s="44">
        <f t="shared" si="81"/>
        <v>0</v>
      </c>
      <c r="AF359" s="44">
        <f t="shared" si="81"/>
        <v>0</v>
      </c>
    </row>
    <row r="360" spans="1:32" x14ac:dyDescent="0.3">
      <c r="A360" s="38" t="s">
        <v>215</v>
      </c>
      <c r="B360" s="38" t="s">
        <v>174</v>
      </c>
      <c r="C360" s="38" t="s">
        <v>214</v>
      </c>
      <c r="D360" s="39" t="s">
        <v>176</v>
      </c>
      <c r="E360" s="39" t="s">
        <v>177</v>
      </c>
      <c r="F360" s="38" t="s">
        <v>124</v>
      </c>
      <c r="G360" s="38" t="s">
        <v>130</v>
      </c>
      <c r="H360" s="44">
        <v>3220</v>
      </c>
      <c r="I360" s="44"/>
      <c r="J360" s="44"/>
      <c r="K360" s="44"/>
      <c r="L360" s="44"/>
      <c r="M360" s="44"/>
      <c r="N360" s="44"/>
      <c r="O360" s="44"/>
      <c r="P360" s="44"/>
      <c r="Q360" s="44"/>
      <c r="R360" s="44">
        <v>3220</v>
      </c>
      <c r="S360" s="44"/>
      <c r="T360" s="44"/>
      <c r="U360" s="44"/>
      <c r="V360" s="44"/>
      <c r="W360" s="44"/>
      <c r="X360" s="44"/>
      <c r="Y360" s="44"/>
      <c r="Z360" s="44"/>
      <c r="AA360" s="44"/>
      <c r="AB360" s="44"/>
      <c r="AC360" s="44"/>
      <c r="AD360" s="44"/>
      <c r="AE360" s="44"/>
      <c r="AF360" s="44"/>
    </row>
    <row r="361" spans="1:32" x14ac:dyDescent="0.3">
      <c r="A361" s="38" t="s">
        <v>215</v>
      </c>
      <c r="B361" s="38" t="s">
        <v>174</v>
      </c>
      <c r="C361" s="38" t="s">
        <v>214</v>
      </c>
      <c r="D361" s="39" t="s">
        <v>176</v>
      </c>
      <c r="E361" s="39" t="s">
        <v>177</v>
      </c>
      <c r="F361" s="38" t="s">
        <v>137</v>
      </c>
      <c r="G361" s="38" t="s">
        <v>130</v>
      </c>
      <c r="H361" s="44">
        <f>SUM(I361:AF361)</f>
        <v>0</v>
      </c>
      <c r="I361" s="44"/>
      <c r="J361" s="44"/>
      <c r="K361" s="44"/>
      <c r="L361" s="44"/>
      <c r="M361" s="44"/>
      <c r="N361" s="44"/>
      <c r="O361" s="44"/>
      <c r="P361" s="44"/>
      <c r="Q361" s="44"/>
      <c r="R361" s="44"/>
      <c r="S361" s="44"/>
      <c r="T361" s="44"/>
      <c r="U361" s="44"/>
      <c r="V361" s="44"/>
      <c r="W361" s="44"/>
      <c r="X361" s="44"/>
      <c r="Y361" s="44"/>
      <c r="Z361" s="44"/>
      <c r="AA361" s="44"/>
      <c r="AB361" s="44"/>
      <c r="AC361" s="44"/>
      <c r="AD361" s="44"/>
      <c r="AE361" s="44"/>
      <c r="AF361" s="44"/>
    </row>
    <row r="362" spans="1:32" x14ac:dyDescent="0.3">
      <c r="A362" s="38" t="s">
        <v>215</v>
      </c>
      <c r="B362" s="38" t="s">
        <v>174</v>
      </c>
      <c r="C362" s="38" t="s">
        <v>214</v>
      </c>
      <c r="D362" s="39" t="s">
        <v>176</v>
      </c>
      <c r="E362" s="39" t="s">
        <v>177</v>
      </c>
      <c r="F362" s="38" t="s">
        <v>138</v>
      </c>
      <c r="G362" s="38" t="s">
        <v>130</v>
      </c>
      <c r="H362" s="44">
        <f>SUM(I362:AF362)</f>
        <v>0</v>
      </c>
      <c r="I362" s="44"/>
      <c r="J362" s="44"/>
      <c r="K362" s="44"/>
      <c r="L362" s="44"/>
      <c r="M362" s="44"/>
      <c r="N362" s="44"/>
      <c r="O362" s="44"/>
      <c r="P362" s="44"/>
      <c r="Q362" s="44"/>
      <c r="R362" s="44"/>
      <c r="S362" s="44"/>
      <c r="T362" s="44"/>
      <c r="U362" s="44"/>
      <c r="V362" s="44"/>
      <c r="W362" s="44"/>
      <c r="X362" s="44"/>
      <c r="Y362" s="44"/>
      <c r="Z362" s="44"/>
      <c r="AA362" s="44"/>
      <c r="AB362" s="44"/>
      <c r="AC362" s="44"/>
      <c r="AD362" s="44"/>
      <c r="AE362" s="44"/>
      <c r="AF362" s="44"/>
    </row>
    <row r="363" spans="1:32" x14ac:dyDescent="0.3">
      <c r="A363" s="38" t="s">
        <v>215</v>
      </c>
      <c r="B363" s="38" t="s">
        <v>174</v>
      </c>
      <c r="C363" s="38" t="s">
        <v>214</v>
      </c>
      <c r="D363" s="39" t="s">
        <v>176</v>
      </c>
      <c r="E363" s="39" t="s">
        <v>177</v>
      </c>
      <c r="F363" s="38" t="s">
        <v>139</v>
      </c>
      <c r="G363" s="38" t="s">
        <v>130</v>
      </c>
      <c r="H363" s="44">
        <v>3220</v>
      </c>
      <c r="I363" s="44"/>
      <c r="J363" s="44"/>
      <c r="K363" s="44"/>
      <c r="L363" s="44"/>
      <c r="M363" s="44"/>
      <c r="N363" s="44"/>
      <c r="O363" s="44"/>
      <c r="P363" s="44"/>
      <c r="Q363" s="44"/>
      <c r="R363" s="44">
        <v>3220</v>
      </c>
      <c r="S363" s="44"/>
      <c r="T363" s="44"/>
      <c r="U363" s="44"/>
      <c r="V363" s="44"/>
      <c r="W363" s="44"/>
      <c r="X363" s="44"/>
      <c r="Y363" s="44"/>
      <c r="Z363" s="44"/>
      <c r="AA363" s="44"/>
      <c r="AB363" s="44"/>
      <c r="AC363" s="44"/>
      <c r="AD363" s="44"/>
      <c r="AE363" s="44"/>
      <c r="AF363" s="44"/>
    </row>
    <row r="364" spans="1:32" x14ac:dyDescent="0.3">
      <c r="A364" s="38" t="s">
        <v>215</v>
      </c>
      <c r="B364" s="38" t="s">
        <v>174</v>
      </c>
      <c r="C364" s="38" t="s">
        <v>214</v>
      </c>
      <c r="D364" s="39" t="s">
        <v>176</v>
      </c>
      <c r="E364" s="39" t="s">
        <v>177</v>
      </c>
      <c r="F364" s="38" t="s">
        <v>140</v>
      </c>
      <c r="G364" s="38" t="s">
        <v>130</v>
      </c>
      <c r="H364" s="44"/>
      <c r="I364" s="44">
        <f>I359-(I354+I353)+(I358+I357+I356+I355)</f>
        <v>1170</v>
      </c>
      <c r="J364" s="44">
        <f t="shared" ref="J364:AF364" si="82">I364+J359-J354</f>
        <v>1152</v>
      </c>
      <c r="K364" s="44">
        <f t="shared" si="82"/>
        <v>1133.5</v>
      </c>
      <c r="L364" s="44">
        <f t="shared" si="82"/>
        <v>1115</v>
      </c>
      <c r="M364" s="44">
        <f t="shared" si="82"/>
        <v>1095.5</v>
      </c>
      <c r="N364" s="44">
        <f t="shared" si="82"/>
        <v>1075.5</v>
      </c>
      <c r="O364" s="44">
        <f t="shared" si="82"/>
        <v>1049</v>
      </c>
      <c r="P364" s="44">
        <f t="shared" si="82"/>
        <v>1029</v>
      </c>
      <c r="Q364" s="44">
        <f t="shared" si="82"/>
        <v>1013</v>
      </c>
      <c r="R364" s="44">
        <f t="shared" si="82"/>
        <v>4220.5</v>
      </c>
      <c r="S364" s="44">
        <f t="shared" si="82"/>
        <v>4208</v>
      </c>
      <c r="T364" s="44">
        <f t="shared" si="82"/>
        <v>4195</v>
      </c>
      <c r="U364" s="44">
        <f t="shared" si="82"/>
        <v>4181.5</v>
      </c>
      <c r="V364" s="44">
        <f t="shared" si="82"/>
        <v>4166</v>
      </c>
      <c r="W364" s="44">
        <f t="shared" si="82"/>
        <v>4151.5</v>
      </c>
      <c r="X364" s="44">
        <f t="shared" si="82"/>
        <v>4136.5</v>
      </c>
      <c r="Y364" s="44">
        <f t="shared" si="82"/>
        <v>4121</v>
      </c>
      <c r="Z364" s="44">
        <f t="shared" si="82"/>
        <v>4104.5</v>
      </c>
      <c r="AA364" s="44">
        <f t="shared" si="82"/>
        <v>4087.5</v>
      </c>
      <c r="AB364" s="44">
        <f t="shared" si="82"/>
        <v>4070</v>
      </c>
      <c r="AC364" s="44">
        <f t="shared" si="82"/>
        <v>4053</v>
      </c>
      <c r="AD364" s="44">
        <f t="shared" si="82"/>
        <v>4038</v>
      </c>
      <c r="AE364" s="44">
        <f t="shared" si="82"/>
        <v>4023.5</v>
      </c>
      <c r="AF364" s="44">
        <f t="shared" si="82"/>
        <v>4008</v>
      </c>
    </row>
    <row r="365" spans="1:32" ht="15" thickBot="1" x14ac:dyDescent="0.35">
      <c r="A365" s="40" t="s">
        <v>215</v>
      </c>
      <c r="B365" s="40" t="s">
        <v>174</v>
      </c>
      <c r="C365" s="40" t="s">
        <v>214</v>
      </c>
      <c r="D365" s="41" t="s">
        <v>176</v>
      </c>
      <c r="E365" s="41" t="s">
        <v>177</v>
      </c>
      <c r="F365" s="40" t="s">
        <v>141</v>
      </c>
      <c r="G365" s="40" t="s">
        <v>130</v>
      </c>
      <c r="H365" s="45"/>
      <c r="I365" s="45">
        <f>I359-I363</f>
        <v>0</v>
      </c>
      <c r="J365" s="45">
        <f t="shared" ref="J365:AF365" si="83">I365+J359-J363</f>
        <v>0</v>
      </c>
      <c r="K365" s="45">
        <f t="shared" si="83"/>
        <v>0</v>
      </c>
      <c r="L365" s="45">
        <f t="shared" si="83"/>
        <v>0</v>
      </c>
      <c r="M365" s="45">
        <f t="shared" si="83"/>
        <v>0</v>
      </c>
      <c r="N365" s="45">
        <f t="shared" si="83"/>
        <v>0</v>
      </c>
      <c r="O365" s="45">
        <f t="shared" si="83"/>
        <v>0</v>
      </c>
      <c r="P365" s="45">
        <f t="shared" si="83"/>
        <v>0</v>
      </c>
      <c r="Q365" s="45">
        <f t="shared" si="83"/>
        <v>0</v>
      </c>
      <c r="R365" s="45">
        <f t="shared" si="83"/>
        <v>0</v>
      </c>
      <c r="S365" s="45">
        <f t="shared" si="83"/>
        <v>0</v>
      </c>
      <c r="T365" s="45">
        <f t="shared" si="83"/>
        <v>0</v>
      </c>
      <c r="U365" s="45">
        <f t="shared" si="83"/>
        <v>0</v>
      </c>
      <c r="V365" s="45">
        <f t="shared" si="83"/>
        <v>0</v>
      </c>
      <c r="W365" s="45">
        <f t="shared" si="83"/>
        <v>0</v>
      </c>
      <c r="X365" s="45">
        <f t="shared" si="83"/>
        <v>0</v>
      </c>
      <c r="Y365" s="45">
        <f t="shared" si="83"/>
        <v>0</v>
      </c>
      <c r="Z365" s="45">
        <f t="shared" si="83"/>
        <v>0</v>
      </c>
      <c r="AA365" s="45">
        <f t="shared" si="83"/>
        <v>0</v>
      </c>
      <c r="AB365" s="45">
        <f t="shared" si="83"/>
        <v>0</v>
      </c>
      <c r="AC365" s="45">
        <f t="shared" si="83"/>
        <v>0</v>
      </c>
      <c r="AD365" s="45">
        <f t="shared" si="83"/>
        <v>0</v>
      </c>
      <c r="AE365" s="45">
        <f t="shared" si="83"/>
        <v>0</v>
      </c>
      <c r="AF365" s="45">
        <f t="shared" si="83"/>
        <v>0</v>
      </c>
    </row>
    <row r="366" spans="1:32" x14ac:dyDescent="0.3">
      <c r="A366" s="38" t="s">
        <v>216</v>
      </c>
      <c r="B366" s="38" t="s">
        <v>174</v>
      </c>
      <c r="C366" s="38" t="s">
        <v>217</v>
      </c>
      <c r="D366" s="39" t="s">
        <v>183</v>
      </c>
      <c r="E366" s="39" t="s">
        <v>177</v>
      </c>
      <c r="F366" s="38" t="s">
        <v>129</v>
      </c>
      <c r="G366" s="38" t="s">
        <v>130</v>
      </c>
      <c r="H366" s="44">
        <v>2930</v>
      </c>
      <c r="I366" s="44">
        <v>2930</v>
      </c>
      <c r="J366" s="44"/>
      <c r="K366" s="44"/>
      <c r="L366" s="44"/>
      <c r="M366" s="44"/>
      <c r="N366" s="44"/>
      <c r="O366" s="44"/>
      <c r="P366" s="44"/>
      <c r="Q366" s="44"/>
      <c r="R366" s="44"/>
      <c r="S366" s="44"/>
      <c r="T366" s="44"/>
      <c r="U366" s="44"/>
      <c r="V366" s="44"/>
      <c r="W366" s="44"/>
      <c r="X366" s="44"/>
      <c r="Y366" s="44"/>
      <c r="Z366" s="44"/>
      <c r="AA366" s="44"/>
      <c r="AB366" s="44"/>
      <c r="AC366" s="44"/>
      <c r="AD366" s="44"/>
      <c r="AE366" s="44"/>
      <c r="AF366" s="44"/>
    </row>
    <row r="367" spans="1:32" x14ac:dyDescent="0.3">
      <c r="A367" s="38" t="s">
        <v>216</v>
      </c>
      <c r="B367" s="38" t="s">
        <v>174</v>
      </c>
      <c r="C367" s="38" t="s">
        <v>217</v>
      </c>
      <c r="D367" s="39" t="s">
        <v>183</v>
      </c>
      <c r="E367" s="39" t="s">
        <v>177</v>
      </c>
      <c r="F367" s="38" t="s">
        <v>131</v>
      </c>
      <c r="G367" s="38" t="s">
        <v>130</v>
      </c>
      <c r="H367" s="44">
        <v>54639</v>
      </c>
      <c r="I367" s="44">
        <v>3246</v>
      </c>
      <c r="J367" s="44">
        <v>4191</v>
      </c>
      <c r="K367" s="44">
        <v>3185</v>
      </c>
      <c r="L367" s="44">
        <v>3211</v>
      </c>
      <c r="M367" s="44">
        <v>2831</v>
      </c>
      <c r="N367" s="44">
        <v>2785.5</v>
      </c>
      <c r="O367" s="44">
        <v>2786</v>
      </c>
      <c r="P367" s="44">
        <v>2800.5</v>
      </c>
      <c r="Q367" s="44">
        <v>2198.5</v>
      </c>
      <c r="R367" s="44">
        <v>1766</v>
      </c>
      <c r="S367" s="44">
        <v>1755</v>
      </c>
      <c r="T367" s="44">
        <v>1975.5</v>
      </c>
      <c r="U367" s="44">
        <v>1991</v>
      </c>
      <c r="V367" s="44">
        <v>1916.5</v>
      </c>
      <c r="W367" s="44">
        <v>1954</v>
      </c>
      <c r="X367" s="44">
        <v>1697</v>
      </c>
      <c r="Y367" s="44">
        <v>1671</v>
      </c>
      <c r="Z367" s="44">
        <v>1788</v>
      </c>
      <c r="AA367" s="44">
        <v>1835.5</v>
      </c>
      <c r="AB367" s="44">
        <v>1842.5</v>
      </c>
      <c r="AC367" s="44">
        <v>1862.5</v>
      </c>
      <c r="AD367" s="44">
        <v>1798.5</v>
      </c>
      <c r="AE367" s="44">
        <v>1775.5</v>
      </c>
      <c r="AF367" s="44">
        <v>1776</v>
      </c>
    </row>
    <row r="368" spans="1:32" x14ac:dyDescent="0.3">
      <c r="A368" s="38" t="s">
        <v>216</v>
      </c>
      <c r="B368" s="38" t="s">
        <v>174</v>
      </c>
      <c r="C368" s="38" t="s">
        <v>217</v>
      </c>
      <c r="D368" s="39" t="s">
        <v>183</v>
      </c>
      <c r="E368" s="39" t="s">
        <v>177</v>
      </c>
      <c r="F368" s="38" t="s">
        <v>132</v>
      </c>
      <c r="G368" s="38" t="s">
        <v>130</v>
      </c>
      <c r="H368" s="44">
        <v>8856</v>
      </c>
      <c r="I368" s="44">
        <v>8856</v>
      </c>
      <c r="J368" s="44"/>
      <c r="K368" s="44"/>
      <c r="L368" s="44"/>
      <c r="M368" s="44"/>
      <c r="N368" s="44"/>
      <c r="O368" s="44"/>
      <c r="P368" s="44"/>
      <c r="Q368" s="44"/>
      <c r="R368" s="44"/>
      <c r="S368" s="44"/>
      <c r="T368" s="44"/>
      <c r="U368" s="44"/>
      <c r="V368" s="44"/>
      <c r="W368" s="44"/>
      <c r="X368" s="44"/>
      <c r="Y368" s="44"/>
      <c r="Z368" s="44"/>
      <c r="AA368" s="44"/>
      <c r="AB368" s="44"/>
      <c r="AC368" s="44"/>
      <c r="AD368" s="44"/>
      <c r="AE368" s="44"/>
      <c r="AF368" s="44"/>
    </row>
    <row r="369" spans="1:32" x14ac:dyDescent="0.3">
      <c r="A369" s="38" t="s">
        <v>216</v>
      </c>
      <c r="B369" s="38" t="s">
        <v>174</v>
      </c>
      <c r="C369" s="38" t="s">
        <v>217</v>
      </c>
      <c r="D369" s="39" t="s">
        <v>183</v>
      </c>
      <c r="E369" s="39" t="s">
        <v>177</v>
      </c>
      <c r="F369" s="38" t="s">
        <v>133</v>
      </c>
      <c r="G369" s="38" t="s">
        <v>130</v>
      </c>
      <c r="H369" s="44">
        <v>0</v>
      </c>
      <c r="I369" s="44">
        <v>0</v>
      </c>
      <c r="J369" s="44"/>
      <c r="K369" s="44"/>
      <c r="L369" s="44"/>
      <c r="M369" s="44"/>
      <c r="N369" s="44"/>
      <c r="O369" s="44"/>
      <c r="P369" s="44"/>
      <c r="Q369" s="44"/>
      <c r="R369" s="44"/>
      <c r="S369" s="44"/>
      <c r="T369" s="44"/>
      <c r="U369" s="44"/>
      <c r="V369" s="44"/>
      <c r="W369" s="44"/>
      <c r="X369" s="44"/>
      <c r="Y369" s="44"/>
      <c r="Z369" s="44"/>
      <c r="AA369" s="44"/>
      <c r="AB369" s="44"/>
      <c r="AC369" s="44"/>
      <c r="AD369" s="44"/>
      <c r="AE369" s="44"/>
      <c r="AF369" s="44"/>
    </row>
    <row r="370" spans="1:32" x14ac:dyDescent="0.3">
      <c r="A370" s="38" t="s">
        <v>216</v>
      </c>
      <c r="B370" s="38" t="s">
        <v>174</v>
      </c>
      <c r="C370" s="38" t="s">
        <v>217</v>
      </c>
      <c r="D370" s="39" t="s">
        <v>183</v>
      </c>
      <c r="E370" s="39" t="s">
        <v>177</v>
      </c>
      <c r="F370" s="38" t="s">
        <v>134</v>
      </c>
      <c r="G370" s="38" t="s">
        <v>130</v>
      </c>
      <c r="H370" s="44">
        <v>3651</v>
      </c>
      <c r="I370" s="44">
        <v>3651</v>
      </c>
      <c r="J370" s="44"/>
      <c r="K370" s="44"/>
      <c r="L370" s="44"/>
      <c r="M370" s="44"/>
      <c r="N370" s="44"/>
      <c r="O370" s="44"/>
      <c r="P370" s="44"/>
      <c r="Q370" s="44"/>
      <c r="R370" s="44"/>
      <c r="S370" s="44"/>
      <c r="T370" s="44"/>
      <c r="U370" s="44"/>
      <c r="V370" s="44"/>
      <c r="W370" s="44"/>
      <c r="X370" s="44"/>
      <c r="Y370" s="44"/>
      <c r="Z370" s="44"/>
      <c r="AA370" s="44"/>
      <c r="AB370" s="44"/>
      <c r="AC370" s="44"/>
      <c r="AD370" s="44"/>
      <c r="AE370" s="44"/>
      <c r="AF370" s="44"/>
    </row>
    <row r="371" spans="1:32" x14ac:dyDescent="0.3">
      <c r="A371" s="38" t="s">
        <v>216</v>
      </c>
      <c r="B371" s="38" t="s">
        <v>174</v>
      </c>
      <c r="C371" s="38" t="s">
        <v>217</v>
      </c>
      <c r="D371" s="39" t="s">
        <v>183</v>
      </c>
      <c r="E371" s="39" t="s">
        <v>177</v>
      </c>
      <c r="F371" s="38" t="s">
        <v>135</v>
      </c>
      <c r="G371" s="38" t="s">
        <v>130</v>
      </c>
      <c r="H371" s="44"/>
      <c r="I371" s="44"/>
      <c r="J371" s="44"/>
      <c r="K371" s="44"/>
      <c r="L371" s="44"/>
      <c r="M371" s="44"/>
      <c r="N371" s="44"/>
      <c r="O371" s="44"/>
      <c r="P371" s="44"/>
      <c r="Q371" s="44"/>
      <c r="R371" s="44"/>
      <c r="S371" s="44"/>
      <c r="T371" s="44"/>
      <c r="U371" s="44"/>
      <c r="V371" s="44"/>
      <c r="W371" s="44"/>
      <c r="X371" s="44"/>
      <c r="Y371" s="44"/>
      <c r="Z371" s="44"/>
      <c r="AA371" s="44"/>
      <c r="AB371" s="44"/>
      <c r="AC371" s="44"/>
      <c r="AD371" s="44"/>
      <c r="AE371" s="44"/>
      <c r="AF371" s="44"/>
    </row>
    <row r="372" spans="1:32" x14ac:dyDescent="0.3">
      <c r="A372" s="38" t="s">
        <v>216</v>
      </c>
      <c r="B372" s="38" t="s">
        <v>174</v>
      </c>
      <c r="C372" s="38" t="s">
        <v>217</v>
      </c>
      <c r="D372" s="39" t="s">
        <v>183</v>
      </c>
      <c r="E372" s="39" t="s">
        <v>177</v>
      </c>
      <c r="F372" s="38" t="s">
        <v>136</v>
      </c>
      <c r="G372" s="38" t="s">
        <v>130</v>
      </c>
      <c r="H372" s="44">
        <f>SUM(I372:AF372)</f>
        <v>32400</v>
      </c>
      <c r="I372" s="44">
        <f t="shared" ref="I372:AF372" si="84">IF(AND(ISBLANK(I375) = TRUE,ISBLANK(I374) = TRUE),I373,I374+I375)</f>
        <v>0</v>
      </c>
      <c r="J372" s="44">
        <f t="shared" si="84"/>
        <v>0</v>
      </c>
      <c r="K372" s="44">
        <f t="shared" si="84"/>
        <v>0</v>
      </c>
      <c r="L372" s="44">
        <f t="shared" si="84"/>
        <v>10800</v>
      </c>
      <c r="M372" s="44">
        <f t="shared" si="84"/>
        <v>0</v>
      </c>
      <c r="N372" s="44">
        <f t="shared" si="84"/>
        <v>0</v>
      </c>
      <c r="O372" s="44">
        <f t="shared" si="84"/>
        <v>10800</v>
      </c>
      <c r="P372" s="44">
        <f t="shared" si="84"/>
        <v>0</v>
      </c>
      <c r="Q372" s="44">
        <f t="shared" si="84"/>
        <v>0</v>
      </c>
      <c r="R372" s="44">
        <f t="shared" si="84"/>
        <v>0</v>
      </c>
      <c r="S372" s="44">
        <f t="shared" si="84"/>
        <v>0</v>
      </c>
      <c r="T372" s="44">
        <f t="shared" si="84"/>
        <v>10800</v>
      </c>
      <c r="U372" s="44">
        <f t="shared" si="84"/>
        <v>0</v>
      </c>
      <c r="V372" s="44">
        <f t="shared" si="84"/>
        <v>0</v>
      </c>
      <c r="W372" s="44">
        <f t="shared" si="84"/>
        <v>0</v>
      </c>
      <c r="X372" s="44">
        <f t="shared" si="84"/>
        <v>0</v>
      </c>
      <c r="Y372" s="44">
        <f t="shared" si="84"/>
        <v>0</v>
      </c>
      <c r="Z372" s="44">
        <f t="shared" si="84"/>
        <v>0</v>
      </c>
      <c r="AA372" s="44">
        <f t="shared" si="84"/>
        <v>0</v>
      </c>
      <c r="AB372" s="44">
        <f t="shared" si="84"/>
        <v>0</v>
      </c>
      <c r="AC372" s="44">
        <f t="shared" si="84"/>
        <v>0</v>
      </c>
      <c r="AD372" s="44">
        <f t="shared" si="84"/>
        <v>0</v>
      </c>
      <c r="AE372" s="44">
        <f t="shared" si="84"/>
        <v>0</v>
      </c>
      <c r="AF372" s="44">
        <f t="shared" si="84"/>
        <v>0</v>
      </c>
    </row>
    <row r="373" spans="1:32" x14ac:dyDescent="0.3">
      <c r="A373" s="38" t="s">
        <v>216</v>
      </c>
      <c r="B373" s="38" t="s">
        <v>174</v>
      </c>
      <c r="C373" s="38" t="s">
        <v>217</v>
      </c>
      <c r="D373" s="39" t="s">
        <v>183</v>
      </c>
      <c r="E373" s="39" t="s">
        <v>177</v>
      </c>
      <c r="F373" s="38" t="s">
        <v>124</v>
      </c>
      <c r="G373" s="38" t="s">
        <v>130</v>
      </c>
      <c r="H373" s="44">
        <v>32400</v>
      </c>
      <c r="I373" s="44"/>
      <c r="J373" s="44"/>
      <c r="K373" s="44"/>
      <c r="L373" s="44">
        <v>10800</v>
      </c>
      <c r="M373" s="44"/>
      <c r="N373" s="44"/>
      <c r="O373" s="44">
        <v>10800</v>
      </c>
      <c r="P373" s="44"/>
      <c r="Q373" s="44"/>
      <c r="R373" s="44"/>
      <c r="S373" s="44"/>
      <c r="T373" s="44">
        <v>10800</v>
      </c>
      <c r="U373" s="44"/>
      <c r="V373" s="44"/>
      <c r="W373" s="44"/>
      <c r="X373" s="44"/>
      <c r="Y373" s="44"/>
      <c r="Z373" s="44"/>
      <c r="AA373" s="44"/>
      <c r="AB373" s="44"/>
      <c r="AC373" s="44"/>
      <c r="AD373" s="44"/>
      <c r="AE373" s="44"/>
      <c r="AF373" s="44"/>
    </row>
    <row r="374" spans="1:32" x14ac:dyDescent="0.3">
      <c r="A374" s="38" t="s">
        <v>216</v>
      </c>
      <c r="B374" s="38" t="s">
        <v>174</v>
      </c>
      <c r="C374" s="38" t="s">
        <v>217</v>
      </c>
      <c r="D374" s="39" t="s">
        <v>183</v>
      </c>
      <c r="E374" s="39" t="s">
        <v>177</v>
      </c>
      <c r="F374" s="38" t="s">
        <v>137</v>
      </c>
      <c r="G374" s="38" t="s">
        <v>130</v>
      </c>
      <c r="H374" s="44">
        <f>SUM(I374:AF374)</f>
        <v>0</v>
      </c>
      <c r="I374" s="44"/>
      <c r="J374" s="44"/>
      <c r="K374" s="44"/>
      <c r="L374" s="44"/>
      <c r="M374" s="44"/>
      <c r="N374" s="44"/>
      <c r="O374" s="44"/>
      <c r="P374" s="44"/>
      <c r="Q374" s="44"/>
      <c r="R374" s="44"/>
      <c r="S374" s="44"/>
      <c r="T374" s="44"/>
      <c r="U374" s="44"/>
      <c r="V374" s="44"/>
      <c r="W374" s="44"/>
      <c r="X374" s="44"/>
      <c r="Y374" s="44"/>
      <c r="Z374" s="44"/>
      <c r="AA374" s="44"/>
      <c r="AB374" s="44"/>
      <c r="AC374" s="44"/>
      <c r="AD374" s="44"/>
      <c r="AE374" s="44"/>
      <c r="AF374" s="44"/>
    </row>
    <row r="375" spans="1:32" x14ac:dyDescent="0.3">
      <c r="A375" s="38" t="s">
        <v>216</v>
      </c>
      <c r="B375" s="38" t="s">
        <v>174</v>
      </c>
      <c r="C375" s="38" t="s">
        <v>217</v>
      </c>
      <c r="D375" s="39" t="s">
        <v>183</v>
      </c>
      <c r="E375" s="39" t="s">
        <v>177</v>
      </c>
      <c r="F375" s="38" t="s">
        <v>138</v>
      </c>
      <c r="G375" s="38" t="s">
        <v>130</v>
      </c>
      <c r="H375" s="44">
        <f>SUM(I375:AF375)</f>
        <v>0</v>
      </c>
      <c r="I375" s="44"/>
      <c r="J375" s="44"/>
      <c r="K375" s="44"/>
      <c r="L375" s="44"/>
      <c r="M375" s="44"/>
      <c r="N375" s="44"/>
      <c r="O375" s="44"/>
      <c r="P375" s="44"/>
      <c r="Q375" s="44"/>
      <c r="R375" s="44"/>
      <c r="S375" s="44"/>
      <c r="T375" s="44"/>
      <c r="U375" s="44"/>
      <c r="V375" s="44"/>
      <c r="W375" s="44"/>
      <c r="X375" s="44"/>
      <c r="Y375" s="44"/>
      <c r="Z375" s="44"/>
      <c r="AA375" s="44"/>
      <c r="AB375" s="44"/>
      <c r="AC375" s="44"/>
      <c r="AD375" s="44"/>
      <c r="AE375" s="44"/>
      <c r="AF375" s="44"/>
    </row>
    <row r="376" spans="1:32" x14ac:dyDescent="0.3">
      <c r="A376" s="38" t="s">
        <v>216</v>
      </c>
      <c r="B376" s="38" t="s">
        <v>174</v>
      </c>
      <c r="C376" s="38" t="s">
        <v>217</v>
      </c>
      <c r="D376" s="39" t="s">
        <v>183</v>
      </c>
      <c r="E376" s="39" t="s">
        <v>177</v>
      </c>
      <c r="F376" s="38" t="s">
        <v>139</v>
      </c>
      <c r="G376" s="38" t="s">
        <v>130</v>
      </c>
      <c r="H376" s="44">
        <v>32400</v>
      </c>
      <c r="I376" s="44"/>
      <c r="J376" s="44"/>
      <c r="K376" s="44"/>
      <c r="L376" s="44">
        <v>10800</v>
      </c>
      <c r="M376" s="44"/>
      <c r="N376" s="44"/>
      <c r="O376" s="44">
        <v>10800</v>
      </c>
      <c r="P376" s="44"/>
      <c r="Q376" s="44"/>
      <c r="R376" s="44"/>
      <c r="S376" s="44"/>
      <c r="T376" s="44">
        <v>10800</v>
      </c>
      <c r="U376" s="44"/>
      <c r="V376" s="44"/>
      <c r="W376" s="44"/>
      <c r="X376" s="44"/>
      <c r="Y376" s="44"/>
      <c r="Z376" s="44"/>
      <c r="AA376" s="44"/>
      <c r="AB376" s="44"/>
      <c r="AC376" s="44"/>
      <c r="AD376" s="44"/>
      <c r="AE376" s="44"/>
      <c r="AF376" s="44"/>
    </row>
    <row r="377" spans="1:32" x14ac:dyDescent="0.3">
      <c r="A377" s="38" t="s">
        <v>216</v>
      </c>
      <c r="B377" s="38" t="s">
        <v>174</v>
      </c>
      <c r="C377" s="38" t="s">
        <v>217</v>
      </c>
      <c r="D377" s="39" t="s">
        <v>183</v>
      </c>
      <c r="E377" s="39" t="s">
        <v>177</v>
      </c>
      <c r="F377" s="38" t="s">
        <v>140</v>
      </c>
      <c r="G377" s="38" t="s">
        <v>130</v>
      </c>
      <c r="H377" s="44"/>
      <c r="I377" s="44">
        <f>I372-(I367+I366)+(I371+I370+I369+I368)</f>
        <v>6331</v>
      </c>
      <c r="J377" s="44">
        <f t="shared" ref="J377:AF377" si="85">I377+J372-J367</f>
        <v>2140</v>
      </c>
      <c r="K377" s="44">
        <f t="shared" si="85"/>
        <v>-1045</v>
      </c>
      <c r="L377" s="44">
        <f t="shared" si="85"/>
        <v>6544</v>
      </c>
      <c r="M377" s="44">
        <f t="shared" si="85"/>
        <v>3713</v>
      </c>
      <c r="N377" s="44">
        <f t="shared" si="85"/>
        <v>927.5</v>
      </c>
      <c r="O377" s="44">
        <f t="shared" si="85"/>
        <v>8941.5</v>
      </c>
      <c r="P377" s="44">
        <f t="shared" si="85"/>
        <v>6141</v>
      </c>
      <c r="Q377" s="44">
        <f t="shared" si="85"/>
        <v>3942.5</v>
      </c>
      <c r="R377" s="44">
        <f t="shared" si="85"/>
        <v>2176.5</v>
      </c>
      <c r="S377" s="44">
        <f t="shared" si="85"/>
        <v>421.5</v>
      </c>
      <c r="T377" s="44">
        <f t="shared" si="85"/>
        <v>9246</v>
      </c>
      <c r="U377" s="44">
        <f t="shared" si="85"/>
        <v>7255</v>
      </c>
      <c r="V377" s="44">
        <f t="shared" si="85"/>
        <v>5338.5</v>
      </c>
      <c r="W377" s="44">
        <f t="shared" si="85"/>
        <v>3384.5</v>
      </c>
      <c r="X377" s="44">
        <f t="shared" si="85"/>
        <v>1687.5</v>
      </c>
      <c r="Y377" s="44">
        <f t="shared" si="85"/>
        <v>16.5</v>
      </c>
      <c r="Z377" s="44">
        <f t="shared" si="85"/>
        <v>-1771.5</v>
      </c>
      <c r="AA377" s="44">
        <f t="shared" si="85"/>
        <v>-3607</v>
      </c>
      <c r="AB377" s="44">
        <f t="shared" si="85"/>
        <v>-5449.5</v>
      </c>
      <c r="AC377" s="44">
        <f t="shared" si="85"/>
        <v>-7312</v>
      </c>
      <c r="AD377" s="44">
        <f t="shared" si="85"/>
        <v>-9110.5</v>
      </c>
      <c r="AE377" s="44">
        <f t="shared" si="85"/>
        <v>-10886</v>
      </c>
      <c r="AF377" s="44">
        <f t="shared" si="85"/>
        <v>-12662</v>
      </c>
    </row>
    <row r="378" spans="1:32" ht="15" thickBot="1" x14ac:dyDescent="0.35">
      <c r="A378" s="40" t="s">
        <v>216</v>
      </c>
      <c r="B378" s="40" t="s">
        <v>174</v>
      </c>
      <c r="C378" s="40" t="s">
        <v>217</v>
      </c>
      <c r="D378" s="41" t="s">
        <v>183</v>
      </c>
      <c r="E378" s="41" t="s">
        <v>177</v>
      </c>
      <c r="F378" s="40" t="s">
        <v>141</v>
      </c>
      <c r="G378" s="40" t="s">
        <v>130</v>
      </c>
      <c r="H378" s="45"/>
      <c r="I378" s="45">
        <f>I372-I376</f>
        <v>0</v>
      </c>
      <c r="J378" s="45">
        <f t="shared" ref="J378:AF378" si="86">I378+J372-J376</f>
        <v>0</v>
      </c>
      <c r="K378" s="45">
        <f t="shared" si="86"/>
        <v>0</v>
      </c>
      <c r="L378" s="45">
        <f t="shared" si="86"/>
        <v>0</v>
      </c>
      <c r="M378" s="45">
        <f t="shared" si="86"/>
        <v>0</v>
      </c>
      <c r="N378" s="45">
        <f t="shared" si="86"/>
        <v>0</v>
      </c>
      <c r="O378" s="45">
        <f t="shared" si="86"/>
        <v>0</v>
      </c>
      <c r="P378" s="45">
        <f t="shared" si="86"/>
        <v>0</v>
      </c>
      <c r="Q378" s="45">
        <f t="shared" si="86"/>
        <v>0</v>
      </c>
      <c r="R378" s="45">
        <f t="shared" si="86"/>
        <v>0</v>
      </c>
      <c r="S378" s="45">
        <f t="shared" si="86"/>
        <v>0</v>
      </c>
      <c r="T378" s="45">
        <f t="shared" si="86"/>
        <v>0</v>
      </c>
      <c r="U378" s="45">
        <f t="shared" si="86"/>
        <v>0</v>
      </c>
      <c r="V378" s="45">
        <f t="shared" si="86"/>
        <v>0</v>
      </c>
      <c r="W378" s="45">
        <f t="shared" si="86"/>
        <v>0</v>
      </c>
      <c r="X378" s="45">
        <f t="shared" si="86"/>
        <v>0</v>
      </c>
      <c r="Y378" s="45">
        <f t="shared" si="86"/>
        <v>0</v>
      </c>
      <c r="Z378" s="45">
        <f t="shared" si="86"/>
        <v>0</v>
      </c>
      <c r="AA378" s="45">
        <f t="shared" si="86"/>
        <v>0</v>
      </c>
      <c r="AB378" s="45">
        <f t="shared" si="86"/>
        <v>0</v>
      </c>
      <c r="AC378" s="45">
        <f t="shared" si="86"/>
        <v>0</v>
      </c>
      <c r="AD378" s="45">
        <f t="shared" si="86"/>
        <v>0</v>
      </c>
      <c r="AE378" s="45">
        <f t="shared" si="86"/>
        <v>0</v>
      </c>
      <c r="AF378" s="45">
        <f t="shared" si="86"/>
        <v>0</v>
      </c>
    </row>
    <row r="379" spans="1:32" x14ac:dyDescent="0.3">
      <c r="A379" s="38" t="s">
        <v>218</v>
      </c>
      <c r="B379" s="38" t="s">
        <v>174</v>
      </c>
      <c r="C379" s="38" t="s">
        <v>217</v>
      </c>
      <c r="D379" s="39" t="s">
        <v>180</v>
      </c>
      <c r="E379" s="39" t="s">
        <v>177</v>
      </c>
      <c r="F379" s="38" t="s">
        <v>129</v>
      </c>
      <c r="G379" s="38" t="s">
        <v>130</v>
      </c>
      <c r="H379" s="44">
        <v>1177</v>
      </c>
      <c r="I379" s="44">
        <v>1177</v>
      </c>
      <c r="J379" s="44"/>
      <c r="K379" s="44"/>
      <c r="L379" s="44"/>
      <c r="M379" s="44"/>
      <c r="N379" s="44"/>
      <c r="O379" s="44"/>
      <c r="P379" s="44"/>
      <c r="Q379" s="44"/>
      <c r="R379" s="44"/>
      <c r="S379" s="44"/>
      <c r="T379" s="44"/>
      <c r="U379" s="44"/>
      <c r="V379" s="44"/>
      <c r="W379" s="44"/>
      <c r="X379" s="44"/>
      <c r="Y379" s="44"/>
      <c r="Z379" s="44"/>
      <c r="AA379" s="44"/>
      <c r="AB379" s="44"/>
      <c r="AC379" s="44"/>
      <c r="AD379" s="44"/>
      <c r="AE379" s="44"/>
      <c r="AF379" s="44"/>
    </row>
    <row r="380" spans="1:32" x14ac:dyDescent="0.3">
      <c r="A380" s="38" t="s">
        <v>218</v>
      </c>
      <c r="B380" s="38" t="s">
        <v>174</v>
      </c>
      <c r="C380" s="38" t="s">
        <v>217</v>
      </c>
      <c r="D380" s="39" t="s">
        <v>180</v>
      </c>
      <c r="E380" s="39" t="s">
        <v>177</v>
      </c>
      <c r="F380" s="38" t="s">
        <v>131</v>
      </c>
      <c r="G380" s="38" t="s">
        <v>130</v>
      </c>
      <c r="H380" s="44">
        <v>38440</v>
      </c>
      <c r="I380" s="44">
        <v>2146</v>
      </c>
      <c r="J380" s="44">
        <v>2154</v>
      </c>
      <c r="K380" s="44">
        <v>2120</v>
      </c>
      <c r="L380" s="44">
        <v>2105</v>
      </c>
      <c r="M380" s="44">
        <v>2146</v>
      </c>
      <c r="N380" s="44">
        <v>2152.5</v>
      </c>
      <c r="O380" s="44">
        <v>2154</v>
      </c>
      <c r="P380" s="44">
        <v>2153.5</v>
      </c>
      <c r="Q380" s="44">
        <v>1608.5</v>
      </c>
      <c r="R380" s="44">
        <v>1198</v>
      </c>
      <c r="S380" s="44">
        <v>1197</v>
      </c>
      <c r="T380" s="44">
        <v>1417.5</v>
      </c>
      <c r="U380" s="44">
        <v>1444</v>
      </c>
      <c r="V380" s="44">
        <v>1436.5</v>
      </c>
      <c r="W380" s="44">
        <v>1475</v>
      </c>
      <c r="X380" s="44">
        <v>1218</v>
      </c>
      <c r="Y380" s="44">
        <v>1192</v>
      </c>
      <c r="Z380" s="44">
        <v>1273</v>
      </c>
      <c r="AA380" s="44">
        <v>1305.5</v>
      </c>
      <c r="AB380" s="44">
        <v>1312.5</v>
      </c>
      <c r="AC380" s="44">
        <v>1332.5</v>
      </c>
      <c r="AD380" s="44">
        <v>1305.5</v>
      </c>
      <c r="AE380" s="44">
        <v>1296.5</v>
      </c>
      <c r="AF380" s="44">
        <v>1297</v>
      </c>
    </row>
    <row r="381" spans="1:32" x14ac:dyDescent="0.3">
      <c r="A381" s="38" t="s">
        <v>218</v>
      </c>
      <c r="B381" s="38" t="s">
        <v>174</v>
      </c>
      <c r="C381" s="38" t="s">
        <v>217</v>
      </c>
      <c r="D381" s="39" t="s">
        <v>180</v>
      </c>
      <c r="E381" s="39" t="s">
        <v>177</v>
      </c>
      <c r="F381" s="38" t="s">
        <v>132</v>
      </c>
      <c r="G381" s="38" t="s">
        <v>130</v>
      </c>
      <c r="H381" s="44">
        <v>0</v>
      </c>
      <c r="I381" s="44">
        <v>0</v>
      </c>
      <c r="J381" s="44"/>
      <c r="K381" s="44"/>
      <c r="L381" s="44"/>
      <c r="M381" s="44"/>
      <c r="N381" s="44"/>
      <c r="O381" s="44"/>
      <c r="P381" s="44"/>
      <c r="Q381" s="44"/>
      <c r="R381" s="44"/>
      <c r="S381" s="44"/>
      <c r="T381" s="44"/>
      <c r="U381" s="44"/>
      <c r="V381" s="44"/>
      <c r="W381" s="44"/>
      <c r="X381" s="44"/>
      <c r="Y381" s="44"/>
      <c r="Z381" s="44"/>
      <c r="AA381" s="44"/>
      <c r="AB381" s="44"/>
      <c r="AC381" s="44"/>
      <c r="AD381" s="44"/>
      <c r="AE381" s="44"/>
      <c r="AF381" s="44"/>
    </row>
    <row r="382" spans="1:32" x14ac:dyDescent="0.3">
      <c r="A382" s="38" t="s">
        <v>218</v>
      </c>
      <c r="B382" s="38" t="s">
        <v>174</v>
      </c>
      <c r="C382" s="38" t="s">
        <v>217</v>
      </c>
      <c r="D382" s="39" t="s">
        <v>180</v>
      </c>
      <c r="E382" s="39" t="s">
        <v>177</v>
      </c>
      <c r="F382" s="38" t="s">
        <v>133</v>
      </c>
      <c r="G382" s="38" t="s">
        <v>130</v>
      </c>
      <c r="H382" s="44">
        <v>0</v>
      </c>
      <c r="I382" s="44">
        <v>0</v>
      </c>
      <c r="J382" s="44"/>
      <c r="K382" s="44"/>
      <c r="L382" s="44"/>
      <c r="M382" s="44"/>
      <c r="N382" s="44"/>
      <c r="O382" s="44"/>
      <c r="P382" s="44"/>
      <c r="Q382" s="44"/>
      <c r="R382" s="44"/>
      <c r="S382" s="44"/>
      <c r="T382" s="44"/>
      <c r="U382" s="44"/>
      <c r="V382" s="44"/>
      <c r="W382" s="44"/>
      <c r="X382" s="44"/>
      <c r="Y382" s="44"/>
      <c r="Z382" s="44"/>
      <c r="AA382" s="44"/>
      <c r="AB382" s="44"/>
      <c r="AC382" s="44"/>
      <c r="AD382" s="44"/>
      <c r="AE382" s="44"/>
      <c r="AF382" s="44"/>
    </row>
    <row r="383" spans="1:32" x14ac:dyDescent="0.3">
      <c r="A383" s="38" t="s">
        <v>218</v>
      </c>
      <c r="B383" s="38" t="s">
        <v>174</v>
      </c>
      <c r="C383" s="38" t="s">
        <v>217</v>
      </c>
      <c r="D383" s="39" t="s">
        <v>180</v>
      </c>
      <c r="E383" s="39" t="s">
        <v>177</v>
      </c>
      <c r="F383" s="38" t="s">
        <v>134</v>
      </c>
      <c r="G383" s="38" t="s">
        <v>130</v>
      </c>
      <c r="H383" s="44">
        <v>1196</v>
      </c>
      <c r="I383" s="44">
        <v>1196</v>
      </c>
      <c r="J383" s="44"/>
      <c r="K383" s="44"/>
      <c r="L383" s="44"/>
      <c r="M383" s="44"/>
      <c r="N383" s="44"/>
      <c r="O383" s="44"/>
      <c r="P383" s="44"/>
      <c r="Q383" s="44"/>
      <c r="R383" s="44"/>
      <c r="S383" s="44"/>
      <c r="T383" s="44"/>
      <c r="U383" s="44"/>
      <c r="V383" s="44"/>
      <c r="W383" s="44"/>
      <c r="X383" s="44"/>
      <c r="Y383" s="44"/>
      <c r="Z383" s="44"/>
      <c r="AA383" s="44"/>
      <c r="AB383" s="44"/>
      <c r="AC383" s="44"/>
      <c r="AD383" s="44"/>
      <c r="AE383" s="44"/>
      <c r="AF383" s="44"/>
    </row>
    <row r="384" spans="1:32" x14ac:dyDescent="0.3">
      <c r="A384" s="38" t="s">
        <v>218</v>
      </c>
      <c r="B384" s="38" t="s">
        <v>174</v>
      </c>
      <c r="C384" s="38" t="s">
        <v>217</v>
      </c>
      <c r="D384" s="39" t="s">
        <v>180</v>
      </c>
      <c r="E384" s="39" t="s">
        <v>177</v>
      </c>
      <c r="F384" s="38" t="s">
        <v>135</v>
      </c>
      <c r="G384" s="38" t="s">
        <v>130</v>
      </c>
      <c r="H384" s="44"/>
      <c r="I384" s="44"/>
      <c r="J384" s="44"/>
      <c r="K384" s="44"/>
      <c r="L384" s="44"/>
      <c r="M384" s="44"/>
      <c r="N384" s="44"/>
      <c r="O384" s="44"/>
      <c r="P384" s="44"/>
      <c r="Q384" s="44"/>
      <c r="R384" s="44"/>
      <c r="S384" s="44"/>
      <c r="T384" s="44"/>
      <c r="U384" s="44"/>
      <c r="V384" s="44"/>
      <c r="W384" s="44"/>
      <c r="X384" s="44"/>
      <c r="Y384" s="44"/>
      <c r="Z384" s="44"/>
      <c r="AA384" s="44"/>
      <c r="AB384" s="44"/>
      <c r="AC384" s="44"/>
      <c r="AD384" s="44"/>
      <c r="AE384" s="44"/>
      <c r="AF384" s="44"/>
    </row>
    <row r="385" spans="1:32" x14ac:dyDescent="0.3">
      <c r="A385" s="38" t="s">
        <v>218</v>
      </c>
      <c r="B385" s="38" t="s">
        <v>174</v>
      </c>
      <c r="C385" s="38" t="s">
        <v>217</v>
      </c>
      <c r="D385" s="39" t="s">
        <v>180</v>
      </c>
      <c r="E385" s="39" t="s">
        <v>177</v>
      </c>
      <c r="F385" s="38" t="s">
        <v>136</v>
      </c>
      <c r="G385" s="38" t="s">
        <v>130</v>
      </c>
      <c r="H385" s="44">
        <f>SUM(I385:AF385)</f>
        <v>0</v>
      </c>
      <c r="I385" s="44">
        <f t="shared" ref="I385:AF385" si="87">IF(AND(ISBLANK(I388) = TRUE,ISBLANK(I387) = TRUE),I386,I387+I388)</f>
        <v>0</v>
      </c>
      <c r="J385" s="44">
        <f t="shared" si="87"/>
        <v>0</v>
      </c>
      <c r="K385" s="44">
        <f t="shared" si="87"/>
        <v>0</v>
      </c>
      <c r="L385" s="44">
        <f t="shared" si="87"/>
        <v>0</v>
      </c>
      <c r="M385" s="44">
        <f t="shared" si="87"/>
        <v>0</v>
      </c>
      <c r="N385" s="44">
        <f t="shared" si="87"/>
        <v>0</v>
      </c>
      <c r="O385" s="44">
        <f t="shared" si="87"/>
        <v>0</v>
      </c>
      <c r="P385" s="44">
        <f t="shared" si="87"/>
        <v>0</v>
      </c>
      <c r="Q385" s="44">
        <f t="shared" si="87"/>
        <v>0</v>
      </c>
      <c r="R385" s="44">
        <f t="shared" si="87"/>
        <v>0</v>
      </c>
      <c r="S385" s="44">
        <f t="shared" si="87"/>
        <v>0</v>
      </c>
      <c r="T385" s="44">
        <f t="shared" si="87"/>
        <v>0</v>
      </c>
      <c r="U385" s="44">
        <f t="shared" si="87"/>
        <v>0</v>
      </c>
      <c r="V385" s="44">
        <f t="shared" si="87"/>
        <v>0</v>
      </c>
      <c r="W385" s="44">
        <f t="shared" si="87"/>
        <v>0</v>
      </c>
      <c r="X385" s="44">
        <f t="shared" si="87"/>
        <v>0</v>
      </c>
      <c r="Y385" s="44">
        <f t="shared" si="87"/>
        <v>0</v>
      </c>
      <c r="Z385" s="44">
        <f t="shared" si="87"/>
        <v>0</v>
      </c>
      <c r="AA385" s="44">
        <f t="shared" si="87"/>
        <v>0</v>
      </c>
      <c r="AB385" s="44">
        <f t="shared" si="87"/>
        <v>0</v>
      </c>
      <c r="AC385" s="44">
        <f t="shared" si="87"/>
        <v>0</v>
      </c>
      <c r="AD385" s="44">
        <f t="shared" si="87"/>
        <v>0</v>
      </c>
      <c r="AE385" s="44">
        <f t="shared" si="87"/>
        <v>0</v>
      </c>
      <c r="AF385" s="44">
        <f t="shared" si="87"/>
        <v>0</v>
      </c>
    </row>
    <row r="386" spans="1:32" x14ac:dyDescent="0.3">
      <c r="A386" s="38" t="s">
        <v>218</v>
      </c>
      <c r="B386" s="38" t="s">
        <v>174</v>
      </c>
      <c r="C386" s="38" t="s">
        <v>217</v>
      </c>
      <c r="D386" s="39" t="s">
        <v>180</v>
      </c>
      <c r="E386" s="39" t="s">
        <v>177</v>
      </c>
      <c r="F386" s="38" t="s">
        <v>124</v>
      </c>
      <c r="G386" s="38" t="s">
        <v>130</v>
      </c>
      <c r="H386" s="44"/>
      <c r="I386" s="44"/>
      <c r="J386" s="44"/>
      <c r="K386" s="44"/>
      <c r="L386" s="44"/>
      <c r="M386" s="44"/>
      <c r="N386" s="44"/>
      <c r="O386" s="44"/>
      <c r="P386" s="44"/>
      <c r="Q386" s="44"/>
      <c r="R386" s="44"/>
      <c r="S386" s="44"/>
      <c r="T386" s="44"/>
      <c r="U386" s="44"/>
      <c r="V386" s="44"/>
      <c r="W386" s="44"/>
      <c r="X386" s="44"/>
      <c r="Y386" s="44"/>
      <c r="Z386" s="44"/>
      <c r="AA386" s="44"/>
      <c r="AB386" s="44"/>
      <c r="AC386" s="44"/>
      <c r="AD386" s="44"/>
      <c r="AE386" s="44"/>
      <c r="AF386" s="44"/>
    </row>
    <row r="387" spans="1:32" x14ac:dyDescent="0.3">
      <c r="A387" s="38" t="s">
        <v>218</v>
      </c>
      <c r="B387" s="38" t="s">
        <v>174</v>
      </c>
      <c r="C387" s="38" t="s">
        <v>217</v>
      </c>
      <c r="D387" s="39" t="s">
        <v>180</v>
      </c>
      <c r="E387" s="39" t="s">
        <v>177</v>
      </c>
      <c r="F387" s="38" t="s">
        <v>137</v>
      </c>
      <c r="G387" s="38" t="s">
        <v>130</v>
      </c>
      <c r="H387" s="44">
        <f>SUM(I387:AF387)</f>
        <v>0</v>
      </c>
      <c r="I387" s="44"/>
      <c r="J387" s="44"/>
      <c r="K387" s="44"/>
      <c r="L387" s="44"/>
      <c r="M387" s="44"/>
      <c r="N387" s="44"/>
      <c r="O387" s="44"/>
      <c r="P387" s="44"/>
      <c r="Q387" s="44"/>
      <c r="R387" s="44"/>
      <c r="S387" s="44"/>
      <c r="T387" s="44"/>
      <c r="U387" s="44"/>
      <c r="V387" s="44"/>
      <c r="W387" s="44"/>
      <c r="X387" s="44"/>
      <c r="Y387" s="44"/>
      <c r="Z387" s="44"/>
      <c r="AA387" s="44"/>
      <c r="AB387" s="44"/>
      <c r="AC387" s="44"/>
      <c r="AD387" s="44"/>
      <c r="AE387" s="44"/>
      <c r="AF387" s="44"/>
    </row>
    <row r="388" spans="1:32" x14ac:dyDescent="0.3">
      <c r="A388" s="38" t="s">
        <v>218</v>
      </c>
      <c r="B388" s="38" t="s">
        <v>174</v>
      </c>
      <c r="C388" s="38" t="s">
        <v>217</v>
      </c>
      <c r="D388" s="39" t="s">
        <v>180</v>
      </c>
      <c r="E388" s="39" t="s">
        <v>177</v>
      </c>
      <c r="F388" s="38" t="s">
        <v>138</v>
      </c>
      <c r="G388" s="38" t="s">
        <v>130</v>
      </c>
      <c r="H388" s="44">
        <f>SUM(I388:AF388)</f>
        <v>0</v>
      </c>
      <c r="I388" s="44"/>
      <c r="J388" s="44"/>
      <c r="K388" s="44"/>
      <c r="L388" s="44"/>
      <c r="M388" s="44"/>
      <c r="N388" s="44"/>
      <c r="O388" s="44"/>
      <c r="P388" s="44"/>
      <c r="Q388" s="44"/>
      <c r="R388" s="44"/>
      <c r="S388" s="44"/>
      <c r="T388" s="44"/>
      <c r="U388" s="44"/>
      <c r="V388" s="44"/>
      <c r="W388" s="44"/>
      <c r="X388" s="44"/>
      <c r="Y388" s="44"/>
      <c r="Z388" s="44"/>
      <c r="AA388" s="44"/>
      <c r="AB388" s="44"/>
      <c r="AC388" s="44"/>
      <c r="AD388" s="44"/>
      <c r="AE388" s="44"/>
      <c r="AF388" s="44"/>
    </row>
    <row r="389" spans="1:32" x14ac:dyDescent="0.3">
      <c r="A389" s="38" t="s">
        <v>218</v>
      </c>
      <c r="B389" s="38" t="s">
        <v>174</v>
      </c>
      <c r="C389" s="38" t="s">
        <v>217</v>
      </c>
      <c r="D389" s="39" t="s">
        <v>180</v>
      </c>
      <c r="E389" s="39" t="s">
        <v>177</v>
      </c>
      <c r="F389" s="38" t="s">
        <v>139</v>
      </c>
      <c r="G389" s="38" t="s">
        <v>130</v>
      </c>
      <c r="H389" s="44"/>
      <c r="I389" s="44"/>
      <c r="J389" s="44"/>
      <c r="K389" s="44"/>
      <c r="L389" s="44"/>
      <c r="M389" s="44"/>
      <c r="N389" s="44"/>
      <c r="O389" s="44"/>
      <c r="P389" s="44"/>
      <c r="Q389" s="44"/>
      <c r="R389" s="44"/>
      <c r="S389" s="44"/>
      <c r="T389" s="44"/>
      <c r="U389" s="44"/>
      <c r="V389" s="44"/>
      <c r="W389" s="44"/>
      <c r="X389" s="44"/>
      <c r="Y389" s="44"/>
      <c r="Z389" s="44"/>
      <c r="AA389" s="44"/>
      <c r="AB389" s="44"/>
      <c r="AC389" s="44"/>
      <c r="AD389" s="44"/>
      <c r="AE389" s="44"/>
      <c r="AF389" s="44"/>
    </row>
    <row r="390" spans="1:32" x14ac:dyDescent="0.3">
      <c r="A390" s="38" t="s">
        <v>218</v>
      </c>
      <c r="B390" s="38" t="s">
        <v>174</v>
      </c>
      <c r="C390" s="38" t="s">
        <v>217</v>
      </c>
      <c r="D390" s="39" t="s">
        <v>180</v>
      </c>
      <c r="E390" s="39" t="s">
        <v>177</v>
      </c>
      <c r="F390" s="38" t="s">
        <v>140</v>
      </c>
      <c r="G390" s="38" t="s">
        <v>130</v>
      </c>
      <c r="H390" s="44"/>
      <c r="I390" s="44">
        <f>I385-(I380+I379)+(I384+I383+I382+I381)</f>
        <v>-2127</v>
      </c>
      <c r="J390" s="44">
        <f t="shared" ref="J390:AF390" si="88">I390+J385-J380</f>
        <v>-4281</v>
      </c>
      <c r="K390" s="44">
        <f t="shared" si="88"/>
        <v>-6401</v>
      </c>
      <c r="L390" s="44">
        <f t="shared" si="88"/>
        <v>-8506</v>
      </c>
      <c r="M390" s="44">
        <f t="shared" si="88"/>
        <v>-10652</v>
      </c>
      <c r="N390" s="44">
        <f t="shared" si="88"/>
        <v>-12804.5</v>
      </c>
      <c r="O390" s="44">
        <f t="shared" si="88"/>
        <v>-14958.5</v>
      </c>
      <c r="P390" s="44">
        <f t="shared" si="88"/>
        <v>-17112</v>
      </c>
      <c r="Q390" s="44">
        <f t="shared" si="88"/>
        <v>-18720.5</v>
      </c>
      <c r="R390" s="44">
        <f t="shared" si="88"/>
        <v>-19918.5</v>
      </c>
      <c r="S390" s="44">
        <f t="shared" si="88"/>
        <v>-21115.5</v>
      </c>
      <c r="T390" s="44">
        <f t="shared" si="88"/>
        <v>-22533</v>
      </c>
      <c r="U390" s="44">
        <f t="shared" si="88"/>
        <v>-23977</v>
      </c>
      <c r="V390" s="44">
        <f t="shared" si="88"/>
        <v>-25413.5</v>
      </c>
      <c r="W390" s="44">
        <f t="shared" si="88"/>
        <v>-26888.5</v>
      </c>
      <c r="X390" s="44">
        <f t="shared" si="88"/>
        <v>-28106.5</v>
      </c>
      <c r="Y390" s="44">
        <f t="shared" si="88"/>
        <v>-29298.5</v>
      </c>
      <c r="Z390" s="44">
        <f t="shared" si="88"/>
        <v>-30571.5</v>
      </c>
      <c r="AA390" s="44">
        <f t="shared" si="88"/>
        <v>-31877</v>
      </c>
      <c r="AB390" s="44">
        <f t="shared" si="88"/>
        <v>-33189.5</v>
      </c>
      <c r="AC390" s="44">
        <f t="shared" si="88"/>
        <v>-34522</v>
      </c>
      <c r="AD390" s="44">
        <f t="shared" si="88"/>
        <v>-35827.5</v>
      </c>
      <c r="AE390" s="44">
        <f t="shared" si="88"/>
        <v>-37124</v>
      </c>
      <c r="AF390" s="44">
        <f t="shared" si="88"/>
        <v>-38421</v>
      </c>
    </row>
    <row r="391" spans="1:32" ht="15" thickBot="1" x14ac:dyDescent="0.35">
      <c r="A391" s="40" t="s">
        <v>218</v>
      </c>
      <c r="B391" s="40" t="s">
        <v>174</v>
      </c>
      <c r="C391" s="40" t="s">
        <v>217</v>
      </c>
      <c r="D391" s="41" t="s">
        <v>180</v>
      </c>
      <c r="E391" s="41" t="s">
        <v>177</v>
      </c>
      <c r="F391" s="40" t="s">
        <v>141</v>
      </c>
      <c r="G391" s="40" t="s">
        <v>130</v>
      </c>
      <c r="H391" s="45"/>
      <c r="I391" s="45">
        <f>I385-I389</f>
        <v>0</v>
      </c>
      <c r="J391" s="45">
        <f t="shared" ref="J391:AF391" si="89">I391+J385-J389</f>
        <v>0</v>
      </c>
      <c r="K391" s="45">
        <f t="shared" si="89"/>
        <v>0</v>
      </c>
      <c r="L391" s="45">
        <f t="shared" si="89"/>
        <v>0</v>
      </c>
      <c r="M391" s="45">
        <f t="shared" si="89"/>
        <v>0</v>
      </c>
      <c r="N391" s="45">
        <f t="shared" si="89"/>
        <v>0</v>
      </c>
      <c r="O391" s="45">
        <f t="shared" si="89"/>
        <v>0</v>
      </c>
      <c r="P391" s="45">
        <f t="shared" si="89"/>
        <v>0</v>
      </c>
      <c r="Q391" s="45">
        <f t="shared" si="89"/>
        <v>0</v>
      </c>
      <c r="R391" s="45">
        <f t="shared" si="89"/>
        <v>0</v>
      </c>
      <c r="S391" s="45">
        <f t="shared" si="89"/>
        <v>0</v>
      </c>
      <c r="T391" s="45">
        <f t="shared" si="89"/>
        <v>0</v>
      </c>
      <c r="U391" s="45">
        <f t="shared" si="89"/>
        <v>0</v>
      </c>
      <c r="V391" s="45">
        <f t="shared" si="89"/>
        <v>0</v>
      </c>
      <c r="W391" s="45">
        <f t="shared" si="89"/>
        <v>0</v>
      </c>
      <c r="X391" s="45">
        <f t="shared" si="89"/>
        <v>0</v>
      </c>
      <c r="Y391" s="45">
        <f t="shared" si="89"/>
        <v>0</v>
      </c>
      <c r="Z391" s="45">
        <f t="shared" si="89"/>
        <v>0</v>
      </c>
      <c r="AA391" s="45">
        <f t="shared" si="89"/>
        <v>0</v>
      </c>
      <c r="AB391" s="45">
        <f t="shared" si="89"/>
        <v>0</v>
      </c>
      <c r="AC391" s="45">
        <f t="shared" si="89"/>
        <v>0</v>
      </c>
      <c r="AD391" s="45">
        <f t="shared" si="89"/>
        <v>0</v>
      </c>
      <c r="AE391" s="45">
        <f t="shared" si="89"/>
        <v>0</v>
      </c>
      <c r="AF391" s="45">
        <f t="shared" si="89"/>
        <v>0</v>
      </c>
    </row>
    <row r="392" spans="1:32" x14ac:dyDescent="0.3">
      <c r="A392" s="38" t="s">
        <v>219</v>
      </c>
      <c r="B392" s="38" t="s">
        <v>174</v>
      </c>
      <c r="C392" s="38" t="s">
        <v>220</v>
      </c>
      <c r="D392" s="39" t="s">
        <v>198</v>
      </c>
      <c r="E392" s="39" t="s">
        <v>177</v>
      </c>
      <c r="F392" s="38" t="s">
        <v>129</v>
      </c>
      <c r="G392" s="38" t="s">
        <v>130</v>
      </c>
      <c r="H392" s="44">
        <v>44450</v>
      </c>
      <c r="I392" s="44">
        <v>44450</v>
      </c>
      <c r="J392" s="44"/>
      <c r="K392" s="44"/>
      <c r="L392" s="44"/>
      <c r="M392" s="44"/>
      <c r="N392" s="44"/>
      <c r="O392" s="44"/>
      <c r="P392" s="44"/>
      <c r="Q392" s="44"/>
      <c r="R392" s="44"/>
      <c r="S392" s="44"/>
      <c r="T392" s="44"/>
      <c r="U392" s="44"/>
      <c r="V392" s="44"/>
      <c r="W392" s="44"/>
      <c r="X392" s="44"/>
      <c r="Y392" s="44"/>
      <c r="Z392" s="44"/>
      <c r="AA392" s="44"/>
      <c r="AB392" s="44"/>
      <c r="AC392" s="44"/>
      <c r="AD392" s="44"/>
      <c r="AE392" s="44"/>
      <c r="AF392" s="44"/>
    </row>
    <row r="393" spans="1:32" x14ac:dyDescent="0.3">
      <c r="A393" s="38" t="s">
        <v>219</v>
      </c>
      <c r="B393" s="38" t="s">
        <v>174</v>
      </c>
      <c r="C393" s="38" t="s">
        <v>220</v>
      </c>
      <c r="D393" s="39" t="s">
        <v>198</v>
      </c>
      <c r="E393" s="39" t="s">
        <v>177</v>
      </c>
      <c r="F393" s="38" t="s">
        <v>131</v>
      </c>
      <c r="G393" s="38" t="s">
        <v>130</v>
      </c>
      <c r="H393" s="44">
        <v>114905.5</v>
      </c>
      <c r="I393" s="44">
        <v>5450.75</v>
      </c>
      <c r="J393" s="44">
        <v>3475.75</v>
      </c>
      <c r="K393" s="44">
        <v>2737.5</v>
      </c>
      <c r="L393" s="44">
        <v>2937.5</v>
      </c>
      <c r="M393" s="44">
        <v>10287</v>
      </c>
      <c r="N393" s="44">
        <v>5993.5</v>
      </c>
      <c r="O393" s="44">
        <v>5951</v>
      </c>
      <c r="P393" s="44">
        <v>5616.75</v>
      </c>
      <c r="Q393" s="44">
        <v>5433</v>
      </c>
      <c r="R393" s="44">
        <v>5309.75</v>
      </c>
      <c r="S393" s="44">
        <v>5288.75</v>
      </c>
      <c r="T393" s="44">
        <v>5384.5</v>
      </c>
      <c r="U393" s="44">
        <v>5453.75</v>
      </c>
      <c r="V393" s="44">
        <v>6311.75</v>
      </c>
      <c r="W393" s="44">
        <v>6299.75</v>
      </c>
      <c r="X393" s="44">
        <v>6291.75</v>
      </c>
      <c r="Y393" s="44">
        <v>6293.5</v>
      </c>
      <c r="Z393" s="44">
        <v>3405.25</v>
      </c>
      <c r="AA393" s="44">
        <v>2254.75</v>
      </c>
      <c r="AB393" s="44">
        <v>2246.5</v>
      </c>
      <c r="AC393" s="44">
        <v>7242.5</v>
      </c>
      <c r="AD393" s="44">
        <v>1850.75</v>
      </c>
      <c r="AE393" s="44">
        <v>1695.75</v>
      </c>
      <c r="AF393" s="44">
        <v>1693.75</v>
      </c>
    </row>
    <row r="394" spans="1:32" x14ac:dyDescent="0.3">
      <c r="A394" s="38" t="s">
        <v>219</v>
      </c>
      <c r="B394" s="38" t="s">
        <v>174</v>
      </c>
      <c r="C394" s="38" t="s">
        <v>220</v>
      </c>
      <c r="D394" s="39" t="s">
        <v>198</v>
      </c>
      <c r="E394" s="39" t="s">
        <v>177</v>
      </c>
      <c r="F394" s="38" t="s">
        <v>132</v>
      </c>
      <c r="G394" s="38" t="s">
        <v>130</v>
      </c>
      <c r="H394" s="44">
        <v>128024</v>
      </c>
      <c r="I394" s="44">
        <v>128024</v>
      </c>
      <c r="J394" s="44"/>
      <c r="K394" s="44"/>
      <c r="L394" s="44"/>
      <c r="M394" s="44"/>
      <c r="N394" s="44"/>
      <c r="O394" s="44"/>
      <c r="P394" s="44"/>
      <c r="Q394" s="44"/>
      <c r="R394" s="44"/>
      <c r="S394" s="44"/>
      <c r="T394" s="44"/>
      <c r="U394" s="44"/>
      <c r="V394" s="44"/>
      <c r="W394" s="44"/>
      <c r="X394" s="44"/>
      <c r="Y394" s="44"/>
      <c r="Z394" s="44"/>
      <c r="AA394" s="44"/>
      <c r="AB394" s="44"/>
      <c r="AC394" s="44"/>
      <c r="AD394" s="44"/>
      <c r="AE394" s="44"/>
      <c r="AF394" s="44"/>
    </row>
    <row r="395" spans="1:32" x14ac:dyDescent="0.3">
      <c r="A395" s="38" t="s">
        <v>219</v>
      </c>
      <c r="B395" s="38" t="s">
        <v>174</v>
      </c>
      <c r="C395" s="38" t="s">
        <v>220</v>
      </c>
      <c r="D395" s="39" t="s">
        <v>198</v>
      </c>
      <c r="E395" s="39" t="s">
        <v>177</v>
      </c>
      <c r="F395" s="38" t="s">
        <v>133</v>
      </c>
      <c r="G395" s="38" t="s">
        <v>130</v>
      </c>
      <c r="H395" s="44">
        <v>0</v>
      </c>
      <c r="I395" s="44">
        <v>0</v>
      </c>
      <c r="J395" s="44"/>
      <c r="K395" s="44"/>
      <c r="L395" s="44"/>
      <c r="M395" s="44"/>
      <c r="N395" s="44"/>
      <c r="O395" s="44"/>
      <c r="P395" s="44"/>
      <c r="Q395" s="44"/>
      <c r="R395" s="44"/>
      <c r="S395" s="44"/>
      <c r="T395" s="44"/>
      <c r="U395" s="44"/>
      <c r="V395" s="44"/>
      <c r="W395" s="44"/>
      <c r="X395" s="44"/>
      <c r="Y395" s="44"/>
      <c r="Z395" s="44"/>
      <c r="AA395" s="44"/>
      <c r="AB395" s="44"/>
      <c r="AC395" s="44"/>
      <c r="AD395" s="44"/>
      <c r="AE395" s="44"/>
      <c r="AF395" s="44"/>
    </row>
    <row r="396" spans="1:32" x14ac:dyDescent="0.3">
      <c r="A396" s="38" t="s">
        <v>219</v>
      </c>
      <c r="B396" s="38" t="s">
        <v>174</v>
      </c>
      <c r="C396" s="38" t="s">
        <v>220</v>
      </c>
      <c r="D396" s="39" t="s">
        <v>198</v>
      </c>
      <c r="E396" s="39" t="s">
        <v>177</v>
      </c>
      <c r="F396" s="38" t="s">
        <v>134</v>
      </c>
      <c r="G396" s="38" t="s">
        <v>130</v>
      </c>
      <c r="H396" s="44">
        <v>963</v>
      </c>
      <c r="I396" s="44">
        <v>963</v>
      </c>
      <c r="J396" s="44"/>
      <c r="K396" s="44"/>
      <c r="L396" s="44"/>
      <c r="M396" s="44"/>
      <c r="N396" s="44"/>
      <c r="O396" s="44"/>
      <c r="P396" s="44"/>
      <c r="Q396" s="44"/>
      <c r="R396" s="44"/>
      <c r="S396" s="44"/>
      <c r="T396" s="44"/>
      <c r="U396" s="44"/>
      <c r="V396" s="44"/>
      <c r="W396" s="44"/>
      <c r="X396" s="44"/>
      <c r="Y396" s="44"/>
      <c r="Z396" s="44"/>
      <c r="AA396" s="44"/>
      <c r="AB396" s="44"/>
      <c r="AC396" s="44"/>
      <c r="AD396" s="44"/>
      <c r="AE396" s="44"/>
      <c r="AF396" s="44"/>
    </row>
    <row r="397" spans="1:32" x14ac:dyDescent="0.3">
      <c r="A397" s="38" t="s">
        <v>219</v>
      </c>
      <c r="B397" s="38" t="s">
        <v>174</v>
      </c>
      <c r="C397" s="38" t="s">
        <v>220</v>
      </c>
      <c r="D397" s="39" t="s">
        <v>198</v>
      </c>
      <c r="E397" s="39" t="s">
        <v>177</v>
      </c>
      <c r="F397" s="38" t="s">
        <v>135</v>
      </c>
      <c r="G397" s="38" t="s">
        <v>130</v>
      </c>
      <c r="H397" s="44">
        <v>39312</v>
      </c>
      <c r="I397" s="44">
        <v>39312</v>
      </c>
      <c r="J397" s="44"/>
      <c r="K397" s="44"/>
      <c r="L397" s="44"/>
      <c r="M397" s="44"/>
      <c r="N397" s="44"/>
      <c r="O397" s="44"/>
      <c r="P397" s="44"/>
      <c r="Q397" s="44"/>
      <c r="R397" s="44"/>
      <c r="S397" s="44"/>
      <c r="T397" s="44"/>
      <c r="U397" s="44"/>
      <c r="V397" s="44"/>
      <c r="W397" s="44"/>
      <c r="X397" s="44"/>
      <c r="Y397" s="44"/>
      <c r="Z397" s="44"/>
      <c r="AA397" s="44"/>
      <c r="AB397" s="44"/>
      <c r="AC397" s="44"/>
      <c r="AD397" s="44"/>
      <c r="AE397" s="44"/>
      <c r="AF397" s="44"/>
    </row>
    <row r="398" spans="1:32" x14ac:dyDescent="0.3">
      <c r="A398" s="38" t="s">
        <v>219</v>
      </c>
      <c r="B398" s="38" t="s">
        <v>174</v>
      </c>
      <c r="C398" s="38" t="s">
        <v>220</v>
      </c>
      <c r="D398" s="39" t="s">
        <v>198</v>
      </c>
      <c r="E398" s="39" t="s">
        <v>177</v>
      </c>
      <c r="F398" s="38" t="s">
        <v>136</v>
      </c>
      <c r="G398" s="38" t="s">
        <v>130</v>
      </c>
      <c r="H398" s="44">
        <f>SUM(I398:AF398)</f>
        <v>64928</v>
      </c>
      <c r="I398" s="44">
        <f t="shared" ref="I398:AF398" si="90">IF(AND(ISBLANK(I401) = TRUE,ISBLANK(I400) = TRUE),I399,I400+I401)</f>
        <v>44928</v>
      </c>
      <c r="J398" s="44">
        <f t="shared" si="90"/>
        <v>0</v>
      </c>
      <c r="K398" s="44">
        <f t="shared" si="90"/>
        <v>0</v>
      </c>
      <c r="L398" s="44">
        <f t="shared" si="90"/>
        <v>0</v>
      </c>
      <c r="M398" s="44">
        <f t="shared" si="90"/>
        <v>0</v>
      </c>
      <c r="N398" s="44">
        <f t="shared" si="90"/>
        <v>0</v>
      </c>
      <c r="O398" s="44">
        <f t="shared" si="90"/>
        <v>0</v>
      </c>
      <c r="P398" s="44">
        <f t="shared" si="90"/>
        <v>0</v>
      </c>
      <c r="Q398" s="44">
        <f t="shared" si="90"/>
        <v>0</v>
      </c>
      <c r="R398" s="44">
        <f t="shared" si="90"/>
        <v>20000</v>
      </c>
      <c r="S398" s="44">
        <f t="shared" si="90"/>
        <v>0</v>
      </c>
      <c r="T398" s="44">
        <f t="shared" si="90"/>
        <v>0</v>
      </c>
      <c r="U398" s="44">
        <f t="shared" si="90"/>
        <v>0</v>
      </c>
      <c r="V398" s="44">
        <f t="shared" si="90"/>
        <v>0</v>
      </c>
      <c r="W398" s="44">
        <f t="shared" si="90"/>
        <v>0</v>
      </c>
      <c r="X398" s="44">
        <f t="shared" si="90"/>
        <v>0</v>
      </c>
      <c r="Y398" s="44">
        <f t="shared" si="90"/>
        <v>0</v>
      </c>
      <c r="Z398" s="44">
        <f t="shared" si="90"/>
        <v>0</v>
      </c>
      <c r="AA398" s="44">
        <f t="shared" si="90"/>
        <v>0</v>
      </c>
      <c r="AB398" s="44">
        <f t="shared" si="90"/>
        <v>0</v>
      </c>
      <c r="AC398" s="44">
        <f t="shared" si="90"/>
        <v>0</v>
      </c>
      <c r="AD398" s="44">
        <f t="shared" si="90"/>
        <v>0</v>
      </c>
      <c r="AE398" s="44">
        <f t="shared" si="90"/>
        <v>0</v>
      </c>
      <c r="AF398" s="44">
        <f t="shared" si="90"/>
        <v>0</v>
      </c>
    </row>
    <row r="399" spans="1:32" x14ac:dyDescent="0.3">
      <c r="A399" s="38" t="s">
        <v>219</v>
      </c>
      <c r="B399" s="38" t="s">
        <v>174</v>
      </c>
      <c r="C399" s="38" t="s">
        <v>220</v>
      </c>
      <c r="D399" s="39" t="s">
        <v>198</v>
      </c>
      <c r="E399" s="39" t="s">
        <v>177</v>
      </c>
      <c r="F399" s="38" t="s">
        <v>124</v>
      </c>
      <c r="G399" s="38" t="s">
        <v>130</v>
      </c>
      <c r="H399" s="44">
        <v>64928</v>
      </c>
      <c r="I399" s="44">
        <v>44928</v>
      </c>
      <c r="J399" s="44"/>
      <c r="K399" s="44"/>
      <c r="L399" s="44"/>
      <c r="M399" s="44"/>
      <c r="N399" s="44"/>
      <c r="O399" s="44"/>
      <c r="P399" s="44"/>
      <c r="Q399" s="44"/>
      <c r="R399" s="44">
        <v>20000</v>
      </c>
      <c r="S399" s="44"/>
      <c r="T399" s="44"/>
      <c r="U399" s="44"/>
      <c r="V399" s="44"/>
      <c r="W399" s="44"/>
      <c r="X399" s="44"/>
      <c r="Y399" s="44"/>
      <c r="Z399" s="44"/>
      <c r="AA399" s="44"/>
      <c r="AB399" s="44"/>
      <c r="AC399" s="44"/>
      <c r="AD399" s="44"/>
      <c r="AE399" s="44"/>
      <c r="AF399" s="44"/>
    </row>
    <row r="400" spans="1:32" x14ac:dyDescent="0.3">
      <c r="A400" s="38" t="s">
        <v>219</v>
      </c>
      <c r="B400" s="38" t="s">
        <v>174</v>
      </c>
      <c r="C400" s="38" t="s">
        <v>220</v>
      </c>
      <c r="D400" s="39" t="s">
        <v>198</v>
      </c>
      <c r="E400" s="39" t="s">
        <v>177</v>
      </c>
      <c r="F400" s="38" t="s">
        <v>137</v>
      </c>
      <c r="G400" s="38" t="s">
        <v>130</v>
      </c>
      <c r="H400" s="44">
        <f>SUM(I400:AF400)</f>
        <v>0</v>
      </c>
      <c r="I400" s="44"/>
      <c r="J400" s="44"/>
      <c r="K400" s="44"/>
      <c r="L400" s="44"/>
      <c r="M400" s="44"/>
      <c r="N400" s="44"/>
      <c r="O400" s="44"/>
      <c r="P400" s="44"/>
      <c r="Q400" s="44"/>
      <c r="R400" s="44"/>
      <c r="S400" s="44"/>
      <c r="T400" s="44"/>
      <c r="U400" s="44"/>
      <c r="V400" s="44"/>
      <c r="W400" s="44"/>
      <c r="X400" s="44"/>
      <c r="Y400" s="44"/>
      <c r="Z400" s="44"/>
      <c r="AA400" s="44"/>
      <c r="AB400" s="44"/>
      <c r="AC400" s="44"/>
      <c r="AD400" s="44"/>
      <c r="AE400" s="44"/>
      <c r="AF400" s="44"/>
    </row>
    <row r="401" spans="1:32" x14ac:dyDescent="0.3">
      <c r="A401" s="38" t="s">
        <v>219</v>
      </c>
      <c r="B401" s="38" t="s">
        <v>174</v>
      </c>
      <c r="C401" s="38" t="s">
        <v>220</v>
      </c>
      <c r="D401" s="39" t="s">
        <v>198</v>
      </c>
      <c r="E401" s="39" t="s">
        <v>177</v>
      </c>
      <c r="F401" s="38" t="s">
        <v>138</v>
      </c>
      <c r="G401" s="38" t="s">
        <v>130</v>
      </c>
      <c r="H401" s="44">
        <f>SUM(I401:AF401)</f>
        <v>0</v>
      </c>
      <c r="I401" s="44"/>
      <c r="J401" s="44"/>
      <c r="K401" s="44"/>
      <c r="L401" s="44"/>
      <c r="M401" s="44"/>
      <c r="N401" s="44"/>
      <c r="O401" s="44"/>
      <c r="P401" s="44"/>
      <c r="Q401" s="44"/>
      <c r="R401" s="44"/>
      <c r="S401" s="44"/>
      <c r="T401" s="44"/>
      <c r="U401" s="44"/>
      <c r="V401" s="44"/>
      <c r="W401" s="44"/>
      <c r="X401" s="44"/>
      <c r="Y401" s="44"/>
      <c r="Z401" s="44"/>
      <c r="AA401" s="44"/>
      <c r="AB401" s="44"/>
      <c r="AC401" s="44"/>
      <c r="AD401" s="44"/>
      <c r="AE401" s="44"/>
      <c r="AF401" s="44"/>
    </row>
    <row r="402" spans="1:32" x14ac:dyDescent="0.3">
      <c r="A402" s="38" t="s">
        <v>219</v>
      </c>
      <c r="B402" s="38" t="s">
        <v>174</v>
      </c>
      <c r="C402" s="38" t="s">
        <v>220</v>
      </c>
      <c r="D402" s="39" t="s">
        <v>198</v>
      </c>
      <c r="E402" s="39" t="s">
        <v>177</v>
      </c>
      <c r="F402" s="38" t="s">
        <v>139</v>
      </c>
      <c r="G402" s="38" t="s">
        <v>130</v>
      </c>
      <c r="H402" s="44">
        <v>64928</v>
      </c>
      <c r="I402" s="44">
        <v>44928</v>
      </c>
      <c r="J402" s="44"/>
      <c r="K402" s="44"/>
      <c r="L402" s="44"/>
      <c r="M402" s="44"/>
      <c r="N402" s="44"/>
      <c r="O402" s="44"/>
      <c r="P402" s="44"/>
      <c r="Q402" s="44"/>
      <c r="R402" s="44">
        <v>20000</v>
      </c>
      <c r="S402" s="44"/>
      <c r="T402" s="44"/>
      <c r="U402" s="44"/>
      <c r="V402" s="44"/>
      <c r="W402" s="44"/>
      <c r="X402" s="44"/>
      <c r="Y402" s="44"/>
      <c r="Z402" s="44"/>
      <c r="AA402" s="44"/>
      <c r="AB402" s="44"/>
      <c r="AC402" s="44"/>
      <c r="AD402" s="44"/>
      <c r="AE402" s="44"/>
      <c r="AF402" s="44"/>
    </row>
    <row r="403" spans="1:32" x14ac:dyDescent="0.3">
      <c r="A403" s="38" t="s">
        <v>219</v>
      </c>
      <c r="B403" s="38" t="s">
        <v>174</v>
      </c>
      <c r="C403" s="38" t="s">
        <v>220</v>
      </c>
      <c r="D403" s="39" t="s">
        <v>198</v>
      </c>
      <c r="E403" s="39" t="s">
        <v>177</v>
      </c>
      <c r="F403" s="38" t="s">
        <v>140</v>
      </c>
      <c r="G403" s="38" t="s">
        <v>130</v>
      </c>
      <c r="H403" s="44"/>
      <c r="I403" s="44">
        <f>I398-(I393+I392)+(I397+I396+I395+I394)</f>
        <v>163326.25</v>
      </c>
      <c r="J403" s="44">
        <f t="shared" ref="J403:AF403" si="91">I403+J398-J393</f>
        <v>159850.5</v>
      </c>
      <c r="K403" s="44">
        <f t="shared" si="91"/>
        <v>157113</v>
      </c>
      <c r="L403" s="44">
        <f t="shared" si="91"/>
        <v>154175.5</v>
      </c>
      <c r="M403" s="44">
        <f t="shared" si="91"/>
        <v>143888.5</v>
      </c>
      <c r="N403" s="44">
        <f t="shared" si="91"/>
        <v>137895</v>
      </c>
      <c r="O403" s="44">
        <f t="shared" si="91"/>
        <v>131944</v>
      </c>
      <c r="P403" s="44">
        <f t="shared" si="91"/>
        <v>126327.25</v>
      </c>
      <c r="Q403" s="44">
        <f t="shared" si="91"/>
        <v>120894.25</v>
      </c>
      <c r="R403" s="44">
        <f t="shared" si="91"/>
        <v>135584.5</v>
      </c>
      <c r="S403" s="44">
        <f t="shared" si="91"/>
        <v>130295.75</v>
      </c>
      <c r="T403" s="44">
        <f t="shared" si="91"/>
        <v>124911.25</v>
      </c>
      <c r="U403" s="44">
        <f t="shared" si="91"/>
        <v>119457.5</v>
      </c>
      <c r="V403" s="44">
        <f t="shared" si="91"/>
        <v>113145.75</v>
      </c>
      <c r="W403" s="44">
        <f t="shared" si="91"/>
        <v>106846</v>
      </c>
      <c r="X403" s="44">
        <f t="shared" si="91"/>
        <v>100554.25</v>
      </c>
      <c r="Y403" s="44">
        <f t="shared" si="91"/>
        <v>94260.75</v>
      </c>
      <c r="Z403" s="44">
        <f t="shared" si="91"/>
        <v>90855.5</v>
      </c>
      <c r="AA403" s="44">
        <f t="shared" si="91"/>
        <v>88600.75</v>
      </c>
      <c r="AB403" s="44">
        <f t="shared" si="91"/>
        <v>86354.25</v>
      </c>
      <c r="AC403" s="44">
        <f t="shared" si="91"/>
        <v>79111.75</v>
      </c>
      <c r="AD403" s="44">
        <f t="shared" si="91"/>
        <v>77261</v>
      </c>
      <c r="AE403" s="44">
        <f t="shared" si="91"/>
        <v>75565.25</v>
      </c>
      <c r="AF403" s="44">
        <f t="shared" si="91"/>
        <v>73871.5</v>
      </c>
    </row>
    <row r="404" spans="1:32" ht="15" thickBot="1" x14ac:dyDescent="0.35">
      <c r="A404" s="40" t="s">
        <v>219</v>
      </c>
      <c r="B404" s="40" t="s">
        <v>174</v>
      </c>
      <c r="C404" s="40" t="s">
        <v>220</v>
      </c>
      <c r="D404" s="41" t="s">
        <v>198</v>
      </c>
      <c r="E404" s="41" t="s">
        <v>177</v>
      </c>
      <c r="F404" s="40" t="s">
        <v>141</v>
      </c>
      <c r="G404" s="40" t="s">
        <v>130</v>
      </c>
      <c r="H404" s="45"/>
      <c r="I404" s="45">
        <f>I398-I402</f>
        <v>0</v>
      </c>
      <c r="J404" s="45">
        <f t="shared" ref="J404:AF404" si="92">I404+J398-J402</f>
        <v>0</v>
      </c>
      <c r="K404" s="45">
        <f t="shared" si="92"/>
        <v>0</v>
      </c>
      <c r="L404" s="45">
        <f t="shared" si="92"/>
        <v>0</v>
      </c>
      <c r="M404" s="45">
        <f t="shared" si="92"/>
        <v>0</v>
      </c>
      <c r="N404" s="45">
        <f t="shared" si="92"/>
        <v>0</v>
      </c>
      <c r="O404" s="45">
        <f t="shared" si="92"/>
        <v>0</v>
      </c>
      <c r="P404" s="45">
        <f t="shared" si="92"/>
        <v>0</v>
      </c>
      <c r="Q404" s="45">
        <f t="shared" si="92"/>
        <v>0</v>
      </c>
      <c r="R404" s="45">
        <f t="shared" si="92"/>
        <v>0</v>
      </c>
      <c r="S404" s="45">
        <f t="shared" si="92"/>
        <v>0</v>
      </c>
      <c r="T404" s="45">
        <f t="shared" si="92"/>
        <v>0</v>
      </c>
      <c r="U404" s="45">
        <f t="shared" si="92"/>
        <v>0</v>
      </c>
      <c r="V404" s="45">
        <f t="shared" si="92"/>
        <v>0</v>
      </c>
      <c r="W404" s="45">
        <f t="shared" si="92"/>
        <v>0</v>
      </c>
      <c r="X404" s="45">
        <f t="shared" si="92"/>
        <v>0</v>
      </c>
      <c r="Y404" s="45">
        <f t="shared" si="92"/>
        <v>0</v>
      </c>
      <c r="Z404" s="45">
        <f t="shared" si="92"/>
        <v>0</v>
      </c>
      <c r="AA404" s="45">
        <f t="shared" si="92"/>
        <v>0</v>
      </c>
      <c r="AB404" s="45">
        <f t="shared" si="92"/>
        <v>0</v>
      </c>
      <c r="AC404" s="45">
        <f t="shared" si="92"/>
        <v>0</v>
      </c>
      <c r="AD404" s="45">
        <f t="shared" si="92"/>
        <v>0</v>
      </c>
      <c r="AE404" s="45">
        <f t="shared" si="92"/>
        <v>0</v>
      </c>
      <c r="AF404" s="45">
        <f t="shared" si="92"/>
        <v>0</v>
      </c>
    </row>
    <row r="405" spans="1:32" x14ac:dyDescent="0.3">
      <c r="A405" s="38" t="s">
        <v>219</v>
      </c>
      <c r="B405" s="38" t="s">
        <v>174</v>
      </c>
      <c r="C405" s="38" t="s">
        <v>220</v>
      </c>
      <c r="D405" s="39" t="s">
        <v>198</v>
      </c>
      <c r="E405" s="39" t="s">
        <v>221</v>
      </c>
      <c r="F405" s="38" t="s">
        <v>129</v>
      </c>
      <c r="G405" s="38" t="s">
        <v>130</v>
      </c>
      <c r="H405" s="44">
        <v>1708</v>
      </c>
      <c r="I405" s="44">
        <v>1708</v>
      </c>
      <c r="J405" s="44"/>
      <c r="K405" s="44"/>
      <c r="L405" s="44"/>
      <c r="M405" s="44"/>
      <c r="N405" s="44"/>
      <c r="O405" s="44"/>
      <c r="P405" s="44"/>
      <c r="Q405" s="44"/>
      <c r="R405" s="44"/>
      <c r="S405" s="44"/>
      <c r="T405" s="44"/>
      <c r="U405" s="44"/>
      <c r="V405" s="44"/>
      <c r="W405" s="44"/>
      <c r="X405" s="44"/>
      <c r="Y405" s="44"/>
      <c r="Z405" s="44"/>
      <c r="AA405" s="44"/>
      <c r="AB405" s="44"/>
      <c r="AC405" s="44"/>
      <c r="AD405" s="44"/>
      <c r="AE405" s="44"/>
      <c r="AF405" s="44"/>
    </row>
    <row r="406" spans="1:32" x14ac:dyDescent="0.3">
      <c r="A406" s="38" t="s">
        <v>219</v>
      </c>
      <c r="B406" s="38" t="s">
        <v>174</v>
      </c>
      <c r="C406" s="38" t="s">
        <v>220</v>
      </c>
      <c r="D406" s="39" t="s">
        <v>198</v>
      </c>
      <c r="E406" s="39" t="s">
        <v>221</v>
      </c>
      <c r="F406" s="38" t="s">
        <v>131</v>
      </c>
      <c r="G406" s="38" t="s">
        <v>130</v>
      </c>
      <c r="H406" s="44">
        <v>14647</v>
      </c>
      <c r="I406" s="44">
        <v>205</v>
      </c>
      <c r="J406" s="44">
        <v>224</v>
      </c>
      <c r="K406" s="44">
        <v>186</v>
      </c>
      <c r="L406" s="44">
        <v>2210</v>
      </c>
      <c r="M406" s="44">
        <v>227</v>
      </c>
      <c r="N406" s="44">
        <v>229</v>
      </c>
      <c r="O406" s="44">
        <v>263</v>
      </c>
      <c r="P406" s="44">
        <v>1198</v>
      </c>
      <c r="Q406" s="44">
        <v>222</v>
      </c>
      <c r="R406" s="44">
        <v>209</v>
      </c>
      <c r="S406" s="44">
        <v>829</v>
      </c>
      <c r="T406" s="44">
        <v>809</v>
      </c>
      <c r="U406" s="44">
        <v>837</v>
      </c>
      <c r="V406" s="44">
        <v>866</v>
      </c>
      <c r="W406" s="44">
        <v>886</v>
      </c>
      <c r="X406" s="44">
        <v>866</v>
      </c>
      <c r="Y406" s="44">
        <v>865</v>
      </c>
      <c r="Z406" s="44">
        <v>902</v>
      </c>
      <c r="AA406" s="44">
        <v>919</v>
      </c>
      <c r="AB406" s="44">
        <v>919</v>
      </c>
      <c r="AC406" s="44">
        <v>318</v>
      </c>
      <c r="AD406" s="44">
        <v>187</v>
      </c>
      <c r="AE406" s="44">
        <v>136</v>
      </c>
      <c r="AF406" s="44">
        <v>135</v>
      </c>
    </row>
    <row r="407" spans="1:32" x14ac:dyDescent="0.3">
      <c r="A407" s="38" t="s">
        <v>219</v>
      </c>
      <c r="B407" s="38" t="s">
        <v>174</v>
      </c>
      <c r="C407" s="38" t="s">
        <v>220</v>
      </c>
      <c r="D407" s="39" t="s">
        <v>198</v>
      </c>
      <c r="E407" s="39" t="s">
        <v>221</v>
      </c>
      <c r="F407" s="38" t="s">
        <v>132</v>
      </c>
      <c r="G407" s="38" t="s">
        <v>130</v>
      </c>
      <c r="H407" s="44"/>
      <c r="I407" s="44"/>
      <c r="J407" s="44"/>
      <c r="K407" s="44"/>
      <c r="L407" s="44"/>
      <c r="M407" s="44"/>
      <c r="N407" s="44"/>
      <c r="O407" s="44"/>
      <c r="P407" s="44"/>
      <c r="Q407" s="44"/>
      <c r="R407" s="44"/>
      <c r="S407" s="44"/>
      <c r="T407" s="44"/>
      <c r="U407" s="44"/>
      <c r="V407" s="44"/>
      <c r="W407" s="44"/>
      <c r="X407" s="44"/>
      <c r="Y407" s="44"/>
      <c r="Z407" s="44"/>
      <c r="AA407" s="44"/>
      <c r="AB407" s="44"/>
      <c r="AC407" s="44"/>
      <c r="AD407" s="44"/>
      <c r="AE407" s="44"/>
      <c r="AF407" s="44"/>
    </row>
    <row r="408" spans="1:32" x14ac:dyDescent="0.3">
      <c r="A408" s="38" t="s">
        <v>219</v>
      </c>
      <c r="B408" s="38" t="s">
        <v>174</v>
      </c>
      <c r="C408" s="38" t="s">
        <v>220</v>
      </c>
      <c r="D408" s="39" t="s">
        <v>198</v>
      </c>
      <c r="E408" s="39" t="s">
        <v>221</v>
      </c>
      <c r="F408" s="38" t="s">
        <v>133</v>
      </c>
      <c r="G408" s="38" t="s">
        <v>130</v>
      </c>
      <c r="H408" s="44"/>
      <c r="I408" s="44"/>
      <c r="J408" s="44"/>
      <c r="K408" s="44"/>
      <c r="L408" s="44"/>
      <c r="M408" s="44"/>
      <c r="N408" s="44"/>
      <c r="O408" s="44"/>
      <c r="P408" s="44"/>
      <c r="Q408" s="44"/>
      <c r="R408" s="44"/>
      <c r="S408" s="44"/>
      <c r="T408" s="44"/>
      <c r="U408" s="44"/>
      <c r="V408" s="44"/>
      <c r="W408" s="44"/>
      <c r="X408" s="44"/>
      <c r="Y408" s="44"/>
      <c r="Z408" s="44"/>
      <c r="AA408" s="44"/>
      <c r="AB408" s="44"/>
      <c r="AC408" s="44"/>
      <c r="AD408" s="44"/>
      <c r="AE408" s="44"/>
      <c r="AF408" s="44"/>
    </row>
    <row r="409" spans="1:32" x14ac:dyDescent="0.3">
      <c r="A409" s="38" t="s">
        <v>219</v>
      </c>
      <c r="B409" s="38" t="s">
        <v>174</v>
      </c>
      <c r="C409" s="38" t="s">
        <v>220</v>
      </c>
      <c r="D409" s="39" t="s">
        <v>198</v>
      </c>
      <c r="E409" s="39" t="s">
        <v>221</v>
      </c>
      <c r="F409" s="38" t="s">
        <v>134</v>
      </c>
      <c r="G409" s="38" t="s">
        <v>130</v>
      </c>
      <c r="H409" s="44"/>
      <c r="I409" s="44"/>
      <c r="J409" s="44"/>
      <c r="K409" s="44"/>
      <c r="L409" s="44"/>
      <c r="M409" s="44"/>
      <c r="N409" s="44"/>
      <c r="O409" s="44"/>
      <c r="P409" s="44"/>
      <c r="Q409" s="44"/>
      <c r="R409" s="44"/>
      <c r="S409" s="44"/>
      <c r="T409" s="44"/>
      <c r="U409" s="44"/>
      <c r="V409" s="44"/>
      <c r="W409" s="44"/>
      <c r="X409" s="44"/>
      <c r="Y409" s="44"/>
      <c r="Z409" s="44"/>
      <c r="AA409" s="44"/>
      <c r="AB409" s="44"/>
      <c r="AC409" s="44"/>
      <c r="AD409" s="44"/>
      <c r="AE409" s="44"/>
      <c r="AF409" s="44"/>
    </row>
    <row r="410" spans="1:32" x14ac:dyDescent="0.3">
      <c r="A410" s="38" t="s">
        <v>219</v>
      </c>
      <c r="B410" s="38" t="s">
        <v>174</v>
      </c>
      <c r="C410" s="38" t="s">
        <v>220</v>
      </c>
      <c r="D410" s="39" t="s">
        <v>198</v>
      </c>
      <c r="E410" s="39" t="s">
        <v>221</v>
      </c>
      <c r="F410" s="38" t="s">
        <v>135</v>
      </c>
      <c r="G410" s="38" t="s">
        <v>130</v>
      </c>
      <c r="H410" s="44"/>
      <c r="I410" s="44"/>
      <c r="J410" s="44"/>
      <c r="K410" s="44"/>
      <c r="L410" s="44"/>
      <c r="M410" s="44"/>
      <c r="N410" s="44"/>
      <c r="O410" s="44"/>
      <c r="P410" s="44"/>
      <c r="Q410" s="44"/>
      <c r="R410" s="44"/>
      <c r="S410" s="44"/>
      <c r="T410" s="44"/>
      <c r="U410" s="44"/>
      <c r="V410" s="44"/>
      <c r="W410" s="44"/>
      <c r="X410" s="44"/>
      <c r="Y410" s="44"/>
      <c r="Z410" s="44"/>
      <c r="AA410" s="44"/>
      <c r="AB410" s="44"/>
      <c r="AC410" s="44"/>
      <c r="AD410" s="44"/>
      <c r="AE410" s="44"/>
      <c r="AF410" s="44"/>
    </row>
    <row r="411" spans="1:32" x14ac:dyDescent="0.3">
      <c r="A411" s="38" t="s">
        <v>219</v>
      </c>
      <c r="B411" s="38" t="s">
        <v>174</v>
      </c>
      <c r="C411" s="38" t="s">
        <v>220</v>
      </c>
      <c r="D411" s="39" t="s">
        <v>198</v>
      </c>
      <c r="E411" s="39" t="s">
        <v>221</v>
      </c>
      <c r="F411" s="38" t="s">
        <v>136</v>
      </c>
      <c r="G411" s="38" t="s">
        <v>130</v>
      </c>
      <c r="H411" s="44">
        <f>SUM(I411:AF411)</f>
        <v>0</v>
      </c>
      <c r="I411" s="44">
        <f t="shared" ref="I411:AF411" si="93">IF(AND(ISBLANK(I414) = TRUE,ISBLANK(I413) = TRUE),I412,I413+I414)</f>
        <v>0</v>
      </c>
      <c r="J411" s="44">
        <f t="shared" si="93"/>
        <v>0</v>
      </c>
      <c r="K411" s="44">
        <f t="shared" si="93"/>
        <v>0</v>
      </c>
      <c r="L411" s="44">
        <f t="shared" si="93"/>
        <v>0</v>
      </c>
      <c r="M411" s="44">
        <f t="shared" si="93"/>
        <v>0</v>
      </c>
      <c r="N411" s="44">
        <f t="shared" si="93"/>
        <v>0</v>
      </c>
      <c r="O411" s="44">
        <f t="shared" si="93"/>
        <v>0</v>
      </c>
      <c r="P411" s="44">
        <f t="shared" si="93"/>
        <v>0</v>
      </c>
      <c r="Q411" s="44">
        <f t="shared" si="93"/>
        <v>0</v>
      </c>
      <c r="R411" s="44">
        <f t="shared" si="93"/>
        <v>0</v>
      </c>
      <c r="S411" s="44">
        <f t="shared" si="93"/>
        <v>0</v>
      </c>
      <c r="T411" s="44">
        <f t="shared" si="93"/>
        <v>0</v>
      </c>
      <c r="U411" s="44">
        <f t="shared" si="93"/>
        <v>0</v>
      </c>
      <c r="V411" s="44">
        <f t="shared" si="93"/>
        <v>0</v>
      </c>
      <c r="W411" s="44">
        <f t="shared" si="93"/>
        <v>0</v>
      </c>
      <c r="X411" s="44">
        <f t="shared" si="93"/>
        <v>0</v>
      </c>
      <c r="Y411" s="44">
        <f t="shared" si="93"/>
        <v>0</v>
      </c>
      <c r="Z411" s="44">
        <f t="shared" si="93"/>
        <v>0</v>
      </c>
      <c r="AA411" s="44">
        <f t="shared" si="93"/>
        <v>0</v>
      </c>
      <c r="AB411" s="44">
        <f t="shared" si="93"/>
        <v>0</v>
      </c>
      <c r="AC411" s="44">
        <f t="shared" si="93"/>
        <v>0</v>
      </c>
      <c r="AD411" s="44">
        <f t="shared" si="93"/>
        <v>0</v>
      </c>
      <c r="AE411" s="44">
        <f t="shared" si="93"/>
        <v>0</v>
      </c>
      <c r="AF411" s="44">
        <f t="shared" si="93"/>
        <v>0</v>
      </c>
    </row>
    <row r="412" spans="1:32" x14ac:dyDescent="0.3">
      <c r="A412" s="38" t="s">
        <v>219</v>
      </c>
      <c r="B412" s="38" t="s">
        <v>174</v>
      </c>
      <c r="C412" s="38" t="s">
        <v>220</v>
      </c>
      <c r="D412" s="39" t="s">
        <v>198</v>
      </c>
      <c r="E412" s="39" t="s">
        <v>221</v>
      </c>
      <c r="F412" s="38" t="s">
        <v>124</v>
      </c>
      <c r="G412" s="38" t="s">
        <v>130</v>
      </c>
      <c r="H412" s="44"/>
      <c r="I412" s="44"/>
      <c r="J412" s="44"/>
      <c r="K412" s="44"/>
      <c r="L412" s="44"/>
      <c r="M412" s="44"/>
      <c r="N412" s="44"/>
      <c r="O412" s="44"/>
      <c r="P412" s="44"/>
      <c r="Q412" s="44"/>
      <c r="R412" s="44"/>
      <c r="S412" s="44"/>
      <c r="T412" s="44"/>
      <c r="U412" s="44"/>
      <c r="V412" s="44"/>
      <c r="W412" s="44"/>
      <c r="X412" s="44"/>
      <c r="Y412" s="44"/>
      <c r="Z412" s="44"/>
      <c r="AA412" s="44"/>
      <c r="AB412" s="44"/>
      <c r="AC412" s="44"/>
      <c r="AD412" s="44"/>
      <c r="AE412" s="44"/>
      <c r="AF412" s="44"/>
    </row>
    <row r="413" spans="1:32" x14ac:dyDescent="0.3">
      <c r="A413" s="38" t="s">
        <v>219</v>
      </c>
      <c r="B413" s="38" t="s">
        <v>174</v>
      </c>
      <c r="C413" s="38" t="s">
        <v>220</v>
      </c>
      <c r="D413" s="39" t="s">
        <v>198</v>
      </c>
      <c r="E413" s="39" t="s">
        <v>221</v>
      </c>
      <c r="F413" s="38" t="s">
        <v>137</v>
      </c>
      <c r="G413" s="38" t="s">
        <v>130</v>
      </c>
      <c r="H413" s="44">
        <f>SUM(I413:AF413)</f>
        <v>0</v>
      </c>
      <c r="I413" s="44"/>
      <c r="J413" s="44"/>
      <c r="K413" s="44"/>
      <c r="L413" s="44"/>
      <c r="M413" s="44"/>
      <c r="N413" s="44"/>
      <c r="O413" s="44"/>
      <c r="P413" s="44"/>
      <c r="Q413" s="44"/>
      <c r="R413" s="44"/>
      <c r="S413" s="44"/>
      <c r="T413" s="44"/>
      <c r="U413" s="44"/>
      <c r="V413" s="44"/>
      <c r="W413" s="44"/>
      <c r="X413" s="44"/>
      <c r="Y413" s="44"/>
      <c r="Z413" s="44"/>
      <c r="AA413" s="44"/>
      <c r="AB413" s="44"/>
      <c r="AC413" s="44"/>
      <c r="AD413" s="44"/>
      <c r="AE413" s="44"/>
      <c r="AF413" s="44"/>
    </row>
    <row r="414" spans="1:32" x14ac:dyDescent="0.3">
      <c r="A414" s="38" t="s">
        <v>219</v>
      </c>
      <c r="B414" s="38" t="s">
        <v>174</v>
      </c>
      <c r="C414" s="38" t="s">
        <v>220</v>
      </c>
      <c r="D414" s="39" t="s">
        <v>198</v>
      </c>
      <c r="E414" s="39" t="s">
        <v>221</v>
      </c>
      <c r="F414" s="38" t="s">
        <v>138</v>
      </c>
      <c r="G414" s="38" t="s">
        <v>130</v>
      </c>
      <c r="H414" s="44">
        <f>SUM(I414:AF414)</f>
        <v>0</v>
      </c>
      <c r="I414" s="44"/>
      <c r="J414" s="44"/>
      <c r="K414" s="44"/>
      <c r="L414" s="44"/>
      <c r="M414" s="44"/>
      <c r="N414" s="44"/>
      <c r="O414" s="44"/>
      <c r="P414" s="44"/>
      <c r="Q414" s="44"/>
      <c r="R414" s="44"/>
      <c r="S414" s="44"/>
      <c r="T414" s="44"/>
      <c r="U414" s="44"/>
      <c r="V414" s="44"/>
      <c r="W414" s="44"/>
      <c r="X414" s="44"/>
      <c r="Y414" s="44"/>
      <c r="Z414" s="44"/>
      <c r="AA414" s="44"/>
      <c r="AB414" s="44"/>
      <c r="AC414" s="44"/>
      <c r="AD414" s="44"/>
      <c r="AE414" s="44"/>
      <c r="AF414" s="44"/>
    </row>
    <row r="415" spans="1:32" x14ac:dyDescent="0.3">
      <c r="A415" s="38" t="s">
        <v>219</v>
      </c>
      <c r="B415" s="38" t="s">
        <v>174</v>
      </c>
      <c r="C415" s="38" t="s">
        <v>220</v>
      </c>
      <c r="D415" s="39" t="s">
        <v>198</v>
      </c>
      <c r="E415" s="39" t="s">
        <v>221</v>
      </c>
      <c r="F415" s="38" t="s">
        <v>139</v>
      </c>
      <c r="G415" s="38" t="s">
        <v>130</v>
      </c>
      <c r="H415" s="44"/>
      <c r="I415" s="44"/>
      <c r="J415" s="44"/>
      <c r="K415" s="44"/>
      <c r="L415" s="44"/>
      <c r="M415" s="44"/>
      <c r="N415" s="44"/>
      <c r="O415" s="44"/>
      <c r="P415" s="44"/>
      <c r="Q415" s="44"/>
      <c r="R415" s="44"/>
      <c r="S415" s="44"/>
      <c r="T415" s="44"/>
      <c r="U415" s="44"/>
      <c r="V415" s="44"/>
      <c r="W415" s="44"/>
      <c r="X415" s="44"/>
      <c r="Y415" s="44"/>
      <c r="Z415" s="44"/>
      <c r="AA415" s="44"/>
      <c r="AB415" s="44"/>
      <c r="AC415" s="44"/>
      <c r="AD415" s="44"/>
      <c r="AE415" s="44"/>
      <c r="AF415" s="44"/>
    </row>
    <row r="416" spans="1:32" x14ac:dyDescent="0.3">
      <c r="A416" s="38" t="s">
        <v>219</v>
      </c>
      <c r="B416" s="38" t="s">
        <v>174</v>
      </c>
      <c r="C416" s="38" t="s">
        <v>220</v>
      </c>
      <c r="D416" s="39" t="s">
        <v>198</v>
      </c>
      <c r="E416" s="39" t="s">
        <v>221</v>
      </c>
      <c r="F416" s="38" t="s">
        <v>140</v>
      </c>
      <c r="G416" s="38" t="s">
        <v>130</v>
      </c>
      <c r="H416" s="44"/>
      <c r="I416" s="44">
        <f>I411-(I406+I405)+(I410+I409+I408+I407)</f>
        <v>-1913</v>
      </c>
      <c r="J416" s="44">
        <f t="shared" ref="J416:AF416" si="94">I416+J411-J406</f>
        <v>-2137</v>
      </c>
      <c r="K416" s="44">
        <f t="shared" si="94"/>
        <v>-2323</v>
      </c>
      <c r="L416" s="44">
        <f t="shared" si="94"/>
        <v>-4533</v>
      </c>
      <c r="M416" s="44">
        <f t="shared" si="94"/>
        <v>-4760</v>
      </c>
      <c r="N416" s="44">
        <f t="shared" si="94"/>
        <v>-4989</v>
      </c>
      <c r="O416" s="44">
        <f t="shared" si="94"/>
        <v>-5252</v>
      </c>
      <c r="P416" s="44">
        <f t="shared" si="94"/>
        <v>-6450</v>
      </c>
      <c r="Q416" s="44">
        <f t="shared" si="94"/>
        <v>-6672</v>
      </c>
      <c r="R416" s="44">
        <f t="shared" si="94"/>
        <v>-6881</v>
      </c>
      <c r="S416" s="44">
        <f t="shared" si="94"/>
        <v>-7710</v>
      </c>
      <c r="T416" s="44">
        <f t="shared" si="94"/>
        <v>-8519</v>
      </c>
      <c r="U416" s="44">
        <f t="shared" si="94"/>
        <v>-9356</v>
      </c>
      <c r="V416" s="44">
        <f t="shared" si="94"/>
        <v>-10222</v>
      </c>
      <c r="W416" s="44">
        <f t="shared" si="94"/>
        <v>-11108</v>
      </c>
      <c r="X416" s="44">
        <f t="shared" si="94"/>
        <v>-11974</v>
      </c>
      <c r="Y416" s="44">
        <f t="shared" si="94"/>
        <v>-12839</v>
      </c>
      <c r="Z416" s="44">
        <f t="shared" si="94"/>
        <v>-13741</v>
      </c>
      <c r="AA416" s="44">
        <f t="shared" si="94"/>
        <v>-14660</v>
      </c>
      <c r="AB416" s="44">
        <f t="shared" si="94"/>
        <v>-15579</v>
      </c>
      <c r="AC416" s="44">
        <f t="shared" si="94"/>
        <v>-15897</v>
      </c>
      <c r="AD416" s="44">
        <f t="shared" si="94"/>
        <v>-16084</v>
      </c>
      <c r="AE416" s="44">
        <f t="shared" si="94"/>
        <v>-16220</v>
      </c>
      <c r="AF416" s="44">
        <f t="shared" si="94"/>
        <v>-16355</v>
      </c>
    </row>
    <row r="417" spans="1:32" ht="15" thickBot="1" x14ac:dyDescent="0.35">
      <c r="A417" s="40" t="s">
        <v>219</v>
      </c>
      <c r="B417" s="40" t="s">
        <v>174</v>
      </c>
      <c r="C417" s="40" t="s">
        <v>220</v>
      </c>
      <c r="D417" s="41" t="s">
        <v>198</v>
      </c>
      <c r="E417" s="41" t="s">
        <v>221</v>
      </c>
      <c r="F417" s="40" t="s">
        <v>141</v>
      </c>
      <c r="G417" s="40" t="s">
        <v>130</v>
      </c>
      <c r="H417" s="45"/>
      <c r="I417" s="45">
        <f>I411-I415</f>
        <v>0</v>
      </c>
      <c r="J417" s="45">
        <f t="shared" ref="J417:AF417" si="95">I417+J411-J415</f>
        <v>0</v>
      </c>
      <c r="K417" s="45">
        <f t="shared" si="95"/>
        <v>0</v>
      </c>
      <c r="L417" s="45">
        <f t="shared" si="95"/>
        <v>0</v>
      </c>
      <c r="M417" s="45">
        <f t="shared" si="95"/>
        <v>0</v>
      </c>
      <c r="N417" s="45">
        <f t="shared" si="95"/>
        <v>0</v>
      </c>
      <c r="O417" s="45">
        <f t="shared" si="95"/>
        <v>0</v>
      </c>
      <c r="P417" s="45">
        <f t="shared" si="95"/>
        <v>0</v>
      </c>
      <c r="Q417" s="45">
        <f t="shared" si="95"/>
        <v>0</v>
      </c>
      <c r="R417" s="45">
        <f t="shared" si="95"/>
        <v>0</v>
      </c>
      <c r="S417" s="45">
        <f t="shared" si="95"/>
        <v>0</v>
      </c>
      <c r="T417" s="45">
        <f t="shared" si="95"/>
        <v>0</v>
      </c>
      <c r="U417" s="45">
        <f t="shared" si="95"/>
        <v>0</v>
      </c>
      <c r="V417" s="45">
        <f t="shared" si="95"/>
        <v>0</v>
      </c>
      <c r="W417" s="45">
        <f t="shared" si="95"/>
        <v>0</v>
      </c>
      <c r="X417" s="45">
        <f t="shared" si="95"/>
        <v>0</v>
      </c>
      <c r="Y417" s="45">
        <f t="shared" si="95"/>
        <v>0</v>
      </c>
      <c r="Z417" s="45">
        <f t="shared" si="95"/>
        <v>0</v>
      </c>
      <c r="AA417" s="45">
        <f t="shared" si="95"/>
        <v>0</v>
      </c>
      <c r="AB417" s="45">
        <f t="shared" si="95"/>
        <v>0</v>
      </c>
      <c r="AC417" s="45">
        <f t="shared" si="95"/>
        <v>0</v>
      </c>
      <c r="AD417" s="45">
        <f t="shared" si="95"/>
        <v>0</v>
      </c>
      <c r="AE417" s="45">
        <f t="shared" si="95"/>
        <v>0</v>
      </c>
      <c r="AF417" s="45">
        <f t="shared" si="95"/>
        <v>0</v>
      </c>
    </row>
    <row r="418" spans="1:32" x14ac:dyDescent="0.3">
      <c r="A418" s="38" t="s">
        <v>222</v>
      </c>
      <c r="B418" s="38" t="s">
        <v>174</v>
      </c>
      <c r="C418" s="38" t="s">
        <v>220</v>
      </c>
      <c r="D418" s="39" t="s">
        <v>183</v>
      </c>
      <c r="E418" s="39" t="s">
        <v>177</v>
      </c>
      <c r="F418" s="38" t="s">
        <v>129</v>
      </c>
      <c r="G418" s="38" t="s">
        <v>130</v>
      </c>
      <c r="H418" s="44">
        <v>43752</v>
      </c>
      <c r="I418" s="44">
        <v>43752</v>
      </c>
      <c r="J418" s="44"/>
      <c r="K418" s="44"/>
      <c r="L418" s="44"/>
      <c r="M418" s="44"/>
      <c r="N418" s="44"/>
      <c r="O418" s="44"/>
      <c r="P418" s="44"/>
      <c r="Q418" s="44"/>
      <c r="R418" s="44"/>
      <c r="S418" s="44"/>
      <c r="T418" s="44"/>
      <c r="U418" s="44"/>
      <c r="V418" s="44"/>
      <c r="W418" s="44"/>
      <c r="X418" s="44"/>
      <c r="Y418" s="44"/>
      <c r="Z418" s="44"/>
      <c r="AA418" s="44"/>
      <c r="AB418" s="44"/>
      <c r="AC418" s="44"/>
      <c r="AD418" s="44"/>
      <c r="AE418" s="44"/>
      <c r="AF418" s="44"/>
    </row>
    <row r="419" spans="1:32" x14ac:dyDescent="0.3">
      <c r="A419" s="38" t="s">
        <v>222</v>
      </c>
      <c r="B419" s="38" t="s">
        <v>174</v>
      </c>
      <c r="C419" s="38" t="s">
        <v>220</v>
      </c>
      <c r="D419" s="39" t="s">
        <v>183</v>
      </c>
      <c r="E419" s="39" t="s">
        <v>177</v>
      </c>
      <c r="F419" s="38" t="s">
        <v>131</v>
      </c>
      <c r="G419" s="38" t="s">
        <v>130</v>
      </c>
      <c r="H419" s="44">
        <v>288690.5</v>
      </c>
      <c r="I419" s="44">
        <v>25310.75</v>
      </c>
      <c r="J419" s="44">
        <v>6137.75</v>
      </c>
      <c r="K419" s="44">
        <v>8668.5</v>
      </c>
      <c r="L419" s="44">
        <v>12811.5</v>
      </c>
      <c r="M419" s="44">
        <v>14504</v>
      </c>
      <c r="N419" s="44">
        <v>13012.5</v>
      </c>
      <c r="O419" s="44">
        <v>12461</v>
      </c>
      <c r="P419" s="44">
        <v>12027.75</v>
      </c>
      <c r="Q419" s="44">
        <v>11071</v>
      </c>
      <c r="R419" s="44">
        <v>7982.75</v>
      </c>
      <c r="S419" s="44">
        <v>8121.75</v>
      </c>
      <c r="T419" s="44">
        <v>11140.5</v>
      </c>
      <c r="U419" s="44">
        <v>9217.75</v>
      </c>
      <c r="V419" s="44">
        <v>8323.75</v>
      </c>
      <c r="W419" s="44">
        <v>14599.75</v>
      </c>
      <c r="X419" s="44">
        <v>14657.75</v>
      </c>
      <c r="Y419" s="44">
        <v>13268.5</v>
      </c>
      <c r="Z419" s="44">
        <v>13210.25</v>
      </c>
      <c r="AA419" s="44">
        <v>13160.75</v>
      </c>
      <c r="AB419" s="44">
        <v>13207.5</v>
      </c>
      <c r="AC419" s="44">
        <v>12733.5</v>
      </c>
      <c r="AD419" s="44">
        <v>11328.75</v>
      </c>
      <c r="AE419" s="44">
        <v>10867.75</v>
      </c>
      <c r="AF419" s="44">
        <v>10864.75</v>
      </c>
    </row>
    <row r="420" spans="1:32" x14ac:dyDescent="0.3">
      <c r="A420" s="38" t="s">
        <v>222</v>
      </c>
      <c r="B420" s="38" t="s">
        <v>174</v>
      </c>
      <c r="C420" s="38" t="s">
        <v>220</v>
      </c>
      <c r="D420" s="39" t="s">
        <v>183</v>
      </c>
      <c r="E420" s="39" t="s">
        <v>177</v>
      </c>
      <c r="F420" s="38" t="s">
        <v>132</v>
      </c>
      <c r="G420" s="38" t="s">
        <v>130</v>
      </c>
      <c r="H420" s="44">
        <v>43968</v>
      </c>
      <c r="I420" s="44">
        <v>43968</v>
      </c>
      <c r="J420" s="44"/>
      <c r="K420" s="44"/>
      <c r="L420" s="44"/>
      <c r="M420" s="44"/>
      <c r="N420" s="44"/>
      <c r="O420" s="44"/>
      <c r="P420" s="44"/>
      <c r="Q420" s="44"/>
      <c r="R420" s="44"/>
      <c r="S420" s="44"/>
      <c r="T420" s="44"/>
      <c r="U420" s="44"/>
      <c r="V420" s="44"/>
      <c r="W420" s="44"/>
      <c r="X420" s="44"/>
      <c r="Y420" s="44"/>
      <c r="Z420" s="44"/>
      <c r="AA420" s="44"/>
      <c r="AB420" s="44"/>
      <c r="AC420" s="44"/>
      <c r="AD420" s="44"/>
      <c r="AE420" s="44"/>
      <c r="AF420" s="44"/>
    </row>
    <row r="421" spans="1:32" x14ac:dyDescent="0.3">
      <c r="A421" s="38" t="s">
        <v>222</v>
      </c>
      <c r="B421" s="38" t="s">
        <v>174</v>
      </c>
      <c r="C421" s="38" t="s">
        <v>220</v>
      </c>
      <c r="D421" s="39" t="s">
        <v>183</v>
      </c>
      <c r="E421" s="39" t="s">
        <v>177</v>
      </c>
      <c r="F421" s="38" t="s">
        <v>133</v>
      </c>
      <c r="G421" s="38" t="s">
        <v>130</v>
      </c>
      <c r="H421" s="44">
        <v>0</v>
      </c>
      <c r="I421" s="44">
        <v>0</v>
      </c>
      <c r="J421" s="44"/>
      <c r="K421" s="44"/>
      <c r="L421" s="44"/>
      <c r="M421" s="44"/>
      <c r="N421" s="44"/>
      <c r="O421" s="44"/>
      <c r="P421" s="44"/>
      <c r="Q421" s="44"/>
      <c r="R421" s="44"/>
      <c r="S421" s="44"/>
      <c r="T421" s="44"/>
      <c r="U421" s="44"/>
      <c r="V421" s="44"/>
      <c r="W421" s="44"/>
      <c r="X421" s="44"/>
      <c r="Y421" s="44"/>
      <c r="Z421" s="44"/>
      <c r="AA421" s="44"/>
      <c r="AB421" s="44"/>
      <c r="AC421" s="44"/>
      <c r="AD421" s="44"/>
      <c r="AE421" s="44"/>
      <c r="AF421" s="44"/>
    </row>
    <row r="422" spans="1:32" x14ac:dyDescent="0.3">
      <c r="A422" s="38" t="s">
        <v>222</v>
      </c>
      <c r="B422" s="38" t="s">
        <v>174</v>
      </c>
      <c r="C422" s="38" t="s">
        <v>220</v>
      </c>
      <c r="D422" s="39" t="s">
        <v>183</v>
      </c>
      <c r="E422" s="39" t="s">
        <v>177</v>
      </c>
      <c r="F422" s="38" t="s">
        <v>134</v>
      </c>
      <c r="G422" s="38" t="s">
        <v>130</v>
      </c>
      <c r="H422" s="44">
        <v>4349</v>
      </c>
      <c r="I422" s="44">
        <v>4349</v>
      </c>
      <c r="J422" s="44"/>
      <c r="K422" s="44"/>
      <c r="L422" s="44"/>
      <c r="M422" s="44"/>
      <c r="N422" s="44"/>
      <c r="O422" s="44"/>
      <c r="P422" s="44"/>
      <c r="Q422" s="44"/>
      <c r="R422" s="44"/>
      <c r="S422" s="44"/>
      <c r="T422" s="44"/>
      <c r="U422" s="44"/>
      <c r="V422" s="44"/>
      <c r="W422" s="44"/>
      <c r="X422" s="44"/>
      <c r="Y422" s="44"/>
      <c r="Z422" s="44"/>
      <c r="AA422" s="44"/>
      <c r="AB422" s="44"/>
      <c r="AC422" s="44"/>
      <c r="AD422" s="44"/>
      <c r="AE422" s="44"/>
      <c r="AF422" s="44"/>
    </row>
    <row r="423" spans="1:32" x14ac:dyDescent="0.3">
      <c r="A423" s="38" t="s">
        <v>222</v>
      </c>
      <c r="B423" s="38" t="s">
        <v>174</v>
      </c>
      <c r="C423" s="38" t="s">
        <v>220</v>
      </c>
      <c r="D423" s="39" t="s">
        <v>183</v>
      </c>
      <c r="E423" s="39" t="s">
        <v>177</v>
      </c>
      <c r="F423" s="38" t="s">
        <v>135</v>
      </c>
      <c r="G423" s="38" t="s">
        <v>130</v>
      </c>
      <c r="H423" s="44"/>
      <c r="I423" s="44"/>
      <c r="J423" s="44"/>
      <c r="K423" s="44"/>
      <c r="L423" s="44"/>
      <c r="M423" s="44"/>
      <c r="N423" s="44"/>
      <c r="O423" s="44"/>
      <c r="P423" s="44"/>
      <c r="Q423" s="44"/>
      <c r="R423" s="44"/>
      <c r="S423" s="44"/>
      <c r="T423" s="44"/>
      <c r="U423" s="44"/>
      <c r="V423" s="44"/>
      <c r="W423" s="44"/>
      <c r="X423" s="44"/>
      <c r="Y423" s="44"/>
      <c r="Z423" s="44"/>
      <c r="AA423" s="44"/>
      <c r="AB423" s="44"/>
      <c r="AC423" s="44"/>
      <c r="AD423" s="44"/>
      <c r="AE423" s="44"/>
      <c r="AF423" s="44"/>
    </row>
    <row r="424" spans="1:32" x14ac:dyDescent="0.3">
      <c r="A424" s="38" t="s">
        <v>222</v>
      </c>
      <c r="B424" s="38" t="s">
        <v>174</v>
      </c>
      <c r="C424" s="38" t="s">
        <v>220</v>
      </c>
      <c r="D424" s="39" t="s">
        <v>183</v>
      </c>
      <c r="E424" s="39" t="s">
        <v>177</v>
      </c>
      <c r="F424" s="38" t="s">
        <v>136</v>
      </c>
      <c r="G424" s="38" t="s">
        <v>130</v>
      </c>
      <c r="H424" s="44">
        <f>SUM(I424:AF424)</f>
        <v>129600</v>
      </c>
      <c r="I424" s="44">
        <f t="shared" ref="I424:AF424" si="96">IF(AND(ISBLANK(I427) = TRUE,ISBLANK(I426) = TRUE),I425,I426+I427)</f>
        <v>21600</v>
      </c>
      <c r="J424" s="44">
        <f t="shared" si="96"/>
        <v>0</v>
      </c>
      <c r="K424" s="44">
        <f t="shared" si="96"/>
        <v>21600</v>
      </c>
      <c r="L424" s="44">
        <f t="shared" si="96"/>
        <v>0</v>
      </c>
      <c r="M424" s="44">
        <f t="shared" si="96"/>
        <v>0</v>
      </c>
      <c r="N424" s="44">
        <f t="shared" si="96"/>
        <v>21600</v>
      </c>
      <c r="O424" s="44">
        <f t="shared" si="96"/>
        <v>21600</v>
      </c>
      <c r="P424" s="44">
        <f t="shared" si="96"/>
        <v>0</v>
      </c>
      <c r="Q424" s="44">
        <f t="shared" si="96"/>
        <v>0</v>
      </c>
      <c r="R424" s="44">
        <f t="shared" si="96"/>
        <v>21600</v>
      </c>
      <c r="S424" s="44">
        <f t="shared" si="96"/>
        <v>0</v>
      </c>
      <c r="T424" s="44">
        <f t="shared" si="96"/>
        <v>21600</v>
      </c>
      <c r="U424" s="44">
        <f t="shared" si="96"/>
        <v>0</v>
      </c>
      <c r="V424" s="44">
        <f t="shared" si="96"/>
        <v>0</v>
      </c>
      <c r="W424" s="44">
        <f t="shared" si="96"/>
        <v>0</v>
      </c>
      <c r="X424" s="44">
        <f t="shared" si="96"/>
        <v>0</v>
      </c>
      <c r="Y424" s="44">
        <f t="shared" si="96"/>
        <v>0</v>
      </c>
      <c r="Z424" s="44">
        <f t="shared" si="96"/>
        <v>0</v>
      </c>
      <c r="AA424" s="44">
        <f t="shared" si="96"/>
        <v>0</v>
      </c>
      <c r="AB424" s="44">
        <f t="shared" si="96"/>
        <v>0</v>
      </c>
      <c r="AC424" s="44">
        <f t="shared" si="96"/>
        <v>0</v>
      </c>
      <c r="AD424" s="44">
        <f t="shared" si="96"/>
        <v>0</v>
      </c>
      <c r="AE424" s="44">
        <f t="shared" si="96"/>
        <v>0</v>
      </c>
      <c r="AF424" s="44">
        <f t="shared" si="96"/>
        <v>0</v>
      </c>
    </row>
    <row r="425" spans="1:32" x14ac:dyDescent="0.3">
      <c r="A425" s="38" t="s">
        <v>222</v>
      </c>
      <c r="B425" s="38" t="s">
        <v>174</v>
      </c>
      <c r="C425" s="38" t="s">
        <v>220</v>
      </c>
      <c r="D425" s="39" t="s">
        <v>183</v>
      </c>
      <c r="E425" s="39" t="s">
        <v>177</v>
      </c>
      <c r="F425" s="38" t="s">
        <v>124</v>
      </c>
      <c r="G425" s="38" t="s">
        <v>130</v>
      </c>
      <c r="H425" s="44">
        <v>129600</v>
      </c>
      <c r="I425" s="44">
        <v>21600</v>
      </c>
      <c r="J425" s="44"/>
      <c r="K425" s="44">
        <v>21600</v>
      </c>
      <c r="L425" s="44"/>
      <c r="M425" s="44"/>
      <c r="N425" s="44">
        <v>21600</v>
      </c>
      <c r="O425" s="44">
        <v>21600</v>
      </c>
      <c r="P425" s="44"/>
      <c r="Q425" s="44"/>
      <c r="R425" s="44">
        <v>21600</v>
      </c>
      <c r="S425" s="44"/>
      <c r="T425" s="44">
        <v>21600</v>
      </c>
      <c r="U425" s="44"/>
      <c r="V425" s="44"/>
      <c r="W425" s="44"/>
      <c r="X425" s="44"/>
      <c r="Y425" s="44"/>
      <c r="Z425" s="44"/>
      <c r="AA425" s="44"/>
      <c r="AB425" s="44"/>
      <c r="AC425" s="44"/>
      <c r="AD425" s="44"/>
      <c r="AE425" s="44"/>
      <c r="AF425" s="44"/>
    </row>
    <row r="426" spans="1:32" x14ac:dyDescent="0.3">
      <c r="A426" s="38" t="s">
        <v>222</v>
      </c>
      <c r="B426" s="38" t="s">
        <v>174</v>
      </c>
      <c r="C426" s="38" t="s">
        <v>220</v>
      </c>
      <c r="D426" s="39" t="s">
        <v>183</v>
      </c>
      <c r="E426" s="39" t="s">
        <v>177</v>
      </c>
      <c r="F426" s="38" t="s">
        <v>137</v>
      </c>
      <c r="G426" s="38" t="s">
        <v>130</v>
      </c>
      <c r="H426" s="44">
        <f>SUM(I426:AF426)</f>
        <v>0</v>
      </c>
      <c r="I426" s="44"/>
      <c r="J426" s="44"/>
      <c r="K426" s="44"/>
      <c r="L426" s="44"/>
      <c r="M426" s="44"/>
      <c r="N426" s="44"/>
      <c r="O426" s="44"/>
      <c r="P426" s="44"/>
      <c r="Q426" s="44"/>
      <c r="R426" s="44"/>
      <c r="S426" s="44"/>
      <c r="T426" s="44"/>
      <c r="U426" s="44"/>
      <c r="V426" s="44"/>
      <c r="W426" s="44"/>
      <c r="X426" s="44"/>
      <c r="Y426" s="44"/>
      <c r="Z426" s="44"/>
      <c r="AA426" s="44"/>
      <c r="AB426" s="44"/>
      <c r="AC426" s="44"/>
      <c r="AD426" s="44"/>
      <c r="AE426" s="44"/>
      <c r="AF426" s="44"/>
    </row>
    <row r="427" spans="1:32" x14ac:dyDescent="0.3">
      <c r="A427" s="38" t="s">
        <v>222</v>
      </c>
      <c r="B427" s="38" t="s">
        <v>174</v>
      </c>
      <c r="C427" s="38" t="s">
        <v>220</v>
      </c>
      <c r="D427" s="39" t="s">
        <v>183</v>
      </c>
      <c r="E427" s="39" t="s">
        <v>177</v>
      </c>
      <c r="F427" s="38" t="s">
        <v>138</v>
      </c>
      <c r="G427" s="38" t="s">
        <v>130</v>
      </c>
      <c r="H427" s="44">
        <f>SUM(I427:AF427)</f>
        <v>0</v>
      </c>
      <c r="I427" s="44"/>
      <c r="J427" s="44"/>
      <c r="K427" s="44"/>
      <c r="L427" s="44"/>
      <c r="M427" s="44"/>
      <c r="N427" s="44"/>
      <c r="O427" s="44"/>
      <c r="P427" s="44"/>
      <c r="Q427" s="44"/>
      <c r="R427" s="44"/>
      <c r="S427" s="44"/>
      <c r="T427" s="44"/>
      <c r="U427" s="44"/>
      <c r="V427" s="44"/>
      <c r="W427" s="44"/>
      <c r="X427" s="44"/>
      <c r="Y427" s="44"/>
      <c r="Z427" s="44"/>
      <c r="AA427" s="44"/>
      <c r="AB427" s="44"/>
      <c r="AC427" s="44"/>
      <c r="AD427" s="44"/>
      <c r="AE427" s="44"/>
      <c r="AF427" s="44"/>
    </row>
    <row r="428" spans="1:32" x14ac:dyDescent="0.3">
      <c r="A428" s="38" t="s">
        <v>222</v>
      </c>
      <c r="B428" s="38" t="s">
        <v>174</v>
      </c>
      <c r="C428" s="38" t="s">
        <v>220</v>
      </c>
      <c r="D428" s="39" t="s">
        <v>183</v>
      </c>
      <c r="E428" s="39" t="s">
        <v>177</v>
      </c>
      <c r="F428" s="38" t="s">
        <v>139</v>
      </c>
      <c r="G428" s="38" t="s">
        <v>130</v>
      </c>
      <c r="H428" s="44">
        <v>129600</v>
      </c>
      <c r="I428" s="44">
        <v>21600</v>
      </c>
      <c r="J428" s="44"/>
      <c r="K428" s="44">
        <v>21600</v>
      </c>
      <c r="L428" s="44"/>
      <c r="M428" s="44"/>
      <c r="N428" s="44">
        <v>21600</v>
      </c>
      <c r="O428" s="44">
        <v>21600</v>
      </c>
      <c r="P428" s="44"/>
      <c r="Q428" s="44"/>
      <c r="R428" s="44">
        <v>21600</v>
      </c>
      <c r="S428" s="44"/>
      <c r="T428" s="44">
        <v>21600</v>
      </c>
      <c r="U428" s="44"/>
      <c r="V428" s="44"/>
      <c r="W428" s="44"/>
      <c r="X428" s="44"/>
      <c r="Y428" s="44"/>
      <c r="Z428" s="44"/>
      <c r="AA428" s="44"/>
      <c r="AB428" s="44"/>
      <c r="AC428" s="44"/>
      <c r="AD428" s="44"/>
      <c r="AE428" s="44"/>
      <c r="AF428" s="44"/>
    </row>
    <row r="429" spans="1:32" x14ac:dyDescent="0.3">
      <c r="A429" s="38" t="s">
        <v>222</v>
      </c>
      <c r="B429" s="38" t="s">
        <v>174</v>
      </c>
      <c r="C429" s="38" t="s">
        <v>220</v>
      </c>
      <c r="D429" s="39" t="s">
        <v>183</v>
      </c>
      <c r="E429" s="39" t="s">
        <v>177</v>
      </c>
      <c r="F429" s="38" t="s">
        <v>140</v>
      </c>
      <c r="G429" s="38" t="s">
        <v>130</v>
      </c>
      <c r="H429" s="44"/>
      <c r="I429" s="44">
        <f>I424-(I419+I418)+(I423+I422+I421+I420)</f>
        <v>854.25</v>
      </c>
      <c r="J429" s="44">
        <f t="shared" ref="J429:AF429" si="97">I429+J424-J419</f>
        <v>-5283.5</v>
      </c>
      <c r="K429" s="44">
        <f t="shared" si="97"/>
        <v>7648</v>
      </c>
      <c r="L429" s="44">
        <f t="shared" si="97"/>
        <v>-5163.5</v>
      </c>
      <c r="M429" s="44">
        <f t="shared" si="97"/>
        <v>-19667.5</v>
      </c>
      <c r="N429" s="44">
        <f t="shared" si="97"/>
        <v>-11080</v>
      </c>
      <c r="O429" s="44">
        <f t="shared" si="97"/>
        <v>-1941</v>
      </c>
      <c r="P429" s="44">
        <f t="shared" si="97"/>
        <v>-13968.75</v>
      </c>
      <c r="Q429" s="44">
        <f t="shared" si="97"/>
        <v>-25039.75</v>
      </c>
      <c r="R429" s="44">
        <f t="shared" si="97"/>
        <v>-11422.5</v>
      </c>
      <c r="S429" s="44">
        <f t="shared" si="97"/>
        <v>-19544.25</v>
      </c>
      <c r="T429" s="44">
        <f t="shared" si="97"/>
        <v>-9084.75</v>
      </c>
      <c r="U429" s="44">
        <f t="shared" si="97"/>
        <v>-18302.5</v>
      </c>
      <c r="V429" s="44">
        <f t="shared" si="97"/>
        <v>-26626.25</v>
      </c>
      <c r="W429" s="44">
        <f t="shared" si="97"/>
        <v>-41226</v>
      </c>
      <c r="X429" s="44">
        <f t="shared" si="97"/>
        <v>-55883.75</v>
      </c>
      <c r="Y429" s="44">
        <f t="shared" si="97"/>
        <v>-69152.25</v>
      </c>
      <c r="Z429" s="44">
        <f t="shared" si="97"/>
        <v>-82362.5</v>
      </c>
      <c r="AA429" s="44">
        <f t="shared" si="97"/>
        <v>-95523.25</v>
      </c>
      <c r="AB429" s="44">
        <f t="shared" si="97"/>
        <v>-108730.75</v>
      </c>
      <c r="AC429" s="44">
        <f t="shared" si="97"/>
        <v>-121464.25</v>
      </c>
      <c r="AD429" s="44">
        <f t="shared" si="97"/>
        <v>-132793</v>
      </c>
      <c r="AE429" s="44">
        <f t="shared" si="97"/>
        <v>-143660.75</v>
      </c>
      <c r="AF429" s="44">
        <f t="shared" si="97"/>
        <v>-154525.5</v>
      </c>
    </row>
    <row r="430" spans="1:32" ht="15" thickBot="1" x14ac:dyDescent="0.35">
      <c r="A430" s="40" t="s">
        <v>222</v>
      </c>
      <c r="B430" s="40" t="s">
        <v>174</v>
      </c>
      <c r="C430" s="40" t="s">
        <v>220</v>
      </c>
      <c r="D430" s="41" t="s">
        <v>183</v>
      </c>
      <c r="E430" s="41" t="s">
        <v>177</v>
      </c>
      <c r="F430" s="40" t="s">
        <v>141</v>
      </c>
      <c r="G430" s="40" t="s">
        <v>130</v>
      </c>
      <c r="H430" s="45"/>
      <c r="I430" s="45">
        <f>I424-I428</f>
        <v>0</v>
      </c>
      <c r="J430" s="45">
        <f t="shared" ref="J430:AF430" si="98">I430+J424-J428</f>
        <v>0</v>
      </c>
      <c r="K430" s="45">
        <f t="shared" si="98"/>
        <v>0</v>
      </c>
      <c r="L430" s="45">
        <f t="shared" si="98"/>
        <v>0</v>
      </c>
      <c r="M430" s="45">
        <f t="shared" si="98"/>
        <v>0</v>
      </c>
      <c r="N430" s="45">
        <f t="shared" si="98"/>
        <v>0</v>
      </c>
      <c r="O430" s="45">
        <f t="shared" si="98"/>
        <v>0</v>
      </c>
      <c r="P430" s="45">
        <f t="shared" si="98"/>
        <v>0</v>
      </c>
      <c r="Q430" s="45">
        <f t="shared" si="98"/>
        <v>0</v>
      </c>
      <c r="R430" s="45">
        <f t="shared" si="98"/>
        <v>0</v>
      </c>
      <c r="S430" s="45">
        <f t="shared" si="98"/>
        <v>0</v>
      </c>
      <c r="T430" s="45">
        <f t="shared" si="98"/>
        <v>0</v>
      </c>
      <c r="U430" s="45">
        <f t="shared" si="98"/>
        <v>0</v>
      </c>
      <c r="V430" s="45">
        <f t="shared" si="98"/>
        <v>0</v>
      </c>
      <c r="W430" s="45">
        <f t="shared" si="98"/>
        <v>0</v>
      </c>
      <c r="X430" s="45">
        <f t="shared" si="98"/>
        <v>0</v>
      </c>
      <c r="Y430" s="45">
        <f t="shared" si="98"/>
        <v>0</v>
      </c>
      <c r="Z430" s="45">
        <f t="shared" si="98"/>
        <v>0</v>
      </c>
      <c r="AA430" s="45">
        <f t="shared" si="98"/>
        <v>0</v>
      </c>
      <c r="AB430" s="45">
        <f t="shared" si="98"/>
        <v>0</v>
      </c>
      <c r="AC430" s="45">
        <f t="shared" si="98"/>
        <v>0</v>
      </c>
      <c r="AD430" s="45">
        <f t="shared" si="98"/>
        <v>0</v>
      </c>
      <c r="AE430" s="45">
        <f t="shared" si="98"/>
        <v>0</v>
      </c>
      <c r="AF430" s="45">
        <f t="shared" si="98"/>
        <v>0</v>
      </c>
    </row>
    <row r="431" spans="1:32" x14ac:dyDescent="0.3">
      <c r="A431" s="38" t="s">
        <v>223</v>
      </c>
      <c r="B431" s="38" t="s">
        <v>174</v>
      </c>
      <c r="C431" s="38" t="s">
        <v>220</v>
      </c>
      <c r="D431" s="39" t="s">
        <v>180</v>
      </c>
      <c r="E431" s="39" t="s">
        <v>177</v>
      </c>
      <c r="F431" s="38" t="s">
        <v>129</v>
      </c>
      <c r="G431" s="38" t="s">
        <v>130</v>
      </c>
      <c r="H431" s="44">
        <v>22771</v>
      </c>
      <c r="I431" s="44">
        <v>22771</v>
      </c>
      <c r="J431" s="44"/>
      <c r="K431" s="44"/>
      <c r="L431" s="44"/>
      <c r="M431" s="44"/>
      <c r="N431" s="44"/>
      <c r="O431" s="44"/>
      <c r="P431" s="44"/>
      <c r="Q431" s="44"/>
      <c r="R431" s="44"/>
      <c r="S431" s="44"/>
      <c r="T431" s="44"/>
      <c r="U431" s="44"/>
      <c r="V431" s="44"/>
      <c r="W431" s="44"/>
      <c r="X431" s="44"/>
      <c r="Y431" s="44"/>
      <c r="Z431" s="44"/>
      <c r="AA431" s="44"/>
      <c r="AB431" s="44"/>
      <c r="AC431" s="44"/>
      <c r="AD431" s="44"/>
      <c r="AE431" s="44"/>
      <c r="AF431" s="44"/>
    </row>
    <row r="432" spans="1:32" x14ac:dyDescent="0.3">
      <c r="A432" s="38" t="s">
        <v>223</v>
      </c>
      <c r="B432" s="38" t="s">
        <v>174</v>
      </c>
      <c r="C432" s="38" t="s">
        <v>220</v>
      </c>
      <c r="D432" s="39" t="s">
        <v>180</v>
      </c>
      <c r="E432" s="39" t="s">
        <v>177</v>
      </c>
      <c r="F432" s="38" t="s">
        <v>131</v>
      </c>
      <c r="G432" s="38" t="s">
        <v>130</v>
      </c>
      <c r="H432" s="44">
        <v>146299.5</v>
      </c>
      <c r="I432" s="44">
        <v>5363.75</v>
      </c>
      <c r="J432" s="44">
        <v>5339.75</v>
      </c>
      <c r="K432" s="44">
        <v>5466.5</v>
      </c>
      <c r="L432" s="44">
        <v>6876.5</v>
      </c>
      <c r="M432" s="44">
        <v>7456</v>
      </c>
      <c r="N432" s="44">
        <v>6791.5</v>
      </c>
      <c r="O432" s="44">
        <v>6032</v>
      </c>
      <c r="P432" s="44">
        <v>5357.75</v>
      </c>
      <c r="Q432" s="44">
        <v>6373</v>
      </c>
      <c r="R432" s="44">
        <v>5156.75</v>
      </c>
      <c r="S432" s="44">
        <v>5711.75</v>
      </c>
      <c r="T432" s="44">
        <v>4892.5</v>
      </c>
      <c r="U432" s="44">
        <v>5282.75</v>
      </c>
      <c r="V432" s="44">
        <v>4724.75</v>
      </c>
      <c r="W432" s="44">
        <v>6812.75</v>
      </c>
      <c r="X432" s="44">
        <v>6388.75</v>
      </c>
      <c r="Y432" s="44">
        <v>6474.5</v>
      </c>
      <c r="Z432" s="44">
        <v>6703.25</v>
      </c>
      <c r="AA432" s="44">
        <v>7020.75</v>
      </c>
      <c r="AB432" s="44">
        <v>6805.5</v>
      </c>
      <c r="AC432" s="44">
        <v>6700.5</v>
      </c>
      <c r="AD432" s="44">
        <v>6404.75</v>
      </c>
      <c r="AE432" s="44">
        <v>6081.75</v>
      </c>
      <c r="AF432" s="44">
        <v>6081.75</v>
      </c>
    </row>
    <row r="433" spans="1:32" x14ac:dyDescent="0.3">
      <c r="A433" s="38" t="s">
        <v>223</v>
      </c>
      <c r="B433" s="38" t="s">
        <v>174</v>
      </c>
      <c r="C433" s="38" t="s">
        <v>220</v>
      </c>
      <c r="D433" s="39" t="s">
        <v>180</v>
      </c>
      <c r="E433" s="39" t="s">
        <v>177</v>
      </c>
      <c r="F433" s="38" t="s">
        <v>132</v>
      </c>
      <c r="G433" s="38" t="s">
        <v>130</v>
      </c>
      <c r="H433" s="44">
        <v>51240</v>
      </c>
      <c r="I433" s="44">
        <v>51240</v>
      </c>
      <c r="J433" s="44"/>
      <c r="K433" s="44"/>
      <c r="L433" s="44"/>
      <c r="M433" s="44"/>
      <c r="N433" s="44"/>
      <c r="O433" s="44"/>
      <c r="P433" s="44"/>
      <c r="Q433" s="44"/>
      <c r="R433" s="44"/>
      <c r="S433" s="44"/>
      <c r="T433" s="44"/>
      <c r="U433" s="44"/>
      <c r="V433" s="44"/>
      <c r="W433" s="44"/>
      <c r="X433" s="44"/>
      <c r="Y433" s="44"/>
      <c r="Z433" s="44"/>
      <c r="AA433" s="44"/>
      <c r="AB433" s="44"/>
      <c r="AC433" s="44"/>
      <c r="AD433" s="44"/>
      <c r="AE433" s="44"/>
      <c r="AF433" s="44"/>
    </row>
    <row r="434" spans="1:32" x14ac:dyDescent="0.3">
      <c r="A434" s="38" t="s">
        <v>223</v>
      </c>
      <c r="B434" s="38" t="s">
        <v>174</v>
      </c>
      <c r="C434" s="38" t="s">
        <v>220</v>
      </c>
      <c r="D434" s="39" t="s">
        <v>180</v>
      </c>
      <c r="E434" s="39" t="s">
        <v>177</v>
      </c>
      <c r="F434" s="38" t="s">
        <v>133</v>
      </c>
      <c r="G434" s="38" t="s">
        <v>130</v>
      </c>
      <c r="H434" s="44">
        <v>0</v>
      </c>
      <c r="I434" s="44">
        <v>0</v>
      </c>
      <c r="J434" s="44"/>
      <c r="K434" s="44"/>
      <c r="L434" s="44"/>
      <c r="M434" s="44"/>
      <c r="N434" s="44"/>
      <c r="O434" s="44"/>
      <c r="P434" s="44"/>
      <c r="Q434" s="44"/>
      <c r="R434" s="44"/>
      <c r="S434" s="44"/>
      <c r="T434" s="44"/>
      <c r="U434" s="44"/>
      <c r="V434" s="44"/>
      <c r="W434" s="44"/>
      <c r="X434" s="44"/>
      <c r="Y434" s="44"/>
      <c r="Z434" s="44"/>
      <c r="AA434" s="44"/>
      <c r="AB434" s="44"/>
      <c r="AC434" s="44"/>
      <c r="AD434" s="44"/>
      <c r="AE434" s="44"/>
      <c r="AF434" s="44"/>
    </row>
    <row r="435" spans="1:32" x14ac:dyDescent="0.3">
      <c r="A435" s="38" t="s">
        <v>223</v>
      </c>
      <c r="B435" s="38" t="s">
        <v>174</v>
      </c>
      <c r="C435" s="38" t="s">
        <v>220</v>
      </c>
      <c r="D435" s="39" t="s">
        <v>180</v>
      </c>
      <c r="E435" s="39" t="s">
        <v>177</v>
      </c>
      <c r="F435" s="38" t="s">
        <v>134</v>
      </c>
      <c r="G435" s="38" t="s">
        <v>130</v>
      </c>
      <c r="H435" s="44">
        <v>1</v>
      </c>
      <c r="I435" s="44">
        <v>1</v>
      </c>
      <c r="J435" s="44"/>
      <c r="K435" s="44"/>
      <c r="L435" s="44"/>
      <c r="M435" s="44"/>
      <c r="N435" s="44"/>
      <c r="O435" s="44"/>
      <c r="P435" s="44"/>
      <c r="Q435" s="44"/>
      <c r="R435" s="44"/>
      <c r="S435" s="44"/>
      <c r="T435" s="44"/>
      <c r="U435" s="44"/>
      <c r="V435" s="44"/>
      <c r="W435" s="44"/>
      <c r="X435" s="44"/>
      <c r="Y435" s="44"/>
      <c r="Z435" s="44"/>
      <c r="AA435" s="44"/>
      <c r="AB435" s="44"/>
      <c r="AC435" s="44"/>
      <c r="AD435" s="44"/>
      <c r="AE435" s="44"/>
      <c r="AF435" s="44"/>
    </row>
    <row r="436" spans="1:32" x14ac:dyDescent="0.3">
      <c r="A436" s="38" t="s">
        <v>223</v>
      </c>
      <c r="B436" s="38" t="s">
        <v>174</v>
      </c>
      <c r="C436" s="38" t="s">
        <v>220</v>
      </c>
      <c r="D436" s="39" t="s">
        <v>180</v>
      </c>
      <c r="E436" s="39" t="s">
        <v>177</v>
      </c>
      <c r="F436" s="38" t="s">
        <v>135</v>
      </c>
      <c r="G436" s="38" t="s">
        <v>130</v>
      </c>
      <c r="H436" s="44"/>
      <c r="I436" s="44"/>
      <c r="J436" s="44"/>
      <c r="K436" s="44"/>
      <c r="L436" s="44"/>
      <c r="M436" s="44"/>
      <c r="N436" s="44"/>
      <c r="O436" s="44"/>
      <c r="P436" s="44"/>
      <c r="Q436" s="44"/>
      <c r="R436" s="44"/>
      <c r="S436" s="44"/>
      <c r="T436" s="44"/>
      <c r="U436" s="44"/>
      <c r="V436" s="44"/>
      <c r="W436" s="44"/>
      <c r="X436" s="44"/>
      <c r="Y436" s="44"/>
      <c r="Z436" s="44"/>
      <c r="AA436" s="44"/>
      <c r="AB436" s="44"/>
      <c r="AC436" s="44"/>
      <c r="AD436" s="44"/>
      <c r="AE436" s="44"/>
      <c r="AF436" s="44"/>
    </row>
    <row r="437" spans="1:32" x14ac:dyDescent="0.3">
      <c r="A437" s="38" t="s">
        <v>223</v>
      </c>
      <c r="B437" s="38" t="s">
        <v>174</v>
      </c>
      <c r="C437" s="38" t="s">
        <v>220</v>
      </c>
      <c r="D437" s="39" t="s">
        <v>180</v>
      </c>
      <c r="E437" s="39" t="s">
        <v>177</v>
      </c>
      <c r="F437" s="38" t="s">
        <v>136</v>
      </c>
      <c r="G437" s="38" t="s">
        <v>130</v>
      </c>
      <c r="H437" s="44">
        <f>SUM(I437:AF437)</f>
        <v>54720</v>
      </c>
      <c r="I437" s="44">
        <f t="shared" ref="I437:AF437" si="99">IF(AND(ISBLANK(I440) = TRUE,ISBLANK(I439) = TRUE),I438,I439+I440)</f>
        <v>0</v>
      </c>
      <c r="J437" s="44">
        <f t="shared" si="99"/>
        <v>0</v>
      </c>
      <c r="K437" s="44">
        <f t="shared" si="99"/>
        <v>0</v>
      </c>
      <c r="L437" s="44">
        <f t="shared" si="99"/>
        <v>0</v>
      </c>
      <c r="M437" s="44">
        <f t="shared" si="99"/>
        <v>0</v>
      </c>
      <c r="N437" s="44">
        <f t="shared" si="99"/>
        <v>10080</v>
      </c>
      <c r="O437" s="44">
        <f t="shared" si="99"/>
        <v>0</v>
      </c>
      <c r="P437" s="44">
        <f t="shared" si="99"/>
        <v>10080</v>
      </c>
      <c r="Q437" s="44">
        <f t="shared" si="99"/>
        <v>0</v>
      </c>
      <c r="R437" s="44">
        <f t="shared" si="99"/>
        <v>10080</v>
      </c>
      <c r="S437" s="44">
        <f t="shared" si="99"/>
        <v>0</v>
      </c>
      <c r="T437" s="44">
        <f t="shared" si="99"/>
        <v>10080</v>
      </c>
      <c r="U437" s="44">
        <f t="shared" si="99"/>
        <v>0</v>
      </c>
      <c r="V437" s="44">
        <f t="shared" si="99"/>
        <v>7200</v>
      </c>
      <c r="W437" s="44">
        <f t="shared" si="99"/>
        <v>7200</v>
      </c>
      <c r="X437" s="44">
        <f t="shared" si="99"/>
        <v>0</v>
      </c>
      <c r="Y437" s="44">
        <f t="shared" si="99"/>
        <v>0</v>
      </c>
      <c r="Z437" s="44">
        <f t="shared" si="99"/>
        <v>0</v>
      </c>
      <c r="AA437" s="44">
        <f t="shared" si="99"/>
        <v>0</v>
      </c>
      <c r="AB437" s="44">
        <f t="shared" si="99"/>
        <v>0</v>
      </c>
      <c r="AC437" s="44">
        <f t="shared" si="99"/>
        <v>0</v>
      </c>
      <c r="AD437" s="44">
        <f t="shared" si="99"/>
        <v>0</v>
      </c>
      <c r="AE437" s="44">
        <f t="shared" si="99"/>
        <v>0</v>
      </c>
      <c r="AF437" s="44">
        <f t="shared" si="99"/>
        <v>0</v>
      </c>
    </row>
    <row r="438" spans="1:32" x14ac:dyDescent="0.3">
      <c r="A438" s="38" t="s">
        <v>223</v>
      </c>
      <c r="B438" s="38" t="s">
        <v>174</v>
      </c>
      <c r="C438" s="38" t="s">
        <v>220</v>
      </c>
      <c r="D438" s="39" t="s">
        <v>180</v>
      </c>
      <c r="E438" s="39" t="s">
        <v>177</v>
      </c>
      <c r="F438" s="38" t="s">
        <v>124</v>
      </c>
      <c r="G438" s="38" t="s">
        <v>130</v>
      </c>
      <c r="H438" s="44">
        <v>54720</v>
      </c>
      <c r="I438" s="44"/>
      <c r="J438" s="44"/>
      <c r="K438" s="44"/>
      <c r="L438" s="44"/>
      <c r="M438" s="44"/>
      <c r="N438" s="44">
        <v>10080</v>
      </c>
      <c r="O438" s="44"/>
      <c r="P438" s="44">
        <v>10080</v>
      </c>
      <c r="Q438" s="44"/>
      <c r="R438" s="44">
        <v>10080</v>
      </c>
      <c r="S438" s="44"/>
      <c r="T438" s="44">
        <v>10080</v>
      </c>
      <c r="U438" s="44"/>
      <c r="V438" s="44">
        <v>7200</v>
      </c>
      <c r="W438" s="44">
        <v>7200</v>
      </c>
      <c r="X438" s="44"/>
      <c r="Y438" s="44"/>
      <c r="Z438" s="44"/>
      <c r="AA438" s="44"/>
      <c r="AB438" s="44"/>
      <c r="AC438" s="44"/>
      <c r="AD438" s="44"/>
      <c r="AE438" s="44"/>
      <c r="AF438" s="44"/>
    </row>
    <row r="439" spans="1:32" x14ac:dyDescent="0.3">
      <c r="A439" s="38" t="s">
        <v>223</v>
      </c>
      <c r="B439" s="38" t="s">
        <v>174</v>
      </c>
      <c r="C439" s="38" t="s">
        <v>220</v>
      </c>
      <c r="D439" s="39" t="s">
        <v>180</v>
      </c>
      <c r="E439" s="39" t="s">
        <v>177</v>
      </c>
      <c r="F439" s="38" t="s">
        <v>137</v>
      </c>
      <c r="G439" s="38" t="s">
        <v>130</v>
      </c>
      <c r="H439" s="44">
        <f>SUM(I439:AF439)</f>
        <v>0</v>
      </c>
      <c r="I439" s="44"/>
      <c r="J439" s="44"/>
      <c r="K439" s="44"/>
      <c r="L439" s="44"/>
      <c r="M439" s="44"/>
      <c r="N439" s="44"/>
      <c r="O439" s="44"/>
      <c r="P439" s="44"/>
      <c r="Q439" s="44"/>
      <c r="R439" s="44"/>
      <c r="S439" s="44"/>
      <c r="T439" s="44"/>
      <c r="U439" s="44"/>
      <c r="V439" s="44"/>
      <c r="W439" s="44"/>
      <c r="X439" s="44"/>
      <c r="Y439" s="44"/>
      <c r="Z439" s="44"/>
      <c r="AA439" s="44"/>
      <c r="AB439" s="44"/>
      <c r="AC439" s="44"/>
      <c r="AD439" s="44"/>
      <c r="AE439" s="44"/>
      <c r="AF439" s="44"/>
    </row>
    <row r="440" spans="1:32" x14ac:dyDescent="0.3">
      <c r="A440" s="38" t="s">
        <v>223</v>
      </c>
      <c r="B440" s="38" t="s">
        <v>174</v>
      </c>
      <c r="C440" s="38" t="s">
        <v>220</v>
      </c>
      <c r="D440" s="39" t="s">
        <v>180</v>
      </c>
      <c r="E440" s="39" t="s">
        <v>177</v>
      </c>
      <c r="F440" s="38" t="s">
        <v>138</v>
      </c>
      <c r="G440" s="38" t="s">
        <v>130</v>
      </c>
      <c r="H440" s="44">
        <f>SUM(I440:AF440)</f>
        <v>0</v>
      </c>
      <c r="I440" s="44"/>
      <c r="J440" s="44"/>
      <c r="K440" s="44"/>
      <c r="L440" s="44"/>
      <c r="M440" s="44"/>
      <c r="N440" s="44"/>
      <c r="O440" s="44"/>
      <c r="P440" s="44"/>
      <c r="Q440" s="44"/>
      <c r="R440" s="44"/>
      <c r="S440" s="44"/>
      <c r="T440" s="44"/>
      <c r="U440" s="44"/>
      <c r="V440" s="44"/>
      <c r="W440" s="44"/>
      <c r="X440" s="44"/>
      <c r="Y440" s="44"/>
      <c r="Z440" s="44"/>
      <c r="AA440" s="44"/>
      <c r="AB440" s="44"/>
      <c r="AC440" s="44"/>
      <c r="AD440" s="44"/>
      <c r="AE440" s="44"/>
      <c r="AF440" s="44"/>
    </row>
    <row r="441" spans="1:32" x14ac:dyDescent="0.3">
      <c r="A441" s="38" t="s">
        <v>223</v>
      </c>
      <c r="B441" s="38" t="s">
        <v>174</v>
      </c>
      <c r="C441" s="38" t="s">
        <v>220</v>
      </c>
      <c r="D441" s="39" t="s">
        <v>180</v>
      </c>
      <c r="E441" s="39" t="s">
        <v>177</v>
      </c>
      <c r="F441" s="38" t="s">
        <v>139</v>
      </c>
      <c r="G441" s="38" t="s">
        <v>130</v>
      </c>
      <c r="H441" s="44">
        <v>54720</v>
      </c>
      <c r="I441" s="44"/>
      <c r="J441" s="44"/>
      <c r="K441" s="44"/>
      <c r="L441" s="44"/>
      <c r="M441" s="44"/>
      <c r="N441" s="44">
        <v>10080</v>
      </c>
      <c r="O441" s="44"/>
      <c r="P441" s="44">
        <v>10080</v>
      </c>
      <c r="Q441" s="44"/>
      <c r="R441" s="44">
        <v>10080</v>
      </c>
      <c r="S441" s="44"/>
      <c r="T441" s="44">
        <v>10080</v>
      </c>
      <c r="U441" s="44"/>
      <c r="V441" s="44">
        <v>7200</v>
      </c>
      <c r="W441" s="44">
        <v>7200</v>
      </c>
      <c r="X441" s="44"/>
      <c r="Y441" s="44"/>
      <c r="Z441" s="44"/>
      <c r="AA441" s="44"/>
      <c r="AB441" s="44"/>
      <c r="AC441" s="44"/>
      <c r="AD441" s="44"/>
      <c r="AE441" s="44"/>
      <c r="AF441" s="44"/>
    </row>
    <row r="442" spans="1:32" x14ac:dyDescent="0.3">
      <c r="A442" s="38" t="s">
        <v>223</v>
      </c>
      <c r="B442" s="38" t="s">
        <v>174</v>
      </c>
      <c r="C442" s="38" t="s">
        <v>220</v>
      </c>
      <c r="D442" s="39" t="s">
        <v>180</v>
      </c>
      <c r="E442" s="39" t="s">
        <v>177</v>
      </c>
      <c r="F442" s="38" t="s">
        <v>140</v>
      </c>
      <c r="G442" s="38" t="s">
        <v>130</v>
      </c>
      <c r="H442" s="44"/>
      <c r="I442" s="44">
        <f>I437-(I432+I431)+(I436+I435+I434+I433)</f>
        <v>23106.25</v>
      </c>
      <c r="J442" s="44">
        <f t="shared" ref="J442:AF442" si="100">I442+J437-J432</f>
        <v>17766.5</v>
      </c>
      <c r="K442" s="44">
        <f t="shared" si="100"/>
        <v>12300</v>
      </c>
      <c r="L442" s="44">
        <f t="shared" si="100"/>
        <v>5423.5</v>
      </c>
      <c r="M442" s="44">
        <f t="shared" si="100"/>
        <v>-2032.5</v>
      </c>
      <c r="N442" s="44">
        <f t="shared" si="100"/>
        <v>1256</v>
      </c>
      <c r="O442" s="44">
        <f t="shared" si="100"/>
        <v>-4776</v>
      </c>
      <c r="P442" s="44">
        <f t="shared" si="100"/>
        <v>-53.75</v>
      </c>
      <c r="Q442" s="44">
        <f t="shared" si="100"/>
        <v>-6426.75</v>
      </c>
      <c r="R442" s="44">
        <f t="shared" si="100"/>
        <v>-1503.5</v>
      </c>
      <c r="S442" s="44">
        <f t="shared" si="100"/>
        <v>-7215.25</v>
      </c>
      <c r="T442" s="44">
        <f t="shared" si="100"/>
        <v>-2027.75</v>
      </c>
      <c r="U442" s="44">
        <f t="shared" si="100"/>
        <v>-7310.5</v>
      </c>
      <c r="V442" s="44">
        <f t="shared" si="100"/>
        <v>-4835.25</v>
      </c>
      <c r="W442" s="44">
        <f t="shared" si="100"/>
        <v>-4448</v>
      </c>
      <c r="X442" s="44">
        <f t="shared" si="100"/>
        <v>-10836.75</v>
      </c>
      <c r="Y442" s="44">
        <f t="shared" si="100"/>
        <v>-17311.25</v>
      </c>
      <c r="Z442" s="44">
        <f t="shared" si="100"/>
        <v>-24014.5</v>
      </c>
      <c r="AA442" s="44">
        <f t="shared" si="100"/>
        <v>-31035.25</v>
      </c>
      <c r="AB442" s="44">
        <f t="shared" si="100"/>
        <v>-37840.75</v>
      </c>
      <c r="AC442" s="44">
        <f t="shared" si="100"/>
        <v>-44541.25</v>
      </c>
      <c r="AD442" s="44">
        <f t="shared" si="100"/>
        <v>-50946</v>
      </c>
      <c r="AE442" s="44">
        <f t="shared" si="100"/>
        <v>-57027.75</v>
      </c>
      <c r="AF442" s="44">
        <f t="shared" si="100"/>
        <v>-63109.5</v>
      </c>
    </row>
    <row r="443" spans="1:32" ht="15" thickBot="1" x14ac:dyDescent="0.35">
      <c r="A443" s="40" t="s">
        <v>223</v>
      </c>
      <c r="B443" s="40" t="s">
        <v>174</v>
      </c>
      <c r="C443" s="40" t="s">
        <v>220</v>
      </c>
      <c r="D443" s="41" t="s">
        <v>180</v>
      </c>
      <c r="E443" s="41" t="s">
        <v>177</v>
      </c>
      <c r="F443" s="40" t="s">
        <v>141</v>
      </c>
      <c r="G443" s="40" t="s">
        <v>130</v>
      </c>
      <c r="H443" s="45"/>
      <c r="I443" s="45">
        <f>I437-I441</f>
        <v>0</v>
      </c>
      <c r="J443" s="45">
        <f t="shared" ref="J443:AF443" si="101">I443+J437-J441</f>
        <v>0</v>
      </c>
      <c r="K443" s="45">
        <f t="shared" si="101"/>
        <v>0</v>
      </c>
      <c r="L443" s="45">
        <f t="shared" si="101"/>
        <v>0</v>
      </c>
      <c r="M443" s="45">
        <f t="shared" si="101"/>
        <v>0</v>
      </c>
      <c r="N443" s="45">
        <f t="shared" si="101"/>
        <v>0</v>
      </c>
      <c r="O443" s="45">
        <f t="shared" si="101"/>
        <v>0</v>
      </c>
      <c r="P443" s="45">
        <f t="shared" si="101"/>
        <v>0</v>
      </c>
      <c r="Q443" s="45">
        <f t="shared" si="101"/>
        <v>0</v>
      </c>
      <c r="R443" s="45">
        <f t="shared" si="101"/>
        <v>0</v>
      </c>
      <c r="S443" s="45">
        <f t="shared" si="101"/>
        <v>0</v>
      </c>
      <c r="T443" s="45">
        <f t="shared" si="101"/>
        <v>0</v>
      </c>
      <c r="U443" s="45">
        <f t="shared" si="101"/>
        <v>0</v>
      </c>
      <c r="V443" s="45">
        <f t="shared" si="101"/>
        <v>0</v>
      </c>
      <c r="W443" s="45">
        <f t="shared" si="101"/>
        <v>0</v>
      </c>
      <c r="X443" s="45">
        <f t="shared" si="101"/>
        <v>0</v>
      </c>
      <c r="Y443" s="45">
        <f t="shared" si="101"/>
        <v>0</v>
      </c>
      <c r="Z443" s="45">
        <f t="shared" si="101"/>
        <v>0</v>
      </c>
      <c r="AA443" s="45">
        <f t="shared" si="101"/>
        <v>0</v>
      </c>
      <c r="AB443" s="45">
        <f t="shared" si="101"/>
        <v>0</v>
      </c>
      <c r="AC443" s="45">
        <f t="shared" si="101"/>
        <v>0</v>
      </c>
      <c r="AD443" s="45">
        <f t="shared" si="101"/>
        <v>0</v>
      </c>
      <c r="AE443" s="45">
        <f t="shared" si="101"/>
        <v>0</v>
      </c>
      <c r="AF443" s="45">
        <f t="shared" si="101"/>
        <v>0</v>
      </c>
    </row>
    <row r="444" spans="1:32" x14ac:dyDescent="0.3">
      <c r="A444" s="38" t="s">
        <v>224</v>
      </c>
      <c r="B444" s="38" t="s">
        <v>174</v>
      </c>
      <c r="C444" s="38" t="s">
        <v>220</v>
      </c>
      <c r="D444" s="39" t="s">
        <v>176</v>
      </c>
      <c r="E444" s="39" t="s">
        <v>177</v>
      </c>
      <c r="F444" s="38" t="s">
        <v>129</v>
      </c>
      <c r="G444" s="38" t="s">
        <v>130</v>
      </c>
      <c r="H444" s="44">
        <v>10954</v>
      </c>
      <c r="I444" s="44">
        <v>10954</v>
      </c>
      <c r="J444" s="44"/>
      <c r="K444" s="44"/>
      <c r="L444" s="44"/>
      <c r="M444" s="44"/>
      <c r="N444" s="44"/>
      <c r="O444" s="44"/>
      <c r="P444" s="44"/>
      <c r="Q444" s="44"/>
      <c r="R444" s="44"/>
      <c r="S444" s="44"/>
      <c r="T444" s="44"/>
      <c r="U444" s="44"/>
      <c r="V444" s="44"/>
      <c r="W444" s="44"/>
      <c r="X444" s="44"/>
      <c r="Y444" s="44"/>
      <c r="Z444" s="44"/>
      <c r="AA444" s="44"/>
      <c r="AB444" s="44"/>
      <c r="AC444" s="44"/>
      <c r="AD444" s="44"/>
      <c r="AE444" s="44"/>
      <c r="AF444" s="44"/>
    </row>
    <row r="445" spans="1:32" x14ac:dyDescent="0.3">
      <c r="A445" s="38" t="s">
        <v>224</v>
      </c>
      <c r="B445" s="38" t="s">
        <v>174</v>
      </c>
      <c r="C445" s="38" t="s">
        <v>220</v>
      </c>
      <c r="D445" s="39" t="s">
        <v>176</v>
      </c>
      <c r="E445" s="39" t="s">
        <v>177</v>
      </c>
      <c r="F445" s="38" t="s">
        <v>131</v>
      </c>
      <c r="G445" s="38" t="s">
        <v>130</v>
      </c>
      <c r="H445" s="44">
        <v>31658.5</v>
      </c>
      <c r="I445" s="44">
        <v>1682.75</v>
      </c>
      <c r="J445" s="44">
        <v>1374.75</v>
      </c>
      <c r="K445" s="44">
        <v>1023.5</v>
      </c>
      <c r="L445" s="44">
        <v>1199.5</v>
      </c>
      <c r="M445" s="44">
        <v>1281</v>
      </c>
      <c r="N445" s="44">
        <v>1546.5</v>
      </c>
      <c r="O445" s="44">
        <v>1235</v>
      </c>
      <c r="P445" s="44">
        <v>1234.75</v>
      </c>
      <c r="Q445" s="44">
        <v>1314</v>
      </c>
      <c r="R445" s="44">
        <v>1374.75</v>
      </c>
      <c r="S445" s="44">
        <v>1373.75</v>
      </c>
      <c r="T445" s="44">
        <v>1373.5</v>
      </c>
      <c r="U445" s="44">
        <v>1390.75</v>
      </c>
      <c r="V445" s="44">
        <v>1486.75</v>
      </c>
      <c r="W445" s="44">
        <v>1486.75</v>
      </c>
      <c r="X445" s="44">
        <v>1486.75</v>
      </c>
      <c r="Y445" s="44">
        <v>1486.5</v>
      </c>
      <c r="Z445" s="44">
        <v>1379.25</v>
      </c>
      <c r="AA445" s="44">
        <v>1337.75</v>
      </c>
      <c r="AB445" s="44">
        <v>1337.5</v>
      </c>
      <c r="AC445" s="44">
        <v>1337.5</v>
      </c>
      <c r="AD445" s="44">
        <v>1048.75</v>
      </c>
      <c r="AE445" s="44">
        <v>933.75</v>
      </c>
      <c r="AF445" s="44">
        <v>932.75</v>
      </c>
    </row>
    <row r="446" spans="1:32" x14ac:dyDescent="0.3">
      <c r="A446" s="38" t="s">
        <v>224</v>
      </c>
      <c r="B446" s="38" t="s">
        <v>174</v>
      </c>
      <c r="C446" s="38" t="s">
        <v>220</v>
      </c>
      <c r="D446" s="39" t="s">
        <v>176</v>
      </c>
      <c r="E446" s="39" t="s">
        <v>177</v>
      </c>
      <c r="F446" s="38" t="s">
        <v>132</v>
      </c>
      <c r="G446" s="38" t="s">
        <v>130</v>
      </c>
      <c r="H446" s="44">
        <v>41900</v>
      </c>
      <c r="I446" s="44">
        <v>41900</v>
      </c>
      <c r="J446" s="44"/>
      <c r="K446" s="44"/>
      <c r="L446" s="44"/>
      <c r="M446" s="44"/>
      <c r="N446" s="44"/>
      <c r="O446" s="44"/>
      <c r="P446" s="44"/>
      <c r="Q446" s="44"/>
      <c r="R446" s="44"/>
      <c r="S446" s="44"/>
      <c r="T446" s="44"/>
      <c r="U446" s="44"/>
      <c r="V446" s="44"/>
      <c r="W446" s="44"/>
      <c r="X446" s="44"/>
      <c r="Y446" s="44"/>
      <c r="Z446" s="44"/>
      <c r="AA446" s="44"/>
      <c r="AB446" s="44"/>
      <c r="AC446" s="44"/>
      <c r="AD446" s="44"/>
      <c r="AE446" s="44"/>
      <c r="AF446" s="44"/>
    </row>
    <row r="447" spans="1:32" x14ac:dyDescent="0.3">
      <c r="A447" s="38" t="s">
        <v>224</v>
      </c>
      <c r="B447" s="38" t="s">
        <v>174</v>
      </c>
      <c r="C447" s="38" t="s">
        <v>220</v>
      </c>
      <c r="D447" s="39" t="s">
        <v>176</v>
      </c>
      <c r="E447" s="39" t="s">
        <v>177</v>
      </c>
      <c r="F447" s="38" t="s">
        <v>133</v>
      </c>
      <c r="G447" s="38" t="s">
        <v>130</v>
      </c>
      <c r="H447" s="44">
        <v>0</v>
      </c>
      <c r="I447" s="44">
        <v>0</v>
      </c>
      <c r="J447" s="44"/>
      <c r="K447" s="44"/>
      <c r="L447" s="44"/>
      <c r="M447" s="44"/>
      <c r="N447" s="44"/>
      <c r="O447" s="44"/>
      <c r="P447" s="44"/>
      <c r="Q447" s="44"/>
      <c r="R447" s="44"/>
      <c r="S447" s="44"/>
      <c r="T447" s="44"/>
      <c r="U447" s="44"/>
      <c r="V447" s="44"/>
      <c r="W447" s="44"/>
      <c r="X447" s="44"/>
      <c r="Y447" s="44"/>
      <c r="Z447" s="44"/>
      <c r="AA447" s="44"/>
      <c r="AB447" s="44"/>
      <c r="AC447" s="44"/>
      <c r="AD447" s="44"/>
      <c r="AE447" s="44"/>
      <c r="AF447" s="44"/>
    </row>
    <row r="448" spans="1:32" x14ac:dyDescent="0.3">
      <c r="A448" s="38" t="s">
        <v>224</v>
      </c>
      <c r="B448" s="38" t="s">
        <v>174</v>
      </c>
      <c r="C448" s="38" t="s">
        <v>220</v>
      </c>
      <c r="D448" s="39" t="s">
        <v>176</v>
      </c>
      <c r="E448" s="39" t="s">
        <v>177</v>
      </c>
      <c r="F448" s="38" t="s">
        <v>134</v>
      </c>
      <c r="G448" s="38" t="s">
        <v>130</v>
      </c>
      <c r="H448" s="44">
        <v>0</v>
      </c>
      <c r="I448" s="44">
        <v>0</v>
      </c>
      <c r="J448" s="44"/>
      <c r="K448" s="44"/>
      <c r="L448" s="44"/>
      <c r="M448" s="44"/>
      <c r="N448" s="44"/>
      <c r="O448" s="44"/>
      <c r="P448" s="44"/>
      <c r="Q448" s="44"/>
      <c r="R448" s="44"/>
      <c r="S448" s="44"/>
      <c r="T448" s="44"/>
      <c r="U448" s="44"/>
      <c r="V448" s="44"/>
      <c r="W448" s="44"/>
      <c r="X448" s="44"/>
      <c r="Y448" s="44"/>
      <c r="Z448" s="44"/>
      <c r="AA448" s="44"/>
      <c r="AB448" s="44"/>
      <c r="AC448" s="44"/>
      <c r="AD448" s="44"/>
      <c r="AE448" s="44"/>
      <c r="AF448" s="44"/>
    </row>
    <row r="449" spans="1:32" x14ac:dyDescent="0.3">
      <c r="A449" s="38" t="s">
        <v>224</v>
      </c>
      <c r="B449" s="38" t="s">
        <v>174</v>
      </c>
      <c r="C449" s="38" t="s">
        <v>220</v>
      </c>
      <c r="D449" s="39" t="s">
        <v>176</v>
      </c>
      <c r="E449" s="39" t="s">
        <v>177</v>
      </c>
      <c r="F449" s="38" t="s">
        <v>135</v>
      </c>
      <c r="G449" s="38" t="s">
        <v>130</v>
      </c>
      <c r="H449" s="44"/>
      <c r="I449" s="44"/>
      <c r="J449" s="44"/>
      <c r="K449" s="44"/>
      <c r="L449" s="44"/>
      <c r="M449" s="44"/>
      <c r="N449" s="44"/>
      <c r="O449" s="44"/>
      <c r="P449" s="44"/>
      <c r="Q449" s="44"/>
      <c r="R449" s="44"/>
      <c r="S449" s="44"/>
      <c r="T449" s="44"/>
      <c r="U449" s="44"/>
      <c r="V449" s="44"/>
      <c r="W449" s="44"/>
      <c r="X449" s="44"/>
      <c r="Y449" s="44"/>
      <c r="Z449" s="44"/>
      <c r="AA449" s="44"/>
      <c r="AB449" s="44"/>
      <c r="AC449" s="44"/>
      <c r="AD449" s="44"/>
      <c r="AE449" s="44"/>
      <c r="AF449" s="44"/>
    </row>
    <row r="450" spans="1:32" x14ac:dyDescent="0.3">
      <c r="A450" s="38" t="s">
        <v>224</v>
      </c>
      <c r="B450" s="38" t="s">
        <v>174</v>
      </c>
      <c r="C450" s="38" t="s">
        <v>220</v>
      </c>
      <c r="D450" s="39" t="s">
        <v>176</v>
      </c>
      <c r="E450" s="39" t="s">
        <v>177</v>
      </c>
      <c r="F450" s="38" t="s">
        <v>136</v>
      </c>
      <c r="G450" s="38" t="s">
        <v>130</v>
      </c>
      <c r="H450" s="44">
        <f>SUM(I450:AF450)</f>
        <v>0</v>
      </c>
      <c r="I450" s="44">
        <f t="shared" ref="I450:AF450" si="102">IF(AND(ISBLANK(I453) = TRUE,ISBLANK(I452) = TRUE),I451,I452+I453)</f>
        <v>0</v>
      </c>
      <c r="J450" s="44">
        <f t="shared" si="102"/>
        <v>0</v>
      </c>
      <c r="K450" s="44">
        <f t="shared" si="102"/>
        <v>0</v>
      </c>
      <c r="L450" s="44">
        <f t="shared" si="102"/>
        <v>0</v>
      </c>
      <c r="M450" s="44">
        <f t="shared" si="102"/>
        <v>0</v>
      </c>
      <c r="N450" s="44">
        <f t="shared" si="102"/>
        <v>0</v>
      </c>
      <c r="O450" s="44">
        <f t="shared" si="102"/>
        <v>0</v>
      </c>
      <c r="P450" s="44">
        <f t="shared" si="102"/>
        <v>0</v>
      </c>
      <c r="Q450" s="44">
        <f t="shared" si="102"/>
        <v>0</v>
      </c>
      <c r="R450" s="44">
        <f t="shared" si="102"/>
        <v>0</v>
      </c>
      <c r="S450" s="44">
        <f t="shared" si="102"/>
        <v>0</v>
      </c>
      <c r="T450" s="44">
        <f t="shared" si="102"/>
        <v>0</v>
      </c>
      <c r="U450" s="44">
        <f t="shared" si="102"/>
        <v>0</v>
      </c>
      <c r="V450" s="44">
        <f t="shared" si="102"/>
        <v>0</v>
      </c>
      <c r="W450" s="44">
        <f t="shared" si="102"/>
        <v>0</v>
      </c>
      <c r="X450" s="44">
        <f t="shared" si="102"/>
        <v>0</v>
      </c>
      <c r="Y450" s="44">
        <f t="shared" si="102"/>
        <v>0</v>
      </c>
      <c r="Z450" s="44">
        <f t="shared" si="102"/>
        <v>0</v>
      </c>
      <c r="AA450" s="44">
        <f t="shared" si="102"/>
        <v>0</v>
      </c>
      <c r="AB450" s="44">
        <f t="shared" si="102"/>
        <v>0</v>
      </c>
      <c r="AC450" s="44">
        <f t="shared" si="102"/>
        <v>0</v>
      </c>
      <c r="AD450" s="44">
        <f t="shared" si="102"/>
        <v>0</v>
      </c>
      <c r="AE450" s="44">
        <f t="shared" si="102"/>
        <v>0</v>
      </c>
      <c r="AF450" s="44">
        <f t="shared" si="102"/>
        <v>0</v>
      </c>
    </row>
    <row r="451" spans="1:32" x14ac:dyDescent="0.3">
      <c r="A451" s="38" t="s">
        <v>224</v>
      </c>
      <c r="B451" s="38" t="s">
        <v>174</v>
      </c>
      <c r="C451" s="38" t="s">
        <v>220</v>
      </c>
      <c r="D451" s="39" t="s">
        <v>176</v>
      </c>
      <c r="E451" s="39" t="s">
        <v>177</v>
      </c>
      <c r="F451" s="38" t="s">
        <v>124</v>
      </c>
      <c r="G451" s="38" t="s">
        <v>130</v>
      </c>
      <c r="H451" s="44"/>
      <c r="I451" s="44"/>
      <c r="J451" s="44"/>
      <c r="K451" s="44"/>
      <c r="L451" s="44"/>
      <c r="M451" s="44"/>
      <c r="N451" s="44"/>
      <c r="O451" s="44"/>
      <c r="P451" s="44"/>
      <c r="Q451" s="44"/>
      <c r="R451" s="44"/>
      <c r="S451" s="44"/>
      <c r="T451" s="44"/>
      <c r="U451" s="44"/>
      <c r="V451" s="44"/>
      <c r="W451" s="44"/>
      <c r="X451" s="44"/>
      <c r="Y451" s="44"/>
      <c r="Z451" s="44"/>
      <c r="AA451" s="44"/>
      <c r="AB451" s="44"/>
      <c r="AC451" s="44"/>
      <c r="AD451" s="44"/>
      <c r="AE451" s="44"/>
      <c r="AF451" s="44"/>
    </row>
    <row r="452" spans="1:32" x14ac:dyDescent="0.3">
      <c r="A452" s="38" t="s">
        <v>224</v>
      </c>
      <c r="B452" s="38" t="s">
        <v>174</v>
      </c>
      <c r="C452" s="38" t="s">
        <v>220</v>
      </c>
      <c r="D452" s="39" t="s">
        <v>176</v>
      </c>
      <c r="E452" s="39" t="s">
        <v>177</v>
      </c>
      <c r="F452" s="38" t="s">
        <v>137</v>
      </c>
      <c r="G452" s="38" t="s">
        <v>130</v>
      </c>
      <c r="H452" s="44">
        <f>SUM(I452:AF452)</f>
        <v>0</v>
      </c>
      <c r="I452" s="44"/>
      <c r="J452" s="44"/>
      <c r="K452" s="44"/>
      <c r="L452" s="44"/>
      <c r="M452" s="44"/>
      <c r="N452" s="44"/>
      <c r="O452" s="44"/>
      <c r="P452" s="44"/>
      <c r="Q452" s="44"/>
      <c r="R452" s="44"/>
      <c r="S452" s="44"/>
      <c r="T452" s="44"/>
      <c r="U452" s="44"/>
      <c r="V452" s="44"/>
      <c r="W452" s="44"/>
      <c r="X452" s="44"/>
      <c r="Y452" s="44"/>
      <c r="Z452" s="44"/>
      <c r="AA452" s="44"/>
      <c r="AB452" s="44"/>
      <c r="AC452" s="44"/>
      <c r="AD452" s="44"/>
      <c r="AE452" s="44"/>
      <c r="AF452" s="44"/>
    </row>
    <row r="453" spans="1:32" x14ac:dyDescent="0.3">
      <c r="A453" s="38" t="s">
        <v>224</v>
      </c>
      <c r="B453" s="38" t="s">
        <v>174</v>
      </c>
      <c r="C453" s="38" t="s">
        <v>220</v>
      </c>
      <c r="D453" s="39" t="s">
        <v>176</v>
      </c>
      <c r="E453" s="39" t="s">
        <v>177</v>
      </c>
      <c r="F453" s="38" t="s">
        <v>138</v>
      </c>
      <c r="G453" s="38" t="s">
        <v>130</v>
      </c>
      <c r="H453" s="44">
        <f>SUM(I453:AF453)</f>
        <v>0</v>
      </c>
      <c r="I453" s="44"/>
      <c r="J453" s="44"/>
      <c r="K453" s="44"/>
      <c r="L453" s="44"/>
      <c r="M453" s="44"/>
      <c r="N453" s="44"/>
      <c r="O453" s="44"/>
      <c r="P453" s="44"/>
      <c r="Q453" s="44"/>
      <c r="R453" s="44"/>
      <c r="S453" s="44"/>
      <c r="T453" s="44"/>
      <c r="U453" s="44"/>
      <c r="V453" s="44"/>
      <c r="W453" s="44"/>
      <c r="X453" s="44"/>
      <c r="Y453" s="44"/>
      <c r="Z453" s="44"/>
      <c r="AA453" s="44"/>
      <c r="AB453" s="44"/>
      <c r="AC453" s="44"/>
      <c r="AD453" s="44"/>
      <c r="AE453" s="44"/>
      <c r="AF453" s="44"/>
    </row>
    <row r="454" spans="1:32" x14ac:dyDescent="0.3">
      <c r="A454" s="38" t="s">
        <v>224</v>
      </c>
      <c r="B454" s="38" t="s">
        <v>174</v>
      </c>
      <c r="C454" s="38" t="s">
        <v>220</v>
      </c>
      <c r="D454" s="39" t="s">
        <v>176</v>
      </c>
      <c r="E454" s="39" t="s">
        <v>177</v>
      </c>
      <c r="F454" s="38" t="s">
        <v>139</v>
      </c>
      <c r="G454" s="38" t="s">
        <v>130</v>
      </c>
      <c r="H454" s="44"/>
      <c r="I454" s="44"/>
      <c r="J454" s="44"/>
      <c r="K454" s="44"/>
      <c r="L454" s="44"/>
      <c r="M454" s="44"/>
      <c r="N454" s="44"/>
      <c r="O454" s="44"/>
      <c r="P454" s="44"/>
      <c r="Q454" s="44"/>
      <c r="R454" s="44"/>
      <c r="S454" s="44"/>
      <c r="T454" s="44"/>
      <c r="U454" s="44"/>
      <c r="V454" s="44"/>
      <c r="W454" s="44"/>
      <c r="X454" s="44"/>
      <c r="Y454" s="44"/>
      <c r="Z454" s="44"/>
      <c r="AA454" s="44"/>
      <c r="AB454" s="44"/>
      <c r="AC454" s="44"/>
      <c r="AD454" s="44"/>
      <c r="AE454" s="44"/>
      <c r="AF454" s="44"/>
    </row>
    <row r="455" spans="1:32" x14ac:dyDescent="0.3">
      <c r="A455" s="38" t="s">
        <v>224</v>
      </c>
      <c r="B455" s="38" t="s">
        <v>174</v>
      </c>
      <c r="C455" s="38" t="s">
        <v>220</v>
      </c>
      <c r="D455" s="39" t="s">
        <v>176</v>
      </c>
      <c r="E455" s="39" t="s">
        <v>177</v>
      </c>
      <c r="F455" s="38" t="s">
        <v>140</v>
      </c>
      <c r="G455" s="38" t="s">
        <v>130</v>
      </c>
      <c r="H455" s="44"/>
      <c r="I455" s="44">
        <f>I450-(I445+I444)+(I449+I448+I447+I446)</f>
        <v>29263.25</v>
      </c>
      <c r="J455" s="44">
        <f t="shared" ref="J455:AF455" si="103">I455+J450-J445</f>
        <v>27888.5</v>
      </c>
      <c r="K455" s="44">
        <f t="shared" si="103"/>
        <v>26865</v>
      </c>
      <c r="L455" s="44">
        <f t="shared" si="103"/>
        <v>25665.5</v>
      </c>
      <c r="M455" s="44">
        <f t="shared" si="103"/>
        <v>24384.5</v>
      </c>
      <c r="N455" s="44">
        <f t="shared" si="103"/>
        <v>22838</v>
      </c>
      <c r="O455" s="44">
        <f t="shared" si="103"/>
        <v>21603</v>
      </c>
      <c r="P455" s="44">
        <f t="shared" si="103"/>
        <v>20368.25</v>
      </c>
      <c r="Q455" s="44">
        <f t="shared" si="103"/>
        <v>19054.25</v>
      </c>
      <c r="R455" s="44">
        <f t="shared" si="103"/>
        <v>17679.5</v>
      </c>
      <c r="S455" s="44">
        <f t="shared" si="103"/>
        <v>16305.75</v>
      </c>
      <c r="T455" s="44">
        <f t="shared" si="103"/>
        <v>14932.25</v>
      </c>
      <c r="U455" s="44">
        <f t="shared" si="103"/>
        <v>13541.5</v>
      </c>
      <c r="V455" s="44">
        <f t="shared" si="103"/>
        <v>12054.75</v>
      </c>
      <c r="W455" s="44">
        <f t="shared" si="103"/>
        <v>10568</v>
      </c>
      <c r="X455" s="44">
        <f t="shared" si="103"/>
        <v>9081.25</v>
      </c>
      <c r="Y455" s="44">
        <f t="shared" si="103"/>
        <v>7594.75</v>
      </c>
      <c r="Z455" s="44">
        <f t="shared" si="103"/>
        <v>6215.5</v>
      </c>
      <c r="AA455" s="44">
        <f t="shared" si="103"/>
        <v>4877.75</v>
      </c>
      <c r="AB455" s="44">
        <f t="shared" si="103"/>
        <v>3540.25</v>
      </c>
      <c r="AC455" s="44">
        <f t="shared" si="103"/>
        <v>2202.75</v>
      </c>
      <c r="AD455" s="44">
        <f t="shared" si="103"/>
        <v>1154</v>
      </c>
      <c r="AE455" s="44">
        <f t="shared" si="103"/>
        <v>220.25</v>
      </c>
      <c r="AF455" s="44">
        <f t="shared" si="103"/>
        <v>-712.5</v>
      </c>
    </row>
    <row r="456" spans="1:32" ht="15" thickBot="1" x14ac:dyDescent="0.35">
      <c r="A456" s="40" t="s">
        <v>224</v>
      </c>
      <c r="B456" s="40" t="s">
        <v>174</v>
      </c>
      <c r="C456" s="40" t="s">
        <v>220</v>
      </c>
      <c r="D456" s="41" t="s">
        <v>176</v>
      </c>
      <c r="E456" s="41" t="s">
        <v>177</v>
      </c>
      <c r="F456" s="40" t="s">
        <v>141</v>
      </c>
      <c r="G456" s="40" t="s">
        <v>130</v>
      </c>
      <c r="H456" s="45"/>
      <c r="I456" s="45">
        <f>I450-I454</f>
        <v>0</v>
      </c>
      <c r="J456" s="45">
        <f t="shared" ref="J456:AF456" si="104">I456+J450-J454</f>
        <v>0</v>
      </c>
      <c r="K456" s="45">
        <f t="shared" si="104"/>
        <v>0</v>
      </c>
      <c r="L456" s="45">
        <f t="shared" si="104"/>
        <v>0</v>
      </c>
      <c r="M456" s="45">
        <f t="shared" si="104"/>
        <v>0</v>
      </c>
      <c r="N456" s="45">
        <f t="shared" si="104"/>
        <v>0</v>
      </c>
      <c r="O456" s="45">
        <f t="shared" si="104"/>
        <v>0</v>
      </c>
      <c r="P456" s="45">
        <f t="shared" si="104"/>
        <v>0</v>
      </c>
      <c r="Q456" s="45">
        <f t="shared" si="104"/>
        <v>0</v>
      </c>
      <c r="R456" s="45">
        <f t="shared" si="104"/>
        <v>0</v>
      </c>
      <c r="S456" s="45">
        <f t="shared" si="104"/>
        <v>0</v>
      </c>
      <c r="T456" s="45">
        <f t="shared" si="104"/>
        <v>0</v>
      </c>
      <c r="U456" s="45">
        <f t="shared" si="104"/>
        <v>0</v>
      </c>
      <c r="V456" s="45">
        <f t="shared" si="104"/>
        <v>0</v>
      </c>
      <c r="W456" s="45">
        <f t="shared" si="104"/>
        <v>0</v>
      </c>
      <c r="X456" s="45">
        <f t="shared" si="104"/>
        <v>0</v>
      </c>
      <c r="Y456" s="45">
        <f t="shared" si="104"/>
        <v>0</v>
      </c>
      <c r="Z456" s="45">
        <f t="shared" si="104"/>
        <v>0</v>
      </c>
      <c r="AA456" s="45">
        <f t="shared" si="104"/>
        <v>0</v>
      </c>
      <c r="AB456" s="45">
        <f t="shared" si="104"/>
        <v>0</v>
      </c>
      <c r="AC456" s="45">
        <f t="shared" si="104"/>
        <v>0</v>
      </c>
      <c r="AD456" s="45">
        <f t="shared" si="104"/>
        <v>0</v>
      </c>
      <c r="AE456" s="45">
        <f t="shared" si="104"/>
        <v>0</v>
      </c>
      <c r="AF456" s="45">
        <f t="shared" si="104"/>
        <v>0</v>
      </c>
    </row>
    <row r="457" spans="1:32" x14ac:dyDescent="0.3">
      <c r="A457" s="38" t="s">
        <v>225</v>
      </c>
      <c r="B457" s="38" t="s">
        <v>174</v>
      </c>
      <c r="C457" s="38" t="s">
        <v>226</v>
      </c>
      <c r="D457" s="39" t="s">
        <v>198</v>
      </c>
      <c r="E457" s="39" t="s">
        <v>177</v>
      </c>
      <c r="F457" s="38" t="s">
        <v>129</v>
      </c>
      <c r="G457" s="38" t="s">
        <v>130</v>
      </c>
      <c r="H457" s="44">
        <v>8185.5</v>
      </c>
      <c r="I457" s="44">
        <v>8185.5</v>
      </c>
      <c r="J457" s="44"/>
      <c r="K457" s="44"/>
      <c r="L457" s="44"/>
      <c r="M457" s="44"/>
      <c r="N457" s="44"/>
      <c r="O457" s="44"/>
      <c r="P457" s="44"/>
      <c r="Q457" s="44"/>
      <c r="R457" s="44"/>
      <c r="S457" s="44"/>
      <c r="T457" s="44"/>
      <c r="U457" s="44"/>
      <c r="V457" s="44"/>
      <c r="W457" s="44"/>
      <c r="X457" s="44"/>
      <c r="Y457" s="44"/>
      <c r="Z457" s="44"/>
      <c r="AA457" s="44"/>
      <c r="AB457" s="44"/>
      <c r="AC457" s="44"/>
      <c r="AD457" s="44"/>
      <c r="AE457" s="44"/>
      <c r="AF457" s="44"/>
    </row>
    <row r="458" spans="1:32" x14ac:dyDescent="0.3">
      <c r="A458" s="38" t="s">
        <v>225</v>
      </c>
      <c r="B458" s="38" t="s">
        <v>174</v>
      </c>
      <c r="C458" s="38" t="s">
        <v>226</v>
      </c>
      <c r="D458" s="39" t="s">
        <v>198</v>
      </c>
      <c r="E458" s="39" t="s">
        <v>177</v>
      </c>
      <c r="F458" s="38" t="s">
        <v>131</v>
      </c>
      <c r="G458" s="38" t="s">
        <v>130</v>
      </c>
      <c r="H458" s="44">
        <v>30775.5</v>
      </c>
      <c r="I458" s="44">
        <v>1520</v>
      </c>
      <c r="J458" s="44">
        <v>1097</v>
      </c>
      <c r="K458" s="44">
        <v>958</v>
      </c>
      <c r="L458" s="44">
        <v>958</v>
      </c>
      <c r="M458" s="44">
        <v>1209</v>
      </c>
      <c r="N458" s="44">
        <v>1252.5</v>
      </c>
      <c r="O458" s="44">
        <v>1247.5</v>
      </c>
      <c r="P458" s="44">
        <v>1246</v>
      </c>
      <c r="Q458" s="44">
        <v>1291</v>
      </c>
      <c r="R458" s="44">
        <v>1320.5</v>
      </c>
      <c r="S458" s="44">
        <v>1315.5</v>
      </c>
      <c r="T458" s="44">
        <v>1314.5</v>
      </c>
      <c r="U458" s="44">
        <v>1321.5</v>
      </c>
      <c r="V458" s="44">
        <v>1359.5</v>
      </c>
      <c r="W458" s="44">
        <v>1356.5</v>
      </c>
      <c r="X458" s="44">
        <v>1355.5</v>
      </c>
      <c r="Y458" s="44">
        <v>1353.5</v>
      </c>
      <c r="Z458" s="44">
        <v>1397.5</v>
      </c>
      <c r="AA458" s="44">
        <v>1425.5</v>
      </c>
      <c r="AB458" s="44">
        <v>1426</v>
      </c>
      <c r="AC458" s="44">
        <v>1423</v>
      </c>
      <c r="AD458" s="44">
        <v>1250.5</v>
      </c>
      <c r="AE458" s="44">
        <v>1191.5</v>
      </c>
      <c r="AF458" s="44">
        <v>1185.5</v>
      </c>
    </row>
    <row r="459" spans="1:32" x14ac:dyDescent="0.3">
      <c r="A459" s="38" t="s">
        <v>225</v>
      </c>
      <c r="B459" s="38" t="s">
        <v>174</v>
      </c>
      <c r="C459" s="38" t="s">
        <v>226</v>
      </c>
      <c r="D459" s="39" t="s">
        <v>198</v>
      </c>
      <c r="E459" s="39" t="s">
        <v>177</v>
      </c>
      <c r="F459" s="38" t="s">
        <v>132</v>
      </c>
      <c r="G459" s="38" t="s">
        <v>130</v>
      </c>
      <c r="H459" s="44">
        <v>12820</v>
      </c>
      <c r="I459" s="44">
        <v>12820</v>
      </c>
      <c r="J459" s="44"/>
      <c r="K459" s="44"/>
      <c r="L459" s="44"/>
      <c r="M459" s="44"/>
      <c r="N459" s="44"/>
      <c r="O459" s="44"/>
      <c r="P459" s="44"/>
      <c r="Q459" s="44"/>
      <c r="R459" s="44"/>
      <c r="S459" s="44"/>
      <c r="T459" s="44"/>
      <c r="U459" s="44"/>
      <c r="V459" s="44"/>
      <c r="W459" s="44"/>
      <c r="X459" s="44"/>
      <c r="Y459" s="44"/>
      <c r="Z459" s="44"/>
      <c r="AA459" s="44"/>
      <c r="AB459" s="44"/>
      <c r="AC459" s="44"/>
      <c r="AD459" s="44"/>
      <c r="AE459" s="44"/>
      <c r="AF459" s="44"/>
    </row>
    <row r="460" spans="1:32" x14ac:dyDescent="0.3">
      <c r="A460" s="38" t="s">
        <v>225</v>
      </c>
      <c r="B460" s="38" t="s">
        <v>174</v>
      </c>
      <c r="C460" s="38" t="s">
        <v>226</v>
      </c>
      <c r="D460" s="39" t="s">
        <v>198</v>
      </c>
      <c r="E460" s="39" t="s">
        <v>177</v>
      </c>
      <c r="F460" s="38" t="s">
        <v>133</v>
      </c>
      <c r="G460" s="38" t="s">
        <v>130</v>
      </c>
      <c r="H460" s="44">
        <v>0</v>
      </c>
      <c r="I460" s="44">
        <v>0</v>
      </c>
      <c r="J460" s="44"/>
      <c r="K460" s="44"/>
      <c r="L460" s="44"/>
      <c r="M460" s="44"/>
      <c r="N460" s="44"/>
      <c r="O460" s="44"/>
      <c r="P460" s="44"/>
      <c r="Q460" s="44"/>
      <c r="R460" s="44"/>
      <c r="S460" s="44"/>
      <c r="T460" s="44"/>
      <c r="U460" s="44"/>
      <c r="V460" s="44"/>
      <c r="W460" s="44"/>
      <c r="X460" s="44"/>
      <c r="Y460" s="44"/>
      <c r="Z460" s="44"/>
      <c r="AA460" s="44"/>
      <c r="AB460" s="44"/>
      <c r="AC460" s="44"/>
      <c r="AD460" s="44"/>
      <c r="AE460" s="44"/>
      <c r="AF460" s="44"/>
    </row>
    <row r="461" spans="1:32" x14ac:dyDescent="0.3">
      <c r="A461" s="38" t="s">
        <v>225</v>
      </c>
      <c r="B461" s="38" t="s">
        <v>174</v>
      </c>
      <c r="C461" s="38" t="s">
        <v>226</v>
      </c>
      <c r="D461" s="39" t="s">
        <v>198</v>
      </c>
      <c r="E461" s="39" t="s">
        <v>177</v>
      </c>
      <c r="F461" s="38" t="s">
        <v>134</v>
      </c>
      <c r="G461" s="38" t="s">
        <v>130</v>
      </c>
      <c r="H461" s="44">
        <v>1013</v>
      </c>
      <c r="I461" s="44">
        <v>1013</v>
      </c>
      <c r="J461" s="44"/>
      <c r="K461" s="44"/>
      <c r="L461" s="44"/>
      <c r="M461" s="44"/>
      <c r="N461" s="44"/>
      <c r="O461" s="44"/>
      <c r="P461" s="44"/>
      <c r="Q461" s="44"/>
      <c r="R461" s="44"/>
      <c r="S461" s="44"/>
      <c r="T461" s="44"/>
      <c r="U461" s="44"/>
      <c r="V461" s="44"/>
      <c r="W461" s="44"/>
      <c r="X461" s="44"/>
      <c r="Y461" s="44"/>
      <c r="Z461" s="44"/>
      <c r="AA461" s="44"/>
      <c r="AB461" s="44"/>
      <c r="AC461" s="44"/>
      <c r="AD461" s="44"/>
      <c r="AE461" s="44"/>
      <c r="AF461" s="44"/>
    </row>
    <row r="462" spans="1:32" x14ac:dyDescent="0.3">
      <c r="A462" s="38" t="s">
        <v>225</v>
      </c>
      <c r="B462" s="38" t="s">
        <v>174</v>
      </c>
      <c r="C462" s="38" t="s">
        <v>226</v>
      </c>
      <c r="D462" s="39" t="s">
        <v>198</v>
      </c>
      <c r="E462" s="39" t="s">
        <v>177</v>
      </c>
      <c r="F462" s="38" t="s">
        <v>135</v>
      </c>
      <c r="G462" s="38" t="s">
        <v>130</v>
      </c>
      <c r="H462" s="44"/>
      <c r="I462" s="44"/>
      <c r="J462" s="44"/>
      <c r="K462" s="44"/>
      <c r="L462" s="44"/>
      <c r="M462" s="44"/>
      <c r="N462" s="44"/>
      <c r="O462" s="44"/>
      <c r="P462" s="44"/>
      <c r="Q462" s="44"/>
      <c r="R462" s="44"/>
      <c r="S462" s="44"/>
      <c r="T462" s="44"/>
      <c r="U462" s="44"/>
      <c r="V462" s="44"/>
      <c r="W462" s="44"/>
      <c r="X462" s="44"/>
      <c r="Y462" s="44"/>
      <c r="Z462" s="44"/>
      <c r="AA462" s="44"/>
      <c r="AB462" s="44"/>
      <c r="AC462" s="44"/>
      <c r="AD462" s="44"/>
      <c r="AE462" s="44"/>
      <c r="AF462" s="44"/>
    </row>
    <row r="463" spans="1:32" x14ac:dyDescent="0.3">
      <c r="A463" s="38" t="s">
        <v>225</v>
      </c>
      <c r="B463" s="38" t="s">
        <v>174</v>
      </c>
      <c r="C463" s="38" t="s">
        <v>226</v>
      </c>
      <c r="D463" s="39" t="s">
        <v>198</v>
      </c>
      <c r="E463" s="39" t="s">
        <v>177</v>
      </c>
      <c r="F463" s="38" t="s">
        <v>136</v>
      </c>
      <c r="G463" s="38" t="s">
        <v>130</v>
      </c>
      <c r="H463" s="44">
        <f>SUM(I463:AF463)</f>
        <v>10000</v>
      </c>
      <c r="I463" s="44">
        <f t="shared" ref="I463:AF463" si="105">IF(AND(ISBLANK(I466) = TRUE,ISBLANK(I465) = TRUE),I464,I465+I466)</f>
        <v>0</v>
      </c>
      <c r="J463" s="44">
        <f t="shared" si="105"/>
        <v>0</v>
      </c>
      <c r="K463" s="44">
        <f t="shared" si="105"/>
        <v>0</v>
      </c>
      <c r="L463" s="44">
        <f t="shared" si="105"/>
        <v>0</v>
      </c>
      <c r="M463" s="44">
        <f t="shared" si="105"/>
        <v>0</v>
      </c>
      <c r="N463" s="44">
        <f t="shared" si="105"/>
        <v>0</v>
      </c>
      <c r="O463" s="44">
        <f t="shared" si="105"/>
        <v>0</v>
      </c>
      <c r="P463" s="44">
        <f t="shared" si="105"/>
        <v>0</v>
      </c>
      <c r="Q463" s="44">
        <f t="shared" si="105"/>
        <v>0</v>
      </c>
      <c r="R463" s="44">
        <f t="shared" si="105"/>
        <v>10000</v>
      </c>
      <c r="S463" s="44">
        <f t="shared" si="105"/>
        <v>0</v>
      </c>
      <c r="T463" s="44">
        <f t="shared" si="105"/>
        <v>0</v>
      </c>
      <c r="U463" s="44">
        <f t="shared" si="105"/>
        <v>0</v>
      </c>
      <c r="V463" s="44">
        <f t="shared" si="105"/>
        <v>0</v>
      </c>
      <c r="W463" s="44">
        <f t="shared" si="105"/>
        <v>0</v>
      </c>
      <c r="X463" s="44">
        <f t="shared" si="105"/>
        <v>0</v>
      </c>
      <c r="Y463" s="44">
        <f t="shared" si="105"/>
        <v>0</v>
      </c>
      <c r="Z463" s="44">
        <f t="shared" si="105"/>
        <v>0</v>
      </c>
      <c r="AA463" s="44">
        <f t="shared" si="105"/>
        <v>0</v>
      </c>
      <c r="AB463" s="44">
        <f t="shared" si="105"/>
        <v>0</v>
      </c>
      <c r="AC463" s="44">
        <f t="shared" si="105"/>
        <v>0</v>
      </c>
      <c r="AD463" s="44">
        <f t="shared" si="105"/>
        <v>0</v>
      </c>
      <c r="AE463" s="44">
        <f t="shared" si="105"/>
        <v>0</v>
      </c>
      <c r="AF463" s="44">
        <f t="shared" si="105"/>
        <v>0</v>
      </c>
    </row>
    <row r="464" spans="1:32" x14ac:dyDescent="0.3">
      <c r="A464" s="38" t="s">
        <v>225</v>
      </c>
      <c r="B464" s="38" t="s">
        <v>174</v>
      </c>
      <c r="C464" s="38" t="s">
        <v>226</v>
      </c>
      <c r="D464" s="39" t="s">
        <v>198</v>
      </c>
      <c r="E464" s="39" t="s">
        <v>177</v>
      </c>
      <c r="F464" s="38" t="s">
        <v>124</v>
      </c>
      <c r="G464" s="38" t="s">
        <v>130</v>
      </c>
      <c r="H464" s="44">
        <v>10000</v>
      </c>
      <c r="I464" s="44"/>
      <c r="J464" s="44"/>
      <c r="K464" s="44"/>
      <c r="L464" s="44"/>
      <c r="M464" s="44"/>
      <c r="N464" s="44"/>
      <c r="O464" s="44"/>
      <c r="P464" s="44"/>
      <c r="Q464" s="44"/>
      <c r="R464" s="44">
        <v>10000</v>
      </c>
      <c r="S464" s="44"/>
      <c r="T464" s="44"/>
      <c r="U464" s="44"/>
      <c r="V464" s="44"/>
      <c r="W464" s="44"/>
      <c r="X464" s="44"/>
      <c r="Y464" s="44"/>
      <c r="Z464" s="44"/>
      <c r="AA464" s="44"/>
      <c r="AB464" s="44"/>
      <c r="AC464" s="44"/>
      <c r="AD464" s="44"/>
      <c r="AE464" s="44"/>
      <c r="AF464" s="44"/>
    </row>
    <row r="465" spans="1:32" x14ac:dyDescent="0.3">
      <c r="A465" s="38" t="s">
        <v>225</v>
      </c>
      <c r="B465" s="38" t="s">
        <v>174</v>
      </c>
      <c r="C465" s="38" t="s">
        <v>226</v>
      </c>
      <c r="D465" s="39" t="s">
        <v>198</v>
      </c>
      <c r="E465" s="39" t="s">
        <v>177</v>
      </c>
      <c r="F465" s="38" t="s">
        <v>137</v>
      </c>
      <c r="G465" s="38" t="s">
        <v>130</v>
      </c>
      <c r="H465" s="44">
        <f>SUM(I465:AF465)</f>
        <v>0</v>
      </c>
      <c r="I465" s="44"/>
      <c r="J465" s="44"/>
      <c r="K465" s="44"/>
      <c r="L465" s="44"/>
      <c r="M465" s="44"/>
      <c r="N465" s="44"/>
      <c r="O465" s="44"/>
      <c r="P465" s="44"/>
      <c r="Q465" s="44"/>
      <c r="R465" s="44"/>
      <c r="S465" s="44"/>
      <c r="T465" s="44"/>
      <c r="U465" s="44"/>
      <c r="V465" s="44"/>
      <c r="W465" s="44"/>
      <c r="X465" s="44"/>
      <c r="Y465" s="44"/>
      <c r="Z465" s="44"/>
      <c r="AA465" s="44"/>
      <c r="AB465" s="44"/>
      <c r="AC465" s="44"/>
      <c r="AD465" s="44"/>
      <c r="AE465" s="44"/>
      <c r="AF465" s="44"/>
    </row>
    <row r="466" spans="1:32" x14ac:dyDescent="0.3">
      <c r="A466" s="38" t="s">
        <v>225</v>
      </c>
      <c r="B466" s="38" t="s">
        <v>174</v>
      </c>
      <c r="C466" s="38" t="s">
        <v>226</v>
      </c>
      <c r="D466" s="39" t="s">
        <v>198</v>
      </c>
      <c r="E466" s="39" t="s">
        <v>177</v>
      </c>
      <c r="F466" s="38" t="s">
        <v>138</v>
      </c>
      <c r="G466" s="38" t="s">
        <v>130</v>
      </c>
      <c r="H466" s="44">
        <f>SUM(I466:AF466)</f>
        <v>0</v>
      </c>
      <c r="I466" s="44"/>
      <c r="J466" s="44"/>
      <c r="K466" s="44"/>
      <c r="L466" s="44"/>
      <c r="M466" s="44"/>
      <c r="N466" s="44"/>
      <c r="O466" s="44"/>
      <c r="P466" s="44"/>
      <c r="Q466" s="44"/>
      <c r="R466" s="44"/>
      <c r="S466" s="44"/>
      <c r="T466" s="44"/>
      <c r="U466" s="44"/>
      <c r="V466" s="44"/>
      <c r="W466" s="44"/>
      <c r="X466" s="44"/>
      <c r="Y466" s="44"/>
      <c r="Z466" s="44"/>
      <c r="AA466" s="44"/>
      <c r="AB466" s="44"/>
      <c r="AC466" s="44"/>
      <c r="AD466" s="44"/>
      <c r="AE466" s="44"/>
      <c r="AF466" s="44"/>
    </row>
    <row r="467" spans="1:32" x14ac:dyDescent="0.3">
      <c r="A467" s="38" t="s">
        <v>225</v>
      </c>
      <c r="B467" s="38" t="s">
        <v>174</v>
      </c>
      <c r="C467" s="38" t="s">
        <v>226</v>
      </c>
      <c r="D467" s="39" t="s">
        <v>198</v>
      </c>
      <c r="E467" s="39" t="s">
        <v>177</v>
      </c>
      <c r="F467" s="38" t="s">
        <v>139</v>
      </c>
      <c r="G467" s="38" t="s">
        <v>130</v>
      </c>
      <c r="H467" s="44">
        <v>10000</v>
      </c>
      <c r="I467" s="44"/>
      <c r="J467" s="44"/>
      <c r="K467" s="44"/>
      <c r="L467" s="44"/>
      <c r="M467" s="44"/>
      <c r="N467" s="44"/>
      <c r="O467" s="44"/>
      <c r="P467" s="44"/>
      <c r="Q467" s="44"/>
      <c r="R467" s="44">
        <v>10000</v>
      </c>
      <c r="S467" s="44"/>
      <c r="T467" s="44"/>
      <c r="U467" s="44"/>
      <c r="V467" s="44"/>
      <c r="W467" s="44"/>
      <c r="X467" s="44"/>
      <c r="Y467" s="44"/>
      <c r="Z467" s="44"/>
      <c r="AA467" s="44"/>
      <c r="AB467" s="44"/>
      <c r="AC467" s="44"/>
      <c r="AD467" s="44"/>
      <c r="AE467" s="44"/>
      <c r="AF467" s="44"/>
    </row>
    <row r="468" spans="1:32" x14ac:dyDescent="0.3">
      <c r="A468" s="38" t="s">
        <v>225</v>
      </c>
      <c r="B468" s="38" t="s">
        <v>174</v>
      </c>
      <c r="C468" s="38" t="s">
        <v>226</v>
      </c>
      <c r="D468" s="39" t="s">
        <v>198</v>
      </c>
      <c r="E468" s="39" t="s">
        <v>177</v>
      </c>
      <c r="F468" s="38" t="s">
        <v>140</v>
      </c>
      <c r="G468" s="38" t="s">
        <v>130</v>
      </c>
      <c r="H468" s="44"/>
      <c r="I468" s="44">
        <f>I463-(I458+I457)+(I462+I461+I460+I459)</f>
        <v>4127.5</v>
      </c>
      <c r="J468" s="44">
        <f t="shared" ref="J468:AF468" si="106">I468+J463-J458</f>
        <v>3030.5</v>
      </c>
      <c r="K468" s="44">
        <f t="shared" si="106"/>
        <v>2072.5</v>
      </c>
      <c r="L468" s="44">
        <f t="shared" si="106"/>
        <v>1114.5</v>
      </c>
      <c r="M468" s="44">
        <f t="shared" si="106"/>
        <v>-94.5</v>
      </c>
      <c r="N468" s="44">
        <f t="shared" si="106"/>
        <v>-1347</v>
      </c>
      <c r="O468" s="44">
        <f t="shared" si="106"/>
        <v>-2594.5</v>
      </c>
      <c r="P468" s="44">
        <f t="shared" si="106"/>
        <v>-3840.5</v>
      </c>
      <c r="Q468" s="44">
        <f t="shared" si="106"/>
        <v>-5131.5</v>
      </c>
      <c r="R468" s="44">
        <f t="shared" si="106"/>
        <v>3548</v>
      </c>
      <c r="S468" s="44">
        <f t="shared" si="106"/>
        <v>2232.5</v>
      </c>
      <c r="T468" s="44">
        <f t="shared" si="106"/>
        <v>918</v>
      </c>
      <c r="U468" s="44">
        <f t="shared" si="106"/>
        <v>-403.5</v>
      </c>
      <c r="V468" s="44">
        <f t="shared" si="106"/>
        <v>-1763</v>
      </c>
      <c r="W468" s="44">
        <f t="shared" si="106"/>
        <v>-3119.5</v>
      </c>
      <c r="X468" s="44">
        <f t="shared" si="106"/>
        <v>-4475</v>
      </c>
      <c r="Y468" s="44">
        <f t="shared" si="106"/>
        <v>-5828.5</v>
      </c>
      <c r="Z468" s="44">
        <f t="shared" si="106"/>
        <v>-7226</v>
      </c>
      <c r="AA468" s="44">
        <f t="shared" si="106"/>
        <v>-8651.5</v>
      </c>
      <c r="AB468" s="44">
        <f t="shared" si="106"/>
        <v>-10077.5</v>
      </c>
      <c r="AC468" s="44">
        <f t="shared" si="106"/>
        <v>-11500.5</v>
      </c>
      <c r="AD468" s="44">
        <f t="shared" si="106"/>
        <v>-12751</v>
      </c>
      <c r="AE468" s="44">
        <f t="shared" si="106"/>
        <v>-13942.5</v>
      </c>
      <c r="AF468" s="44">
        <f t="shared" si="106"/>
        <v>-15128</v>
      </c>
    </row>
    <row r="469" spans="1:32" ht="15" thickBot="1" x14ac:dyDescent="0.35">
      <c r="A469" s="40" t="s">
        <v>225</v>
      </c>
      <c r="B469" s="40" t="s">
        <v>174</v>
      </c>
      <c r="C469" s="40" t="s">
        <v>226</v>
      </c>
      <c r="D469" s="41" t="s">
        <v>198</v>
      </c>
      <c r="E469" s="41" t="s">
        <v>177</v>
      </c>
      <c r="F469" s="40" t="s">
        <v>141</v>
      </c>
      <c r="G469" s="40" t="s">
        <v>130</v>
      </c>
      <c r="H469" s="45"/>
      <c r="I469" s="45">
        <f>I463-I467</f>
        <v>0</v>
      </c>
      <c r="J469" s="45">
        <f t="shared" ref="J469:AF469" si="107">I469+J463-J467</f>
        <v>0</v>
      </c>
      <c r="K469" s="45">
        <f t="shared" si="107"/>
        <v>0</v>
      </c>
      <c r="L469" s="45">
        <f t="shared" si="107"/>
        <v>0</v>
      </c>
      <c r="M469" s="45">
        <f t="shared" si="107"/>
        <v>0</v>
      </c>
      <c r="N469" s="45">
        <f t="shared" si="107"/>
        <v>0</v>
      </c>
      <c r="O469" s="45">
        <f t="shared" si="107"/>
        <v>0</v>
      </c>
      <c r="P469" s="45">
        <f t="shared" si="107"/>
        <v>0</v>
      </c>
      <c r="Q469" s="45">
        <f t="shared" si="107"/>
        <v>0</v>
      </c>
      <c r="R469" s="45">
        <f t="shared" si="107"/>
        <v>0</v>
      </c>
      <c r="S469" s="45">
        <f t="shared" si="107"/>
        <v>0</v>
      </c>
      <c r="T469" s="45">
        <f t="shared" si="107"/>
        <v>0</v>
      </c>
      <c r="U469" s="45">
        <f t="shared" si="107"/>
        <v>0</v>
      </c>
      <c r="V469" s="45">
        <f t="shared" si="107"/>
        <v>0</v>
      </c>
      <c r="W469" s="45">
        <f t="shared" si="107"/>
        <v>0</v>
      </c>
      <c r="X469" s="45">
        <f t="shared" si="107"/>
        <v>0</v>
      </c>
      <c r="Y469" s="45">
        <f t="shared" si="107"/>
        <v>0</v>
      </c>
      <c r="Z469" s="45">
        <f t="shared" si="107"/>
        <v>0</v>
      </c>
      <c r="AA469" s="45">
        <f t="shared" si="107"/>
        <v>0</v>
      </c>
      <c r="AB469" s="45">
        <f t="shared" si="107"/>
        <v>0</v>
      </c>
      <c r="AC469" s="45">
        <f t="shared" si="107"/>
        <v>0</v>
      </c>
      <c r="AD469" s="45">
        <f t="shared" si="107"/>
        <v>0</v>
      </c>
      <c r="AE469" s="45">
        <f t="shared" si="107"/>
        <v>0</v>
      </c>
      <c r="AF469" s="45">
        <f t="shared" si="107"/>
        <v>0</v>
      </c>
    </row>
    <row r="470" spans="1:32" x14ac:dyDescent="0.3">
      <c r="A470" s="38" t="s">
        <v>225</v>
      </c>
      <c r="B470" s="38" t="s">
        <v>174</v>
      </c>
      <c r="C470" s="38" t="s">
        <v>226</v>
      </c>
      <c r="D470" s="39" t="s">
        <v>198</v>
      </c>
      <c r="E470" s="39" t="s">
        <v>221</v>
      </c>
      <c r="F470" s="38" t="s">
        <v>129</v>
      </c>
      <c r="G470" s="38" t="s">
        <v>130</v>
      </c>
      <c r="H470" s="44">
        <v>975</v>
      </c>
      <c r="I470" s="44">
        <v>975</v>
      </c>
      <c r="J470" s="44"/>
      <c r="K470" s="44"/>
      <c r="L470" s="44"/>
      <c r="M470" s="44"/>
      <c r="N470" s="44"/>
      <c r="O470" s="44"/>
      <c r="P470" s="44"/>
      <c r="Q470" s="44"/>
      <c r="R470" s="44"/>
      <c r="S470" s="44"/>
      <c r="T470" s="44"/>
      <c r="U470" s="44"/>
      <c r="V470" s="44"/>
      <c r="W470" s="44"/>
      <c r="X470" s="44"/>
      <c r="Y470" s="44"/>
      <c r="Z470" s="44"/>
      <c r="AA470" s="44"/>
      <c r="AB470" s="44"/>
      <c r="AC470" s="44"/>
      <c r="AD470" s="44"/>
      <c r="AE470" s="44"/>
      <c r="AF470" s="44"/>
    </row>
    <row r="471" spans="1:32" x14ac:dyDescent="0.3">
      <c r="A471" s="38" t="s">
        <v>225</v>
      </c>
      <c r="B471" s="38" t="s">
        <v>174</v>
      </c>
      <c r="C471" s="38" t="s">
        <v>226</v>
      </c>
      <c r="D471" s="39" t="s">
        <v>198</v>
      </c>
      <c r="E471" s="39" t="s">
        <v>221</v>
      </c>
      <c r="F471" s="38" t="s">
        <v>131</v>
      </c>
      <c r="G471" s="38" t="s">
        <v>130</v>
      </c>
      <c r="H471" s="44">
        <v>375</v>
      </c>
      <c r="I471" s="44">
        <v>375</v>
      </c>
      <c r="J471" s="44">
        <v>0</v>
      </c>
      <c r="K471" s="44">
        <v>0</v>
      </c>
      <c r="L471" s="44">
        <v>0</v>
      </c>
      <c r="M471" s="44">
        <v>0</v>
      </c>
      <c r="N471" s="44">
        <v>0</v>
      </c>
      <c r="O471" s="44">
        <v>0</v>
      </c>
      <c r="P471" s="44">
        <v>0</v>
      </c>
      <c r="Q471" s="44">
        <v>0</v>
      </c>
      <c r="R471" s="44">
        <v>0</v>
      </c>
      <c r="S471" s="44">
        <v>0</v>
      </c>
      <c r="T471" s="44">
        <v>0</v>
      </c>
      <c r="U471" s="44">
        <v>0</v>
      </c>
      <c r="V471" s="44">
        <v>0</v>
      </c>
      <c r="W471" s="44">
        <v>0</v>
      </c>
      <c r="X471" s="44">
        <v>0</v>
      </c>
      <c r="Y471" s="44">
        <v>0</v>
      </c>
      <c r="Z471" s="44">
        <v>0</v>
      </c>
      <c r="AA471" s="44">
        <v>0</v>
      </c>
      <c r="AB471" s="44">
        <v>0</v>
      </c>
      <c r="AC471" s="44">
        <v>0</v>
      </c>
      <c r="AD471" s="44">
        <v>0</v>
      </c>
      <c r="AE471" s="44">
        <v>0</v>
      </c>
      <c r="AF471" s="44">
        <v>0</v>
      </c>
    </row>
    <row r="472" spans="1:32" x14ac:dyDescent="0.3">
      <c r="A472" s="38" t="s">
        <v>225</v>
      </c>
      <c r="B472" s="38" t="s">
        <v>174</v>
      </c>
      <c r="C472" s="38" t="s">
        <v>226</v>
      </c>
      <c r="D472" s="39" t="s">
        <v>198</v>
      </c>
      <c r="E472" s="39" t="s">
        <v>221</v>
      </c>
      <c r="F472" s="38" t="s">
        <v>132</v>
      </c>
      <c r="G472" s="38" t="s">
        <v>130</v>
      </c>
      <c r="H472" s="44">
        <v>0</v>
      </c>
      <c r="I472" s="44">
        <v>0</v>
      </c>
      <c r="J472" s="44"/>
      <c r="K472" s="44"/>
      <c r="L472" s="44"/>
      <c r="M472" s="44"/>
      <c r="N472" s="44"/>
      <c r="O472" s="44"/>
      <c r="P472" s="44"/>
      <c r="Q472" s="44"/>
      <c r="R472" s="44"/>
      <c r="S472" s="44"/>
      <c r="T472" s="44"/>
      <c r="U472" s="44"/>
      <c r="V472" s="44"/>
      <c r="W472" s="44"/>
      <c r="X472" s="44"/>
      <c r="Y472" s="44"/>
      <c r="Z472" s="44"/>
      <c r="AA472" s="44"/>
      <c r="AB472" s="44"/>
      <c r="AC472" s="44"/>
      <c r="AD472" s="44"/>
      <c r="AE472" s="44"/>
      <c r="AF472" s="44"/>
    </row>
    <row r="473" spans="1:32" x14ac:dyDescent="0.3">
      <c r="A473" s="38" t="s">
        <v>225</v>
      </c>
      <c r="B473" s="38" t="s">
        <v>174</v>
      </c>
      <c r="C473" s="38" t="s">
        <v>226</v>
      </c>
      <c r="D473" s="39" t="s">
        <v>198</v>
      </c>
      <c r="E473" s="39" t="s">
        <v>221</v>
      </c>
      <c r="F473" s="38" t="s">
        <v>133</v>
      </c>
      <c r="G473" s="38" t="s">
        <v>130</v>
      </c>
      <c r="H473" s="44">
        <v>0</v>
      </c>
      <c r="I473" s="44">
        <v>0</v>
      </c>
      <c r="J473" s="44"/>
      <c r="K473" s="44"/>
      <c r="L473" s="44"/>
      <c r="M473" s="44"/>
      <c r="N473" s="44"/>
      <c r="O473" s="44"/>
      <c r="P473" s="44"/>
      <c r="Q473" s="44"/>
      <c r="R473" s="44"/>
      <c r="S473" s="44"/>
      <c r="T473" s="44"/>
      <c r="U473" s="44"/>
      <c r="V473" s="44"/>
      <c r="W473" s="44"/>
      <c r="X473" s="44"/>
      <c r="Y473" s="44"/>
      <c r="Z473" s="44"/>
      <c r="AA473" s="44"/>
      <c r="AB473" s="44"/>
      <c r="AC473" s="44"/>
      <c r="AD473" s="44"/>
      <c r="AE473" s="44"/>
      <c r="AF473" s="44"/>
    </row>
    <row r="474" spans="1:32" x14ac:dyDescent="0.3">
      <c r="A474" s="38" t="s">
        <v>225</v>
      </c>
      <c r="B474" s="38" t="s">
        <v>174</v>
      </c>
      <c r="C474" s="38" t="s">
        <v>226</v>
      </c>
      <c r="D474" s="39" t="s">
        <v>198</v>
      </c>
      <c r="E474" s="39" t="s">
        <v>221</v>
      </c>
      <c r="F474" s="38" t="s">
        <v>134</v>
      </c>
      <c r="G474" s="38" t="s">
        <v>130</v>
      </c>
      <c r="H474" s="44">
        <v>862</v>
      </c>
      <c r="I474" s="44">
        <v>862</v>
      </c>
      <c r="J474" s="44"/>
      <c r="K474" s="44"/>
      <c r="L474" s="44"/>
      <c r="M474" s="44"/>
      <c r="N474" s="44"/>
      <c r="O474" s="44"/>
      <c r="P474" s="44"/>
      <c r="Q474" s="44"/>
      <c r="R474" s="44"/>
      <c r="S474" s="44"/>
      <c r="T474" s="44"/>
      <c r="U474" s="44"/>
      <c r="V474" s="44"/>
      <c r="W474" s="44"/>
      <c r="X474" s="44"/>
      <c r="Y474" s="44"/>
      <c r="Z474" s="44"/>
      <c r="AA474" s="44"/>
      <c r="AB474" s="44"/>
      <c r="AC474" s="44"/>
      <c r="AD474" s="44"/>
      <c r="AE474" s="44"/>
      <c r="AF474" s="44"/>
    </row>
    <row r="475" spans="1:32" x14ac:dyDescent="0.3">
      <c r="A475" s="38" t="s">
        <v>225</v>
      </c>
      <c r="B475" s="38" t="s">
        <v>174</v>
      </c>
      <c r="C475" s="38" t="s">
        <v>226</v>
      </c>
      <c r="D475" s="39" t="s">
        <v>198</v>
      </c>
      <c r="E475" s="39" t="s">
        <v>221</v>
      </c>
      <c r="F475" s="38" t="s">
        <v>135</v>
      </c>
      <c r="G475" s="38" t="s">
        <v>130</v>
      </c>
      <c r="H475" s="44"/>
      <c r="I475" s="44"/>
      <c r="J475" s="44"/>
      <c r="K475" s="44"/>
      <c r="L475" s="44"/>
      <c r="M475" s="44"/>
      <c r="N475" s="44"/>
      <c r="O475" s="44"/>
      <c r="P475" s="44"/>
      <c r="Q475" s="44"/>
      <c r="R475" s="44"/>
      <c r="S475" s="44"/>
      <c r="T475" s="44"/>
      <c r="U475" s="44"/>
      <c r="V475" s="44"/>
      <c r="W475" s="44"/>
      <c r="X475" s="44"/>
      <c r="Y475" s="44"/>
      <c r="Z475" s="44"/>
      <c r="AA475" s="44"/>
      <c r="AB475" s="44"/>
      <c r="AC475" s="44"/>
      <c r="AD475" s="44"/>
      <c r="AE475" s="44"/>
      <c r="AF475" s="44"/>
    </row>
    <row r="476" spans="1:32" x14ac:dyDescent="0.3">
      <c r="A476" s="38" t="s">
        <v>225</v>
      </c>
      <c r="B476" s="38" t="s">
        <v>174</v>
      </c>
      <c r="C476" s="38" t="s">
        <v>226</v>
      </c>
      <c r="D476" s="39" t="s">
        <v>198</v>
      </c>
      <c r="E476" s="39" t="s">
        <v>221</v>
      </c>
      <c r="F476" s="38" t="s">
        <v>136</v>
      </c>
      <c r="G476" s="38" t="s">
        <v>130</v>
      </c>
      <c r="H476" s="44">
        <f>SUM(I476:AF476)</f>
        <v>0</v>
      </c>
      <c r="I476" s="44">
        <f t="shared" ref="I476:AF476" si="108">IF(AND(ISBLANK(I479) = TRUE,ISBLANK(I478) = TRUE),I477,I478+I479)</f>
        <v>0</v>
      </c>
      <c r="J476" s="44">
        <f t="shared" si="108"/>
        <v>0</v>
      </c>
      <c r="K476" s="44">
        <f t="shared" si="108"/>
        <v>0</v>
      </c>
      <c r="L476" s="44">
        <f t="shared" si="108"/>
        <v>0</v>
      </c>
      <c r="M476" s="44">
        <f t="shared" si="108"/>
        <v>0</v>
      </c>
      <c r="N476" s="44">
        <f t="shared" si="108"/>
        <v>0</v>
      </c>
      <c r="O476" s="44">
        <f t="shared" si="108"/>
        <v>0</v>
      </c>
      <c r="P476" s="44">
        <f t="shared" si="108"/>
        <v>0</v>
      </c>
      <c r="Q476" s="44">
        <f t="shared" si="108"/>
        <v>0</v>
      </c>
      <c r="R476" s="44">
        <f t="shared" si="108"/>
        <v>0</v>
      </c>
      <c r="S476" s="44">
        <f t="shared" si="108"/>
        <v>0</v>
      </c>
      <c r="T476" s="44">
        <f t="shared" si="108"/>
        <v>0</v>
      </c>
      <c r="U476" s="44">
        <f t="shared" si="108"/>
        <v>0</v>
      </c>
      <c r="V476" s="44">
        <f t="shared" si="108"/>
        <v>0</v>
      </c>
      <c r="W476" s="44">
        <f t="shared" si="108"/>
        <v>0</v>
      </c>
      <c r="X476" s="44">
        <f t="shared" si="108"/>
        <v>0</v>
      </c>
      <c r="Y476" s="44">
        <f t="shared" si="108"/>
        <v>0</v>
      </c>
      <c r="Z476" s="44">
        <f t="shared" si="108"/>
        <v>0</v>
      </c>
      <c r="AA476" s="44">
        <f t="shared" si="108"/>
        <v>0</v>
      </c>
      <c r="AB476" s="44">
        <f t="shared" si="108"/>
        <v>0</v>
      </c>
      <c r="AC476" s="44">
        <f t="shared" si="108"/>
        <v>0</v>
      </c>
      <c r="AD476" s="44">
        <f t="shared" si="108"/>
        <v>0</v>
      </c>
      <c r="AE476" s="44">
        <f t="shared" si="108"/>
        <v>0</v>
      </c>
      <c r="AF476" s="44">
        <f t="shared" si="108"/>
        <v>0</v>
      </c>
    </row>
    <row r="477" spans="1:32" x14ac:dyDescent="0.3">
      <c r="A477" s="38" t="s">
        <v>225</v>
      </c>
      <c r="B477" s="38" t="s">
        <v>174</v>
      </c>
      <c r="C477" s="38" t="s">
        <v>226</v>
      </c>
      <c r="D477" s="39" t="s">
        <v>198</v>
      </c>
      <c r="E477" s="39" t="s">
        <v>221</v>
      </c>
      <c r="F477" s="38" t="s">
        <v>124</v>
      </c>
      <c r="G477" s="38" t="s">
        <v>130</v>
      </c>
      <c r="H477" s="44"/>
      <c r="I477" s="44"/>
      <c r="J477" s="44"/>
      <c r="K477" s="44"/>
      <c r="L477" s="44"/>
      <c r="M477" s="44"/>
      <c r="N477" s="44"/>
      <c r="O477" s="44"/>
      <c r="P477" s="44"/>
      <c r="Q477" s="44"/>
      <c r="R477" s="44"/>
      <c r="S477" s="44"/>
      <c r="T477" s="44"/>
      <c r="U477" s="44"/>
      <c r="V477" s="44"/>
      <c r="W477" s="44"/>
      <c r="X477" s="44"/>
      <c r="Y477" s="44"/>
      <c r="Z477" s="44"/>
      <c r="AA477" s="44"/>
      <c r="AB477" s="44"/>
      <c r="AC477" s="44"/>
      <c r="AD477" s="44"/>
      <c r="AE477" s="44"/>
      <c r="AF477" s="44"/>
    </row>
    <row r="478" spans="1:32" x14ac:dyDescent="0.3">
      <c r="A478" s="38" t="s">
        <v>225</v>
      </c>
      <c r="B478" s="38" t="s">
        <v>174</v>
      </c>
      <c r="C478" s="38" t="s">
        <v>226</v>
      </c>
      <c r="D478" s="39" t="s">
        <v>198</v>
      </c>
      <c r="E478" s="39" t="s">
        <v>221</v>
      </c>
      <c r="F478" s="38" t="s">
        <v>137</v>
      </c>
      <c r="G478" s="38" t="s">
        <v>130</v>
      </c>
      <c r="H478" s="44">
        <f>SUM(I478:AF478)</f>
        <v>0</v>
      </c>
      <c r="I478" s="44"/>
      <c r="J478" s="44"/>
      <c r="K478" s="44"/>
      <c r="L478" s="44"/>
      <c r="M478" s="44"/>
      <c r="N478" s="44"/>
      <c r="O478" s="44"/>
      <c r="P478" s="44"/>
      <c r="Q478" s="44"/>
      <c r="R478" s="44"/>
      <c r="S478" s="44"/>
      <c r="T478" s="44"/>
      <c r="U478" s="44"/>
      <c r="V478" s="44"/>
      <c r="W478" s="44"/>
      <c r="X478" s="44"/>
      <c r="Y478" s="44"/>
      <c r="Z478" s="44"/>
      <c r="AA478" s="44"/>
      <c r="AB478" s="44"/>
      <c r="AC478" s="44"/>
      <c r="AD478" s="44"/>
      <c r="AE478" s="44"/>
      <c r="AF478" s="44"/>
    </row>
    <row r="479" spans="1:32" x14ac:dyDescent="0.3">
      <c r="A479" s="38" t="s">
        <v>225</v>
      </c>
      <c r="B479" s="38" t="s">
        <v>174</v>
      </c>
      <c r="C479" s="38" t="s">
        <v>226</v>
      </c>
      <c r="D479" s="39" t="s">
        <v>198</v>
      </c>
      <c r="E479" s="39" t="s">
        <v>221</v>
      </c>
      <c r="F479" s="38" t="s">
        <v>138</v>
      </c>
      <c r="G479" s="38" t="s">
        <v>130</v>
      </c>
      <c r="H479" s="44">
        <f>SUM(I479:AF479)</f>
        <v>0</v>
      </c>
      <c r="I479" s="44"/>
      <c r="J479" s="44"/>
      <c r="K479" s="44"/>
      <c r="L479" s="44"/>
      <c r="M479" s="44"/>
      <c r="N479" s="44"/>
      <c r="O479" s="44"/>
      <c r="P479" s="44"/>
      <c r="Q479" s="44"/>
      <c r="R479" s="44"/>
      <c r="S479" s="44"/>
      <c r="T479" s="44"/>
      <c r="U479" s="44"/>
      <c r="V479" s="44"/>
      <c r="W479" s="44"/>
      <c r="X479" s="44"/>
      <c r="Y479" s="44"/>
      <c r="Z479" s="44"/>
      <c r="AA479" s="44"/>
      <c r="AB479" s="44"/>
      <c r="AC479" s="44"/>
      <c r="AD479" s="44"/>
      <c r="AE479" s="44"/>
      <c r="AF479" s="44"/>
    </row>
    <row r="480" spans="1:32" x14ac:dyDescent="0.3">
      <c r="A480" s="38" t="s">
        <v>225</v>
      </c>
      <c r="B480" s="38" t="s">
        <v>174</v>
      </c>
      <c r="C480" s="38" t="s">
        <v>226</v>
      </c>
      <c r="D480" s="39" t="s">
        <v>198</v>
      </c>
      <c r="E480" s="39" t="s">
        <v>221</v>
      </c>
      <c r="F480" s="38" t="s">
        <v>139</v>
      </c>
      <c r="G480" s="38" t="s">
        <v>130</v>
      </c>
      <c r="H480" s="44"/>
      <c r="I480" s="44"/>
      <c r="J480" s="44"/>
      <c r="K480" s="44"/>
      <c r="L480" s="44"/>
      <c r="M480" s="44"/>
      <c r="N480" s="44"/>
      <c r="O480" s="44"/>
      <c r="P480" s="44"/>
      <c r="Q480" s="44"/>
      <c r="R480" s="44"/>
      <c r="S480" s="44"/>
      <c r="T480" s="44"/>
      <c r="U480" s="44"/>
      <c r="V480" s="44"/>
      <c r="W480" s="44"/>
      <c r="X480" s="44"/>
      <c r="Y480" s="44"/>
      <c r="Z480" s="44"/>
      <c r="AA480" s="44"/>
      <c r="AB480" s="44"/>
      <c r="AC480" s="44"/>
      <c r="AD480" s="44"/>
      <c r="AE480" s="44"/>
      <c r="AF480" s="44"/>
    </row>
    <row r="481" spans="1:32" x14ac:dyDescent="0.3">
      <c r="A481" s="38" t="s">
        <v>225</v>
      </c>
      <c r="B481" s="38" t="s">
        <v>174</v>
      </c>
      <c r="C481" s="38" t="s">
        <v>226</v>
      </c>
      <c r="D481" s="39" t="s">
        <v>198</v>
      </c>
      <c r="E481" s="39" t="s">
        <v>221</v>
      </c>
      <c r="F481" s="38" t="s">
        <v>140</v>
      </c>
      <c r="G481" s="38" t="s">
        <v>130</v>
      </c>
      <c r="H481" s="44"/>
      <c r="I481" s="44">
        <f>I476-(I471+I470)+(I475+I474+I473+I472)</f>
        <v>-488</v>
      </c>
      <c r="J481" s="44">
        <f t="shared" ref="J481:AF481" si="109">I481+J476-J471</f>
        <v>-488</v>
      </c>
      <c r="K481" s="44">
        <f t="shared" si="109"/>
        <v>-488</v>
      </c>
      <c r="L481" s="44">
        <f t="shared" si="109"/>
        <v>-488</v>
      </c>
      <c r="M481" s="44">
        <f t="shared" si="109"/>
        <v>-488</v>
      </c>
      <c r="N481" s="44">
        <f t="shared" si="109"/>
        <v>-488</v>
      </c>
      <c r="O481" s="44">
        <f t="shared" si="109"/>
        <v>-488</v>
      </c>
      <c r="P481" s="44">
        <f t="shared" si="109"/>
        <v>-488</v>
      </c>
      <c r="Q481" s="44">
        <f t="shared" si="109"/>
        <v>-488</v>
      </c>
      <c r="R481" s="44">
        <f t="shared" si="109"/>
        <v>-488</v>
      </c>
      <c r="S481" s="44">
        <f t="shared" si="109"/>
        <v>-488</v>
      </c>
      <c r="T481" s="44">
        <f t="shared" si="109"/>
        <v>-488</v>
      </c>
      <c r="U481" s="44">
        <f t="shared" si="109"/>
        <v>-488</v>
      </c>
      <c r="V481" s="44">
        <f t="shared" si="109"/>
        <v>-488</v>
      </c>
      <c r="W481" s="44">
        <f t="shared" si="109"/>
        <v>-488</v>
      </c>
      <c r="X481" s="44">
        <f t="shared" si="109"/>
        <v>-488</v>
      </c>
      <c r="Y481" s="44">
        <f t="shared" si="109"/>
        <v>-488</v>
      </c>
      <c r="Z481" s="44">
        <f t="shared" si="109"/>
        <v>-488</v>
      </c>
      <c r="AA481" s="44">
        <f t="shared" si="109"/>
        <v>-488</v>
      </c>
      <c r="AB481" s="44">
        <f t="shared" si="109"/>
        <v>-488</v>
      </c>
      <c r="AC481" s="44">
        <f t="shared" si="109"/>
        <v>-488</v>
      </c>
      <c r="AD481" s="44">
        <f t="shared" si="109"/>
        <v>-488</v>
      </c>
      <c r="AE481" s="44">
        <f t="shared" si="109"/>
        <v>-488</v>
      </c>
      <c r="AF481" s="44">
        <f t="shared" si="109"/>
        <v>-488</v>
      </c>
    </row>
    <row r="482" spans="1:32" ht="15" thickBot="1" x14ac:dyDescent="0.35">
      <c r="A482" s="40" t="s">
        <v>225</v>
      </c>
      <c r="B482" s="40" t="s">
        <v>174</v>
      </c>
      <c r="C482" s="40" t="s">
        <v>226</v>
      </c>
      <c r="D482" s="41" t="s">
        <v>198</v>
      </c>
      <c r="E482" s="41" t="s">
        <v>221</v>
      </c>
      <c r="F482" s="40" t="s">
        <v>141</v>
      </c>
      <c r="G482" s="40" t="s">
        <v>130</v>
      </c>
      <c r="H482" s="45"/>
      <c r="I482" s="45">
        <f>I476-I480</f>
        <v>0</v>
      </c>
      <c r="J482" s="45">
        <f t="shared" ref="J482:AF482" si="110">I482+J476-J480</f>
        <v>0</v>
      </c>
      <c r="K482" s="45">
        <f t="shared" si="110"/>
        <v>0</v>
      </c>
      <c r="L482" s="45">
        <f t="shared" si="110"/>
        <v>0</v>
      </c>
      <c r="M482" s="45">
        <f t="shared" si="110"/>
        <v>0</v>
      </c>
      <c r="N482" s="45">
        <f t="shared" si="110"/>
        <v>0</v>
      </c>
      <c r="O482" s="45">
        <f t="shared" si="110"/>
        <v>0</v>
      </c>
      <c r="P482" s="45">
        <f t="shared" si="110"/>
        <v>0</v>
      </c>
      <c r="Q482" s="45">
        <f t="shared" si="110"/>
        <v>0</v>
      </c>
      <c r="R482" s="45">
        <f t="shared" si="110"/>
        <v>0</v>
      </c>
      <c r="S482" s="45">
        <f t="shared" si="110"/>
        <v>0</v>
      </c>
      <c r="T482" s="45">
        <f t="shared" si="110"/>
        <v>0</v>
      </c>
      <c r="U482" s="45">
        <f t="shared" si="110"/>
        <v>0</v>
      </c>
      <c r="V482" s="45">
        <f t="shared" si="110"/>
        <v>0</v>
      </c>
      <c r="W482" s="45">
        <f t="shared" si="110"/>
        <v>0</v>
      </c>
      <c r="X482" s="45">
        <f t="shared" si="110"/>
        <v>0</v>
      </c>
      <c r="Y482" s="45">
        <f t="shared" si="110"/>
        <v>0</v>
      </c>
      <c r="Z482" s="45">
        <f t="shared" si="110"/>
        <v>0</v>
      </c>
      <c r="AA482" s="45">
        <f t="shared" si="110"/>
        <v>0</v>
      </c>
      <c r="AB482" s="45">
        <f t="shared" si="110"/>
        <v>0</v>
      </c>
      <c r="AC482" s="45">
        <f t="shared" si="110"/>
        <v>0</v>
      </c>
      <c r="AD482" s="45">
        <f t="shared" si="110"/>
        <v>0</v>
      </c>
      <c r="AE482" s="45">
        <f t="shared" si="110"/>
        <v>0</v>
      </c>
      <c r="AF482" s="45">
        <f t="shared" si="110"/>
        <v>0</v>
      </c>
    </row>
    <row r="483" spans="1:32" x14ac:dyDescent="0.3">
      <c r="A483" s="38" t="s">
        <v>227</v>
      </c>
      <c r="B483" s="38" t="s">
        <v>174</v>
      </c>
      <c r="C483" s="38" t="s">
        <v>226</v>
      </c>
      <c r="D483" s="39" t="s">
        <v>183</v>
      </c>
      <c r="E483" s="39" t="s">
        <v>177</v>
      </c>
      <c r="F483" s="38" t="s">
        <v>129</v>
      </c>
      <c r="G483" s="38" t="s">
        <v>130</v>
      </c>
      <c r="H483" s="44">
        <v>1248.5</v>
      </c>
      <c r="I483" s="44">
        <v>1248.5</v>
      </c>
      <c r="J483" s="44"/>
      <c r="K483" s="44"/>
      <c r="L483" s="44"/>
      <c r="M483" s="44"/>
      <c r="N483" s="44"/>
      <c r="O483" s="44"/>
      <c r="P483" s="44"/>
      <c r="Q483" s="44"/>
      <c r="R483" s="44"/>
      <c r="S483" s="44"/>
      <c r="T483" s="44"/>
      <c r="U483" s="44"/>
      <c r="V483" s="44"/>
      <c r="W483" s="44"/>
      <c r="X483" s="44"/>
      <c r="Y483" s="44"/>
      <c r="Z483" s="44"/>
      <c r="AA483" s="44"/>
      <c r="AB483" s="44"/>
      <c r="AC483" s="44"/>
      <c r="AD483" s="44"/>
      <c r="AE483" s="44"/>
      <c r="AF483" s="44"/>
    </row>
    <row r="484" spans="1:32" x14ac:dyDescent="0.3">
      <c r="A484" s="38" t="s">
        <v>227</v>
      </c>
      <c r="B484" s="38" t="s">
        <v>174</v>
      </c>
      <c r="C484" s="38" t="s">
        <v>226</v>
      </c>
      <c r="D484" s="39" t="s">
        <v>183</v>
      </c>
      <c r="E484" s="39" t="s">
        <v>177</v>
      </c>
      <c r="F484" s="38" t="s">
        <v>131</v>
      </c>
      <c r="G484" s="38" t="s">
        <v>130</v>
      </c>
      <c r="H484" s="44">
        <v>1910.5</v>
      </c>
      <c r="I484" s="44">
        <v>266</v>
      </c>
      <c r="J484" s="44">
        <v>86</v>
      </c>
      <c r="K484" s="44">
        <v>74</v>
      </c>
      <c r="L484" s="44">
        <v>74</v>
      </c>
      <c r="M484" s="44">
        <v>69</v>
      </c>
      <c r="N484" s="44">
        <v>68.5</v>
      </c>
      <c r="O484" s="44">
        <v>68.5</v>
      </c>
      <c r="P484" s="44">
        <v>68</v>
      </c>
      <c r="Q484" s="44">
        <v>72</v>
      </c>
      <c r="R484" s="44">
        <v>74.5</v>
      </c>
      <c r="S484" s="44">
        <v>74.5</v>
      </c>
      <c r="T484" s="44">
        <v>74.5</v>
      </c>
      <c r="U484" s="44">
        <v>74.5</v>
      </c>
      <c r="V484" s="44">
        <v>74.5</v>
      </c>
      <c r="W484" s="44">
        <v>74.5</v>
      </c>
      <c r="X484" s="44">
        <v>74.5</v>
      </c>
      <c r="Y484" s="44">
        <v>74.5</v>
      </c>
      <c r="Z484" s="44">
        <v>74.5</v>
      </c>
      <c r="AA484" s="44">
        <v>75.5</v>
      </c>
      <c r="AB484" s="44">
        <v>75</v>
      </c>
      <c r="AC484" s="44">
        <v>75</v>
      </c>
      <c r="AD484" s="44">
        <v>59.5</v>
      </c>
      <c r="AE484" s="44">
        <v>54.5</v>
      </c>
      <c r="AF484" s="44">
        <v>54.5</v>
      </c>
    </row>
    <row r="485" spans="1:32" x14ac:dyDescent="0.3">
      <c r="A485" s="38" t="s">
        <v>227</v>
      </c>
      <c r="B485" s="38" t="s">
        <v>174</v>
      </c>
      <c r="C485" s="38" t="s">
        <v>226</v>
      </c>
      <c r="D485" s="39" t="s">
        <v>183</v>
      </c>
      <c r="E485" s="39" t="s">
        <v>177</v>
      </c>
      <c r="F485" s="38" t="s">
        <v>132</v>
      </c>
      <c r="G485" s="38" t="s">
        <v>130</v>
      </c>
      <c r="H485" s="44">
        <v>3160</v>
      </c>
      <c r="I485" s="44">
        <v>3160</v>
      </c>
      <c r="J485" s="44"/>
      <c r="K485" s="44"/>
      <c r="L485" s="44"/>
      <c r="M485" s="44"/>
      <c r="N485" s="44"/>
      <c r="O485" s="44"/>
      <c r="P485" s="44"/>
      <c r="Q485" s="44"/>
      <c r="R485" s="44"/>
      <c r="S485" s="44"/>
      <c r="T485" s="44"/>
      <c r="U485" s="44"/>
      <c r="V485" s="44"/>
      <c r="W485" s="44"/>
      <c r="X485" s="44"/>
      <c r="Y485" s="44"/>
      <c r="Z485" s="44"/>
      <c r="AA485" s="44"/>
      <c r="AB485" s="44"/>
      <c r="AC485" s="44"/>
      <c r="AD485" s="44"/>
      <c r="AE485" s="44"/>
      <c r="AF485" s="44"/>
    </row>
    <row r="486" spans="1:32" x14ac:dyDescent="0.3">
      <c r="A486" s="38" t="s">
        <v>227</v>
      </c>
      <c r="B486" s="38" t="s">
        <v>174</v>
      </c>
      <c r="C486" s="38" t="s">
        <v>226</v>
      </c>
      <c r="D486" s="39" t="s">
        <v>183</v>
      </c>
      <c r="E486" s="39" t="s">
        <v>177</v>
      </c>
      <c r="F486" s="38" t="s">
        <v>133</v>
      </c>
      <c r="G486" s="38" t="s">
        <v>130</v>
      </c>
      <c r="H486" s="44">
        <v>0</v>
      </c>
      <c r="I486" s="44">
        <v>0</v>
      </c>
      <c r="J486" s="44"/>
      <c r="K486" s="44"/>
      <c r="L486" s="44"/>
      <c r="M486" s="44"/>
      <c r="N486" s="44"/>
      <c r="O486" s="44"/>
      <c r="P486" s="44"/>
      <c r="Q486" s="44"/>
      <c r="R486" s="44"/>
      <c r="S486" s="44"/>
      <c r="T486" s="44"/>
      <c r="U486" s="44"/>
      <c r="V486" s="44"/>
      <c r="W486" s="44"/>
      <c r="X486" s="44"/>
      <c r="Y486" s="44"/>
      <c r="Z486" s="44"/>
      <c r="AA486" s="44"/>
      <c r="AB486" s="44"/>
      <c r="AC486" s="44"/>
      <c r="AD486" s="44"/>
      <c r="AE486" s="44"/>
      <c r="AF486" s="44"/>
    </row>
    <row r="487" spans="1:32" x14ac:dyDescent="0.3">
      <c r="A487" s="38" t="s">
        <v>227</v>
      </c>
      <c r="B487" s="38" t="s">
        <v>174</v>
      </c>
      <c r="C487" s="38" t="s">
        <v>226</v>
      </c>
      <c r="D487" s="39" t="s">
        <v>183</v>
      </c>
      <c r="E487" s="39" t="s">
        <v>177</v>
      </c>
      <c r="F487" s="38" t="s">
        <v>134</v>
      </c>
      <c r="G487" s="38" t="s">
        <v>130</v>
      </c>
      <c r="H487" s="44">
        <v>0</v>
      </c>
      <c r="I487" s="44">
        <v>0</v>
      </c>
      <c r="J487" s="44"/>
      <c r="K487" s="44"/>
      <c r="L487" s="44"/>
      <c r="M487" s="44"/>
      <c r="N487" s="44"/>
      <c r="O487" s="44"/>
      <c r="P487" s="44"/>
      <c r="Q487" s="44"/>
      <c r="R487" s="44"/>
      <c r="S487" s="44"/>
      <c r="T487" s="44"/>
      <c r="U487" s="44"/>
      <c r="V487" s="44"/>
      <c r="W487" s="44"/>
      <c r="X487" s="44"/>
      <c r="Y487" s="44"/>
      <c r="Z487" s="44"/>
      <c r="AA487" s="44"/>
      <c r="AB487" s="44"/>
      <c r="AC487" s="44"/>
      <c r="AD487" s="44"/>
      <c r="AE487" s="44"/>
      <c r="AF487" s="44"/>
    </row>
    <row r="488" spans="1:32" x14ac:dyDescent="0.3">
      <c r="A488" s="38" t="s">
        <v>227</v>
      </c>
      <c r="B488" s="38" t="s">
        <v>174</v>
      </c>
      <c r="C488" s="38" t="s">
        <v>226</v>
      </c>
      <c r="D488" s="39" t="s">
        <v>183</v>
      </c>
      <c r="E488" s="39" t="s">
        <v>177</v>
      </c>
      <c r="F488" s="38" t="s">
        <v>135</v>
      </c>
      <c r="G488" s="38" t="s">
        <v>130</v>
      </c>
      <c r="H488" s="44"/>
      <c r="I488" s="44"/>
      <c r="J488" s="44"/>
      <c r="K488" s="44"/>
      <c r="L488" s="44"/>
      <c r="M488" s="44"/>
      <c r="N488" s="44"/>
      <c r="O488" s="44"/>
      <c r="P488" s="44"/>
      <c r="Q488" s="44"/>
      <c r="R488" s="44"/>
      <c r="S488" s="44"/>
      <c r="T488" s="44"/>
      <c r="U488" s="44"/>
      <c r="V488" s="44"/>
      <c r="W488" s="44"/>
      <c r="X488" s="44"/>
      <c r="Y488" s="44"/>
      <c r="Z488" s="44"/>
      <c r="AA488" s="44"/>
      <c r="AB488" s="44"/>
      <c r="AC488" s="44"/>
      <c r="AD488" s="44"/>
      <c r="AE488" s="44"/>
      <c r="AF488" s="44"/>
    </row>
    <row r="489" spans="1:32" x14ac:dyDescent="0.3">
      <c r="A489" s="38" t="s">
        <v>227</v>
      </c>
      <c r="B489" s="38" t="s">
        <v>174</v>
      </c>
      <c r="C489" s="38" t="s">
        <v>226</v>
      </c>
      <c r="D489" s="39" t="s">
        <v>183</v>
      </c>
      <c r="E489" s="39" t="s">
        <v>177</v>
      </c>
      <c r="F489" s="38" t="s">
        <v>136</v>
      </c>
      <c r="G489" s="38" t="s">
        <v>130</v>
      </c>
      <c r="H489" s="44">
        <f>SUM(I489:AF489)</f>
        <v>8000</v>
      </c>
      <c r="I489" s="44">
        <f t="shared" ref="I489:AF489" si="111">IF(AND(ISBLANK(I492) = TRUE,ISBLANK(I491) = TRUE),I490,I491+I492)</f>
        <v>0</v>
      </c>
      <c r="J489" s="44">
        <f t="shared" si="111"/>
        <v>0</v>
      </c>
      <c r="K489" s="44">
        <f t="shared" si="111"/>
        <v>0</v>
      </c>
      <c r="L489" s="44">
        <f t="shared" si="111"/>
        <v>0</v>
      </c>
      <c r="M489" s="44">
        <f t="shared" si="111"/>
        <v>0</v>
      </c>
      <c r="N489" s="44">
        <f t="shared" si="111"/>
        <v>8000</v>
      </c>
      <c r="O489" s="44">
        <f t="shared" si="111"/>
        <v>0</v>
      </c>
      <c r="P489" s="44">
        <f t="shared" si="111"/>
        <v>0</v>
      </c>
      <c r="Q489" s="44">
        <f t="shared" si="111"/>
        <v>0</v>
      </c>
      <c r="R489" s="44">
        <f t="shared" si="111"/>
        <v>0</v>
      </c>
      <c r="S489" s="44">
        <f t="shared" si="111"/>
        <v>0</v>
      </c>
      <c r="T489" s="44">
        <f t="shared" si="111"/>
        <v>0</v>
      </c>
      <c r="U489" s="44">
        <f t="shared" si="111"/>
        <v>0</v>
      </c>
      <c r="V489" s="44">
        <f t="shared" si="111"/>
        <v>0</v>
      </c>
      <c r="W489" s="44">
        <f t="shared" si="111"/>
        <v>0</v>
      </c>
      <c r="X489" s="44">
        <f t="shared" si="111"/>
        <v>0</v>
      </c>
      <c r="Y489" s="44">
        <f t="shared" si="111"/>
        <v>0</v>
      </c>
      <c r="Z489" s="44">
        <f t="shared" si="111"/>
        <v>0</v>
      </c>
      <c r="AA489" s="44">
        <f t="shared" si="111"/>
        <v>0</v>
      </c>
      <c r="AB489" s="44">
        <f t="shared" si="111"/>
        <v>0</v>
      </c>
      <c r="AC489" s="44">
        <f t="shared" si="111"/>
        <v>0</v>
      </c>
      <c r="AD489" s="44">
        <f t="shared" si="111"/>
        <v>0</v>
      </c>
      <c r="AE489" s="44">
        <f t="shared" si="111"/>
        <v>0</v>
      </c>
      <c r="AF489" s="44">
        <f t="shared" si="111"/>
        <v>0</v>
      </c>
    </row>
    <row r="490" spans="1:32" x14ac:dyDescent="0.3">
      <c r="A490" s="38" t="s">
        <v>227</v>
      </c>
      <c r="B490" s="38" t="s">
        <v>174</v>
      </c>
      <c r="C490" s="38" t="s">
        <v>226</v>
      </c>
      <c r="D490" s="39" t="s">
        <v>183</v>
      </c>
      <c r="E490" s="39" t="s">
        <v>177</v>
      </c>
      <c r="F490" s="38" t="s">
        <v>124</v>
      </c>
      <c r="G490" s="38" t="s">
        <v>130</v>
      </c>
      <c r="H490" s="44">
        <v>8000</v>
      </c>
      <c r="I490" s="44"/>
      <c r="J490" s="44"/>
      <c r="K490" s="44"/>
      <c r="L490" s="44"/>
      <c r="M490" s="44"/>
      <c r="N490" s="44">
        <v>8000</v>
      </c>
      <c r="O490" s="44"/>
      <c r="P490" s="44"/>
      <c r="Q490" s="44"/>
      <c r="R490" s="44"/>
      <c r="S490" s="44"/>
      <c r="T490" s="44"/>
      <c r="U490" s="44"/>
      <c r="V490" s="44"/>
      <c r="W490" s="44"/>
      <c r="X490" s="44"/>
      <c r="Y490" s="44"/>
      <c r="Z490" s="44"/>
      <c r="AA490" s="44"/>
      <c r="AB490" s="44"/>
      <c r="AC490" s="44"/>
      <c r="AD490" s="44"/>
      <c r="AE490" s="44"/>
      <c r="AF490" s="44"/>
    </row>
    <row r="491" spans="1:32" x14ac:dyDescent="0.3">
      <c r="A491" s="38" t="s">
        <v>227</v>
      </c>
      <c r="B491" s="38" t="s">
        <v>174</v>
      </c>
      <c r="C491" s="38" t="s">
        <v>226</v>
      </c>
      <c r="D491" s="39" t="s">
        <v>183</v>
      </c>
      <c r="E491" s="39" t="s">
        <v>177</v>
      </c>
      <c r="F491" s="38" t="s">
        <v>137</v>
      </c>
      <c r="G491" s="38" t="s">
        <v>130</v>
      </c>
      <c r="H491" s="44">
        <f>SUM(I491:AF491)</f>
        <v>0</v>
      </c>
      <c r="I491" s="44"/>
      <c r="J491" s="44"/>
      <c r="K491" s="44"/>
      <c r="L491" s="44"/>
      <c r="M491" s="44"/>
      <c r="N491" s="44"/>
      <c r="O491" s="44"/>
      <c r="P491" s="44"/>
      <c r="Q491" s="44"/>
      <c r="R491" s="44"/>
      <c r="S491" s="44"/>
      <c r="T491" s="44"/>
      <c r="U491" s="44"/>
      <c r="V491" s="44"/>
      <c r="W491" s="44"/>
      <c r="X491" s="44"/>
      <c r="Y491" s="44"/>
      <c r="Z491" s="44"/>
      <c r="AA491" s="44"/>
      <c r="AB491" s="44"/>
      <c r="AC491" s="44"/>
      <c r="AD491" s="44"/>
      <c r="AE491" s="44"/>
      <c r="AF491" s="44"/>
    </row>
    <row r="492" spans="1:32" x14ac:dyDescent="0.3">
      <c r="A492" s="38" t="s">
        <v>227</v>
      </c>
      <c r="B492" s="38" t="s">
        <v>174</v>
      </c>
      <c r="C492" s="38" t="s">
        <v>226</v>
      </c>
      <c r="D492" s="39" t="s">
        <v>183</v>
      </c>
      <c r="E492" s="39" t="s">
        <v>177</v>
      </c>
      <c r="F492" s="38" t="s">
        <v>138</v>
      </c>
      <c r="G492" s="38" t="s">
        <v>130</v>
      </c>
      <c r="H492" s="44">
        <f>SUM(I492:AF492)</f>
        <v>0</v>
      </c>
      <c r="I492" s="44"/>
      <c r="J492" s="44"/>
      <c r="K492" s="44"/>
      <c r="L492" s="44"/>
      <c r="M492" s="44"/>
      <c r="N492" s="44"/>
      <c r="O492" s="44"/>
      <c r="P492" s="44"/>
      <c r="Q492" s="44"/>
      <c r="R492" s="44"/>
      <c r="S492" s="44"/>
      <c r="T492" s="44"/>
      <c r="U492" s="44"/>
      <c r="V492" s="44"/>
      <c r="W492" s="44"/>
      <c r="X492" s="44"/>
      <c r="Y492" s="44"/>
      <c r="Z492" s="44"/>
      <c r="AA492" s="44"/>
      <c r="AB492" s="44"/>
      <c r="AC492" s="44"/>
      <c r="AD492" s="44"/>
      <c r="AE492" s="44"/>
      <c r="AF492" s="44"/>
    </row>
    <row r="493" spans="1:32" x14ac:dyDescent="0.3">
      <c r="A493" s="38" t="s">
        <v>227</v>
      </c>
      <c r="B493" s="38" t="s">
        <v>174</v>
      </c>
      <c r="C493" s="38" t="s">
        <v>226</v>
      </c>
      <c r="D493" s="39" t="s">
        <v>183</v>
      </c>
      <c r="E493" s="39" t="s">
        <v>177</v>
      </c>
      <c r="F493" s="38" t="s">
        <v>139</v>
      </c>
      <c r="G493" s="38" t="s">
        <v>130</v>
      </c>
      <c r="H493" s="44">
        <v>8000</v>
      </c>
      <c r="I493" s="44"/>
      <c r="J493" s="44"/>
      <c r="K493" s="44"/>
      <c r="L493" s="44"/>
      <c r="M493" s="44"/>
      <c r="N493" s="44">
        <v>8000</v>
      </c>
      <c r="O493" s="44"/>
      <c r="P493" s="44"/>
      <c r="Q493" s="44"/>
      <c r="R493" s="44"/>
      <c r="S493" s="44"/>
      <c r="T493" s="44"/>
      <c r="U493" s="44"/>
      <c r="V493" s="44"/>
      <c r="W493" s="44"/>
      <c r="X493" s="44"/>
      <c r="Y493" s="44"/>
      <c r="Z493" s="44"/>
      <c r="AA493" s="44"/>
      <c r="AB493" s="44"/>
      <c r="AC493" s="44"/>
      <c r="AD493" s="44"/>
      <c r="AE493" s="44"/>
      <c r="AF493" s="44"/>
    </row>
    <row r="494" spans="1:32" x14ac:dyDescent="0.3">
      <c r="A494" s="38" t="s">
        <v>227</v>
      </c>
      <c r="B494" s="38" t="s">
        <v>174</v>
      </c>
      <c r="C494" s="38" t="s">
        <v>226</v>
      </c>
      <c r="D494" s="39" t="s">
        <v>183</v>
      </c>
      <c r="E494" s="39" t="s">
        <v>177</v>
      </c>
      <c r="F494" s="38" t="s">
        <v>140</v>
      </c>
      <c r="G494" s="38" t="s">
        <v>130</v>
      </c>
      <c r="H494" s="44"/>
      <c r="I494" s="44">
        <f>I489-(I484+I483)+(I488+I487+I486+I485)</f>
        <v>1645.5</v>
      </c>
      <c r="J494" s="44">
        <f t="shared" ref="J494:AF494" si="112">I494+J489-J484</f>
        <v>1559.5</v>
      </c>
      <c r="K494" s="44">
        <f t="shared" si="112"/>
        <v>1485.5</v>
      </c>
      <c r="L494" s="44">
        <f t="shared" si="112"/>
        <v>1411.5</v>
      </c>
      <c r="M494" s="44">
        <f t="shared" si="112"/>
        <v>1342.5</v>
      </c>
      <c r="N494" s="44">
        <f t="shared" si="112"/>
        <v>9274</v>
      </c>
      <c r="O494" s="44">
        <f t="shared" si="112"/>
        <v>9205.5</v>
      </c>
      <c r="P494" s="44">
        <f t="shared" si="112"/>
        <v>9137.5</v>
      </c>
      <c r="Q494" s="44">
        <f t="shared" si="112"/>
        <v>9065.5</v>
      </c>
      <c r="R494" s="44">
        <f t="shared" si="112"/>
        <v>8991</v>
      </c>
      <c r="S494" s="44">
        <f t="shared" si="112"/>
        <v>8916.5</v>
      </c>
      <c r="T494" s="44">
        <f t="shared" si="112"/>
        <v>8842</v>
      </c>
      <c r="U494" s="44">
        <f t="shared" si="112"/>
        <v>8767.5</v>
      </c>
      <c r="V494" s="44">
        <f t="shared" si="112"/>
        <v>8693</v>
      </c>
      <c r="W494" s="44">
        <f t="shared" si="112"/>
        <v>8618.5</v>
      </c>
      <c r="X494" s="44">
        <f t="shared" si="112"/>
        <v>8544</v>
      </c>
      <c r="Y494" s="44">
        <f t="shared" si="112"/>
        <v>8469.5</v>
      </c>
      <c r="Z494" s="44">
        <f t="shared" si="112"/>
        <v>8395</v>
      </c>
      <c r="AA494" s="44">
        <f t="shared" si="112"/>
        <v>8319.5</v>
      </c>
      <c r="AB494" s="44">
        <f t="shared" si="112"/>
        <v>8244.5</v>
      </c>
      <c r="AC494" s="44">
        <f t="shared" si="112"/>
        <v>8169.5</v>
      </c>
      <c r="AD494" s="44">
        <f t="shared" si="112"/>
        <v>8110</v>
      </c>
      <c r="AE494" s="44">
        <f t="shared" si="112"/>
        <v>8055.5</v>
      </c>
      <c r="AF494" s="44">
        <f t="shared" si="112"/>
        <v>8001</v>
      </c>
    </row>
    <row r="495" spans="1:32" ht="15" thickBot="1" x14ac:dyDescent="0.35">
      <c r="A495" s="40" t="s">
        <v>227</v>
      </c>
      <c r="B495" s="40" t="s">
        <v>174</v>
      </c>
      <c r="C495" s="40" t="s">
        <v>226</v>
      </c>
      <c r="D495" s="41" t="s">
        <v>183</v>
      </c>
      <c r="E495" s="41" t="s">
        <v>177</v>
      </c>
      <c r="F495" s="40" t="s">
        <v>141</v>
      </c>
      <c r="G495" s="40" t="s">
        <v>130</v>
      </c>
      <c r="H495" s="45"/>
      <c r="I495" s="45">
        <f>I489-I493</f>
        <v>0</v>
      </c>
      <c r="J495" s="45">
        <f t="shared" ref="J495:AF495" si="113">I495+J489-J493</f>
        <v>0</v>
      </c>
      <c r="K495" s="45">
        <f t="shared" si="113"/>
        <v>0</v>
      </c>
      <c r="L495" s="45">
        <f t="shared" si="113"/>
        <v>0</v>
      </c>
      <c r="M495" s="45">
        <f t="shared" si="113"/>
        <v>0</v>
      </c>
      <c r="N495" s="45">
        <f t="shared" si="113"/>
        <v>0</v>
      </c>
      <c r="O495" s="45">
        <f t="shared" si="113"/>
        <v>0</v>
      </c>
      <c r="P495" s="45">
        <f t="shared" si="113"/>
        <v>0</v>
      </c>
      <c r="Q495" s="45">
        <f t="shared" si="113"/>
        <v>0</v>
      </c>
      <c r="R495" s="45">
        <f t="shared" si="113"/>
        <v>0</v>
      </c>
      <c r="S495" s="45">
        <f t="shared" si="113"/>
        <v>0</v>
      </c>
      <c r="T495" s="45">
        <f t="shared" si="113"/>
        <v>0</v>
      </c>
      <c r="U495" s="45">
        <f t="shared" si="113"/>
        <v>0</v>
      </c>
      <c r="V495" s="45">
        <f t="shared" si="113"/>
        <v>0</v>
      </c>
      <c r="W495" s="45">
        <f t="shared" si="113"/>
        <v>0</v>
      </c>
      <c r="X495" s="45">
        <f t="shared" si="113"/>
        <v>0</v>
      </c>
      <c r="Y495" s="45">
        <f t="shared" si="113"/>
        <v>0</v>
      </c>
      <c r="Z495" s="45">
        <f t="shared" si="113"/>
        <v>0</v>
      </c>
      <c r="AA495" s="45">
        <f t="shared" si="113"/>
        <v>0</v>
      </c>
      <c r="AB495" s="45">
        <f t="shared" si="113"/>
        <v>0</v>
      </c>
      <c r="AC495" s="45">
        <f t="shared" si="113"/>
        <v>0</v>
      </c>
      <c r="AD495" s="45">
        <f t="shared" si="113"/>
        <v>0</v>
      </c>
      <c r="AE495" s="45">
        <f t="shared" si="113"/>
        <v>0</v>
      </c>
      <c r="AF495" s="45">
        <f t="shared" si="113"/>
        <v>0</v>
      </c>
    </row>
    <row r="496" spans="1:32" x14ac:dyDescent="0.3">
      <c r="A496" s="38" t="s">
        <v>228</v>
      </c>
      <c r="B496" s="38" t="s">
        <v>174</v>
      </c>
      <c r="C496" s="38" t="s">
        <v>229</v>
      </c>
      <c r="D496" s="39" t="s">
        <v>183</v>
      </c>
      <c r="E496" s="39" t="s">
        <v>177</v>
      </c>
      <c r="F496" s="38" t="s">
        <v>129</v>
      </c>
      <c r="G496" s="38" t="s">
        <v>130</v>
      </c>
      <c r="H496" s="44">
        <v>38472.86</v>
      </c>
      <c r="I496" s="44">
        <v>38472.86</v>
      </c>
      <c r="J496" s="44"/>
      <c r="K496" s="44"/>
      <c r="L496" s="44"/>
      <c r="M496" s="44"/>
      <c r="N496" s="44"/>
      <c r="O496" s="44"/>
      <c r="P496" s="44"/>
      <c r="Q496" s="44"/>
      <c r="R496" s="44"/>
      <c r="S496" s="44"/>
      <c r="T496" s="44"/>
      <c r="U496" s="44"/>
      <c r="V496" s="44"/>
      <c r="W496" s="44"/>
      <c r="X496" s="44"/>
      <c r="Y496" s="44"/>
      <c r="Z496" s="44"/>
      <c r="AA496" s="44"/>
      <c r="AB496" s="44"/>
      <c r="AC496" s="44"/>
      <c r="AD496" s="44"/>
      <c r="AE496" s="44"/>
      <c r="AF496" s="44"/>
    </row>
    <row r="497" spans="1:32" x14ac:dyDescent="0.3">
      <c r="A497" s="38" t="s">
        <v>228</v>
      </c>
      <c r="B497" s="38" t="s">
        <v>174</v>
      </c>
      <c r="C497" s="38" t="s">
        <v>229</v>
      </c>
      <c r="D497" s="39" t="s">
        <v>183</v>
      </c>
      <c r="E497" s="39" t="s">
        <v>177</v>
      </c>
      <c r="F497" s="38" t="s">
        <v>131</v>
      </c>
      <c r="G497" s="38" t="s">
        <v>130</v>
      </c>
      <c r="H497" s="44">
        <v>322331.7</v>
      </c>
      <c r="I497" s="44">
        <v>13874.3</v>
      </c>
      <c r="J497" s="44">
        <v>13791.59</v>
      </c>
      <c r="K497" s="44">
        <v>12339.83</v>
      </c>
      <c r="L497" s="44">
        <v>14091.91</v>
      </c>
      <c r="M497" s="44">
        <v>15000.09</v>
      </c>
      <c r="N497" s="44">
        <v>15631.65</v>
      </c>
      <c r="O497" s="44">
        <v>13889.15</v>
      </c>
      <c r="P497" s="44">
        <v>14762.65</v>
      </c>
      <c r="Q497" s="44">
        <v>16960.259999999998</v>
      </c>
      <c r="R497" s="44">
        <v>13388.8</v>
      </c>
      <c r="S497" s="44">
        <v>12715.96</v>
      </c>
      <c r="T497" s="44">
        <v>12818.46</v>
      </c>
      <c r="U497" s="44">
        <v>15728.95</v>
      </c>
      <c r="V497" s="44">
        <v>12694.85</v>
      </c>
      <c r="W497" s="44">
        <v>13849.18</v>
      </c>
      <c r="X497" s="44">
        <v>13746.18</v>
      </c>
      <c r="Y497" s="44">
        <v>16614.18</v>
      </c>
      <c r="Z497" s="44">
        <v>13155.57</v>
      </c>
      <c r="AA497" s="44">
        <v>13101.08</v>
      </c>
      <c r="AB497" s="44">
        <v>12621.09</v>
      </c>
      <c r="AC497" s="44">
        <v>12581.08</v>
      </c>
      <c r="AD497" s="44">
        <v>10270.049999999999</v>
      </c>
      <c r="AE497" s="44">
        <v>9354.17</v>
      </c>
      <c r="AF497" s="44">
        <v>9350.67</v>
      </c>
    </row>
    <row r="498" spans="1:32" x14ac:dyDescent="0.3">
      <c r="A498" s="38" t="s">
        <v>228</v>
      </c>
      <c r="B498" s="38" t="s">
        <v>174</v>
      </c>
      <c r="C498" s="38" t="s">
        <v>229</v>
      </c>
      <c r="D498" s="39" t="s">
        <v>183</v>
      </c>
      <c r="E498" s="39" t="s">
        <v>177</v>
      </c>
      <c r="F498" s="38" t="s">
        <v>132</v>
      </c>
      <c r="G498" s="38" t="s">
        <v>130</v>
      </c>
      <c r="H498" s="44">
        <v>19404</v>
      </c>
      <c r="I498" s="44">
        <v>19404</v>
      </c>
      <c r="J498" s="44"/>
      <c r="K498" s="44"/>
      <c r="L498" s="44"/>
      <c r="M498" s="44"/>
      <c r="N498" s="44"/>
      <c r="O498" s="44"/>
      <c r="P498" s="44"/>
      <c r="Q498" s="44"/>
      <c r="R498" s="44"/>
      <c r="S498" s="44"/>
      <c r="T498" s="44"/>
      <c r="U498" s="44"/>
      <c r="V498" s="44"/>
      <c r="W498" s="44"/>
      <c r="X498" s="44"/>
      <c r="Y498" s="44"/>
      <c r="Z498" s="44"/>
      <c r="AA498" s="44"/>
      <c r="AB498" s="44"/>
      <c r="AC498" s="44"/>
      <c r="AD498" s="44"/>
      <c r="AE498" s="44"/>
      <c r="AF498" s="44"/>
    </row>
    <row r="499" spans="1:32" x14ac:dyDescent="0.3">
      <c r="A499" s="38" t="s">
        <v>228</v>
      </c>
      <c r="B499" s="38" t="s">
        <v>174</v>
      </c>
      <c r="C499" s="38" t="s">
        <v>229</v>
      </c>
      <c r="D499" s="39" t="s">
        <v>183</v>
      </c>
      <c r="E499" s="39" t="s">
        <v>177</v>
      </c>
      <c r="F499" s="38" t="s">
        <v>133</v>
      </c>
      <c r="G499" s="38" t="s">
        <v>130</v>
      </c>
      <c r="H499" s="44">
        <v>0</v>
      </c>
      <c r="I499" s="44">
        <v>0</v>
      </c>
      <c r="J499" s="44"/>
      <c r="K499" s="44"/>
      <c r="L499" s="44"/>
      <c r="M499" s="44"/>
      <c r="N499" s="44"/>
      <c r="O499" s="44"/>
      <c r="P499" s="44"/>
      <c r="Q499" s="44"/>
      <c r="R499" s="44"/>
      <c r="S499" s="44"/>
      <c r="T499" s="44"/>
      <c r="U499" s="44"/>
      <c r="V499" s="44"/>
      <c r="W499" s="44"/>
      <c r="X499" s="44"/>
      <c r="Y499" s="44"/>
      <c r="Z499" s="44"/>
      <c r="AA499" s="44"/>
      <c r="AB499" s="44"/>
      <c r="AC499" s="44"/>
      <c r="AD499" s="44"/>
      <c r="AE499" s="44"/>
      <c r="AF499" s="44"/>
    </row>
    <row r="500" spans="1:32" x14ac:dyDescent="0.3">
      <c r="A500" s="38" t="s">
        <v>228</v>
      </c>
      <c r="B500" s="38" t="s">
        <v>174</v>
      </c>
      <c r="C500" s="38" t="s">
        <v>229</v>
      </c>
      <c r="D500" s="39" t="s">
        <v>183</v>
      </c>
      <c r="E500" s="39" t="s">
        <v>177</v>
      </c>
      <c r="F500" s="38" t="s">
        <v>134</v>
      </c>
      <c r="G500" s="38" t="s">
        <v>130</v>
      </c>
      <c r="H500" s="44">
        <v>3239</v>
      </c>
      <c r="I500" s="44">
        <v>3239</v>
      </c>
      <c r="J500" s="44"/>
      <c r="K500" s="44"/>
      <c r="L500" s="44"/>
      <c r="M500" s="44"/>
      <c r="N500" s="44"/>
      <c r="O500" s="44"/>
      <c r="P500" s="44"/>
      <c r="Q500" s="44"/>
      <c r="R500" s="44"/>
      <c r="S500" s="44"/>
      <c r="T500" s="44"/>
      <c r="U500" s="44"/>
      <c r="V500" s="44"/>
      <c r="W500" s="44"/>
      <c r="X500" s="44"/>
      <c r="Y500" s="44"/>
      <c r="Z500" s="44"/>
      <c r="AA500" s="44"/>
      <c r="AB500" s="44"/>
      <c r="AC500" s="44"/>
      <c r="AD500" s="44"/>
      <c r="AE500" s="44"/>
      <c r="AF500" s="44"/>
    </row>
    <row r="501" spans="1:32" x14ac:dyDescent="0.3">
      <c r="A501" s="38" t="s">
        <v>228</v>
      </c>
      <c r="B501" s="38" t="s">
        <v>174</v>
      </c>
      <c r="C501" s="38" t="s">
        <v>229</v>
      </c>
      <c r="D501" s="39" t="s">
        <v>183</v>
      </c>
      <c r="E501" s="39" t="s">
        <v>177</v>
      </c>
      <c r="F501" s="38" t="s">
        <v>135</v>
      </c>
      <c r="G501" s="38" t="s">
        <v>130</v>
      </c>
      <c r="H501" s="44"/>
      <c r="I501" s="44"/>
      <c r="J501" s="44"/>
      <c r="K501" s="44"/>
      <c r="L501" s="44"/>
      <c r="M501" s="44"/>
      <c r="N501" s="44"/>
      <c r="O501" s="44"/>
      <c r="P501" s="44"/>
      <c r="Q501" s="44"/>
      <c r="R501" s="44"/>
      <c r="S501" s="44"/>
      <c r="T501" s="44"/>
      <c r="U501" s="44"/>
      <c r="V501" s="44"/>
      <c r="W501" s="44"/>
      <c r="X501" s="44"/>
      <c r="Y501" s="44"/>
      <c r="Z501" s="44"/>
      <c r="AA501" s="44"/>
      <c r="AB501" s="44"/>
      <c r="AC501" s="44"/>
      <c r="AD501" s="44"/>
      <c r="AE501" s="44"/>
      <c r="AF501" s="44"/>
    </row>
    <row r="502" spans="1:32" x14ac:dyDescent="0.3">
      <c r="A502" s="38" t="s">
        <v>228</v>
      </c>
      <c r="B502" s="38" t="s">
        <v>174</v>
      </c>
      <c r="C502" s="38" t="s">
        <v>229</v>
      </c>
      <c r="D502" s="39" t="s">
        <v>183</v>
      </c>
      <c r="E502" s="39" t="s">
        <v>177</v>
      </c>
      <c r="F502" s="38" t="s">
        <v>136</v>
      </c>
      <c r="G502" s="38" t="s">
        <v>130</v>
      </c>
      <c r="H502" s="44">
        <f>SUM(I502:AF502)</f>
        <v>259200</v>
      </c>
      <c r="I502" s="44">
        <f t="shared" ref="I502:AF502" si="114">IF(AND(ISBLANK(I505) = TRUE,ISBLANK(I504) = TRUE),I503,I504+I505)</f>
        <v>17280</v>
      </c>
      <c r="J502" s="44">
        <f t="shared" si="114"/>
        <v>15120</v>
      </c>
      <c r="K502" s="44">
        <f t="shared" si="114"/>
        <v>10800</v>
      </c>
      <c r="L502" s="44">
        <f t="shared" si="114"/>
        <v>21600</v>
      </c>
      <c r="M502" s="44">
        <f t="shared" si="114"/>
        <v>21600</v>
      </c>
      <c r="N502" s="44">
        <f t="shared" si="114"/>
        <v>21600</v>
      </c>
      <c r="O502" s="44">
        <f t="shared" si="114"/>
        <v>21600</v>
      </c>
      <c r="P502" s="44">
        <f t="shared" si="114"/>
        <v>21600</v>
      </c>
      <c r="Q502" s="44">
        <f t="shared" si="114"/>
        <v>21600</v>
      </c>
      <c r="R502" s="44">
        <f t="shared" si="114"/>
        <v>21600</v>
      </c>
      <c r="S502" s="44">
        <f t="shared" si="114"/>
        <v>21600</v>
      </c>
      <c r="T502" s="44">
        <f t="shared" si="114"/>
        <v>21600</v>
      </c>
      <c r="U502" s="44">
        <f t="shared" si="114"/>
        <v>0</v>
      </c>
      <c r="V502" s="44">
        <f t="shared" si="114"/>
        <v>21600</v>
      </c>
      <c r="W502" s="44">
        <f t="shared" si="114"/>
        <v>0</v>
      </c>
      <c r="X502" s="44">
        <f t="shared" si="114"/>
        <v>0</v>
      </c>
      <c r="Y502" s="44">
        <f t="shared" si="114"/>
        <v>0</v>
      </c>
      <c r="Z502" s="44">
        <f t="shared" si="114"/>
        <v>0</v>
      </c>
      <c r="AA502" s="44">
        <f t="shared" si="114"/>
        <v>0</v>
      </c>
      <c r="AB502" s="44">
        <f t="shared" si="114"/>
        <v>0</v>
      </c>
      <c r="AC502" s="44">
        <f t="shared" si="114"/>
        <v>0</v>
      </c>
      <c r="AD502" s="44">
        <f t="shared" si="114"/>
        <v>0</v>
      </c>
      <c r="AE502" s="44">
        <f t="shared" si="114"/>
        <v>0</v>
      </c>
      <c r="AF502" s="44">
        <f t="shared" si="114"/>
        <v>0</v>
      </c>
    </row>
    <row r="503" spans="1:32" x14ac:dyDescent="0.3">
      <c r="A503" s="38" t="s">
        <v>228</v>
      </c>
      <c r="B503" s="38" t="s">
        <v>174</v>
      </c>
      <c r="C503" s="38" t="s">
        <v>229</v>
      </c>
      <c r="D503" s="39" t="s">
        <v>183</v>
      </c>
      <c r="E503" s="39" t="s">
        <v>177</v>
      </c>
      <c r="F503" s="38" t="s">
        <v>124</v>
      </c>
      <c r="G503" s="38" t="s">
        <v>130</v>
      </c>
      <c r="H503" s="44">
        <v>259200</v>
      </c>
      <c r="I503" s="44">
        <v>17280</v>
      </c>
      <c r="J503" s="44">
        <v>15120</v>
      </c>
      <c r="K503" s="44">
        <v>10800</v>
      </c>
      <c r="L503" s="44">
        <v>21600</v>
      </c>
      <c r="M503" s="44">
        <v>21600</v>
      </c>
      <c r="N503" s="44">
        <v>21600</v>
      </c>
      <c r="O503" s="44">
        <v>21600</v>
      </c>
      <c r="P503" s="44">
        <v>21600</v>
      </c>
      <c r="Q503" s="44">
        <v>21600</v>
      </c>
      <c r="R503" s="44">
        <v>21600</v>
      </c>
      <c r="S503" s="44">
        <v>21600</v>
      </c>
      <c r="T503" s="44">
        <v>21600</v>
      </c>
      <c r="U503" s="44"/>
      <c r="V503" s="44">
        <v>21600</v>
      </c>
      <c r="W503" s="44"/>
      <c r="X503" s="44"/>
      <c r="Y503" s="44"/>
      <c r="Z503" s="44"/>
      <c r="AA503" s="44"/>
      <c r="AB503" s="44"/>
      <c r="AC503" s="44"/>
      <c r="AD503" s="44"/>
      <c r="AE503" s="44"/>
      <c r="AF503" s="44"/>
    </row>
    <row r="504" spans="1:32" x14ac:dyDescent="0.3">
      <c r="A504" s="38" t="s">
        <v>228</v>
      </c>
      <c r="B504" s="38" t="s">
        <v>174</v>
      </c>
      <c r="C504" s="38" t="s">
        <v>229</v>
      </c>
      <c r="D504" s="39" t="s">
        <v>183</v>
      </c>
      <c r="E504" s="39" t="s">
        <v>177</v>
      </c>
      <c r="F504" s="38" t="s">
        <v>137</v>
      </c>
      <c r="G504" s="38" t="s">
        <v>130</v>
      </c>
      <c r="H504" s="44">
        <f>SUM(I504:AF504)</f>
        <v>0</v>
      </c>
      <c r="I504" s="44"/>
      <c r="J504" s="44"/>
      <c r="K504" s="44"/>
      <c r="L504" s="44"/>
      <c r="M504" s="44"/>
      <c r="N504" s="44"/>
      <c r="O504" s="44"/>
      <c r="P504" s="44"/>
      <c r="Q504" s="44"/>
      <c r="R504" s="44"/>
      <c r="S504" s="44"/>
      <c r="T504" s="44"/>
      <c r="U504" s="44"/>
      <c r="V504" s="44"/>
      <c r="W504" s="44"/>
      <c r="X504" s="44"/>
      <c r="Y504" s="44"/>
      <c r="Z504" s="44"/>
      <c r="AA504" s="44"/>
      <c r="AB504" s="44"/>
      <c r="AC504" s="44"/>
      <c r="AD504" s="44"/>
      <c r="AE504" s="44"/>
      <c r="AF504" s="44"/>
    </row>
    <row r="505" spans="1:32" x14ac:dyDescent="0.3">
      <c r="A505" s="38" t="s">
        <v>228</v>
      </c>
      <c r="B505" s="38" t="s">
        <v>174</v>
      </c>
      <c r="C505" s="38" t="s">
        <v>229</v>
      </c>
      <c r="D505" s="39" t="s">
        <v>183</v>
      </c>
      <c r="E505" s="39" t="s">
        <v>177</v>
      </c>
      <c r="F505" s="38" t="s">
        <v>138</v>
      </c>
      <c r="G505" s="38" t="s">
        <v>130</v>
      </c>
      <c r="H505" s="44">
        <f>SUM(I505:AF505)</f>
        <v>0</v>
      </c>
      <c r="I505" s="44"/>
      <c r="J505" s="44"/>
      <c r="K505" s="44"/>
      <c r="L505" s="44"/>
      <c r="M505" s="44"/>
      <c r="N505" s="44"/>
      <c r="O505" s="44"/>
      <c r="P505" s="44"/>
      <c r="Q505" s="44"/>
      <c r="R505" s="44"/>
      <c r="S505" s="44"/>
      <c r="T505" s="44"/>
      <c r="U505" s="44"/>
      <c r="V505" s="44"/>
      <c r="W505" s="44"/>
      <c r="X505" s="44"/>
      <c r="Y505" s="44"/>
      <c r="Z505" s="44"/>
      <c r="AA505" s="44"/>
      <c r="AB505" s="44"/>
      <c r="AC505" s="44"/>
      <c r="AD505" s="44"/>
      <c r="AE505" s="44"/>
      <c r="AF505" s="44"/>
    </row>
    <row r="506" spans="1:32" x14ac:dyDescent="0.3">
      <c r="A506" s="38" t="s">
        <v>228</v>
      </c>
      <c r="B506" s="38" t="s">
        <v>174</v>
      </c>
      <c r="C506" s="38" t="s">
        <v>229</v>
      </c>
      <c r="D506" s="39" t="s">
        <v>183</v>
      </c>
      <c r="E506" s="39" t="s">
        <v>177</v>
      </c>
      <c r="F506" s="38" t="s">
        <v>139</v>
      </c>
      <c r="G506" s="38" t="s">
        <v>130</v>
      </c>
      <c r="H506" s="44">
        <v>259200</v>
      </c>
      <c r="I506" s="44">
        <v>17280</v>
      </c>
      <c r="J506" s="44">
        <v>15120</v>
      </c>
      <c r="K506" s="44">
        <v>10800</v>
      </c>
      <c r="L506" s="44">
        <v>21600</v>
      </c>
      <c r="M506" s="44">
        <v>21600</v>
      </c>
      <c r="N506" s="44">
        <v>21600</v>
      </c>
      <c r="O506" s="44">
        <v>21600</v>
      </c>
      <c r="P506" s="44">
        <v>21600</v>
      </c>
      <c r="Q506" s="44">
        <v>21600</v>
      </c>
      <c r="R506" s="44">
        <v>21600</v>
      </c>
      <c r="S506" s="44">
        <v>21600</v>
      </c>
      <c r="T506" s="44">
        <v>21600</v>
      </c>
      <c r="U506" s="44"/>
      <c r="V506" s="44">
        <v>21600</v>
      </c>
      <c r="W506" s="44"/>
      <c r="X506" s="44"/>
      <c r="Y506" s="44"/>
      <c r="Z506" s="44"/>
      <c r="AA506" s="44"/>
      <c r="AB506" s="44"/>
      <c r="AC506" s="44"/>
      <c r="AD506" s="44"/>
      <c r="AE506" s="44"/>
      <c r="AF506" s="44"/>
    </row>
    <row r="507" spans="1:32" x14ac:dyDescent="0.3">
      <c r="A507" s="38" t="s">
        <v>228</v>
      </c>
      <c r="B507" s="38" t="s">
        <v>174</v>
      </c>
      <c r="C507" s="38" t="s">
        <v>229</v>
      </c>
      <c r="D507" s="39" t="s">
        <v>183</v>
      </c>
      <c r="E507" s="39" t="s">
        <v>177</v>
      </c>
      <c r="F507" s="38" t="s">
        <v>140</v>
      </c>
      <c r="G507" s="38" t="s">
        <v>130</v>
      </c>
      <c r="H507" s="44"/>
      <c r="I507" s="44">
        <f>I502-(I497+I496)+(I501+I500+I499+I498)</f>
        <v>-12424.160000000003</v>
      </c>
      <c r="J507" s="44">
        <f t="shared" ref="J507:AF507" si="115">I507+J502-J497</f>
        <v>-11095.750000000004</v>
      </c>
      <c r="K507" s="44">
        <f t="shared" si="115"/>
        <v>-12635.580000000004</v>
      </c>
      <c r="L507" s="44">
        <f t="shared" si="115"/>
        <v>-5127.4900000000034</v>
      </c>
      <c r="M507" s="44">
        <f t="shared" si="115"/>
        <v>1472.4199999999946</v>
      </c>
      <c r="N507" s="44">
        <f t="shared" si="115"/>
        <v>7440.769999999995</v>
      </c>
      <c r="O507" s="44">
        <f t="shared" si="115"/>
        <v>15151.619999999997</v>
      </c>
      <c r="P507" s="44">
        <f t="shared" si="115"/>
        <v>21988.969999999994</v>
      </c>
      <c r="Q507" s="44">
        <f t="shared" si="115"/>
        <v>26628.709999999995</v>
      </c>
      <c r="R507" s="44">
        <f t="shared" si="115"/>
        <v>34839.909999999989</v>
      </c>
      <c r="S507" s="44">
        <f t="shared" si="115"/>
        <v>43723.94999999999</v>
      </c>
      <c r="T507" s="44">
        <f t="shared" si="115"/>
        <v>52505.489999999991</v>
      </c>
      <c r="U507" s="44">
        <f t="shared" si="115"/>
        <v>36776.539999999994</v>
      </c>
      <c r="V507" s="44">
        <f t="shared" si="115"/>
        <v>45681.689999999995</v>
      </c>
      <c r="W507" s="44">
        <f t="shared" si="115"/>
        <v>31832.509999999995</v>
      </c>
      <c r="X507" s="44">
        <f t="shared" si="115"/>
        <v>18086.329999999994</v>
      </c>
      <c r="Y507" s="44">
        <f t="shared" si="115"/>
        <v>1472.1499999999942</v>
      </c>
      <c r="Z507" s="44">
        <f t="shared" si="115"/>
        <v>-11683.420000000006</v>
      </c>
      <c r="AA507" s="44">
        <f t="shared" si="115"/>
        <v>-24784.500000000007</v>
      </c>
      <c r="AB507" s="44">
        <f t="shared" si="115"/>
        <v>-37405.590000000011</v>
      </c>
      <c r="AC507" s="44">
        <f t="shared" si="115"/>
        <v>-49986.670000000013</v>
      </c>
      <c r="AD507" s="44">
        <f t="shared" si="115"/>
        <v>-60256.720000000016</v>
      </c>
      <c r="AE507" s="44">
        <f t="shared" si="115"/>
        <v>-69610.890000000014</v>
      </c>
      <c r="AF507" s="44">
        <f t="shared" si="115"/>
        <v>-78961.560000000012</v>
      </c>
    </row>
    <row r="508" spans="1:32" ht="15" thickBot="1" x14ac:dyDescent="0.35">
      <c r="A508" s="40" t="s">
        <v>228</v>
      </c>
      <c r="B508" s="40" t="s">
        <v>174</v>
      </c>
      <c r="C508" s="40" t="s">
        <v>229</v>
      </c>
      <c r="D508" s="41" t="s">
        <v>183</v>
      </c>
      <c r="E508" s="41" t="s">
        <v>177</v>
      </c>
      <c r="F508" s="40" t="s">
        <v>141</v>
      </c>
      <c r="G508" s="40" t="s">
        <v>130</v>
      </c>
      <c r="H508" s="45"/>
      <c r="I508" s="45">
        <f>I502-I506</f>
        <v>0</v>
      </c>
      <c r="J508" s="45">
        <f t="shared" ref="J508:AF508" si="116">I508+J502-J506</f>
        <v>0</v>
      </c>
      <c r="K508" s="45">
        <f t="shared" si="116"/>
        <v>0</v>
      </c>
      <c r="L508" s="45">
        <f t="shared" si="116"/>
        <v>0</v>
      </c>
      <c r="M508" s="45">
        <f t="shared" si="116"/>
        <v>0</v>
      </c>
      <c r="N508" s="45">
        <f t="shared" si="116"/>
        <v>0</v>
      </c>
      <c r="O508" s="45">
        <f t="shared" si="116"/>
        <v>0</v>
      </c>
      <c r="P508" s="45">
        <f t="shared" si="116"/>
        <v>0</v>
      </c>
      <c r="Q508" s="45">
        <f t="shared" si="116"/>
        <v>0</v>
      </c>
      <c r="R508" s="45">
        <f t="shared" si="116"/>
        <v>0</v>
      </c>
      <c r="S508" s="45">
        <f t="shared" si="116"/>
        <v>0</v>
      </c>
      <c r="T508" s="45">
        <f t="shared" si="116"/>
        <v>0</v>
      </c>
      <c r="U508" s="45">
        <f t="shared" si="116"/>
        <v>0</v>
      </c>
      <c r="V508" s="45">
        <f t="shared" si="116"/>
        <v>0</v>
      </c>
      <c r="W508" s="45">
        <f t="shared" si="116"/>
        <v>0</v>
      </c>
      <c r="X508" s="45">
        <f t="shared" si="116"/>
        <v>0</v>
      </c>
      <c r="Y508" s="45">
        <f t="shared" si="116"/>
        <v>0</v>
      </c>
      <c r="Z508" s="45">
        <f t="shared" si="116"/>
        <v>0</v>
      </c>
      <c r="AA508" s="45">
        <f t="shared" si="116"/>
        <v>0</v>
      </c>
      <c r="AB508" s="45">
        <f t="shared" si="116"/>
        <v>0</v>
      </c>
      <c r="AC508" s="45">
        <f t="shared" si="116"/>
        <v>0</v>
      </c>
      <c r="AD508" s="45">
        <f t="shared" si="116"/>
        <v>0</v>
      </c>
      <c r="AE508" s="45">
        <f t="shared" si="116"/>
        <v>0</v>
      </c>
      <c r="AF508" s="45">
        <f t="shared" si="116"/>
        <v>0</v>
      </c>
    </row>
    <row r="509" spans="1:32" x14ac:dyDescent="0.3">
      <c r="A509" s="38" t="s">
        <v>230</v>
      </c>
      <c r="B509" s="38" t="s">
        <v>174</v>
      </c>
      <c r="C509" s="38" t="s">
        <v>229</v>
      </c>
      <c r="D509" s="39" t="s">
        <v>180</v>
      </c>
      <c r="E509" s="39" t="s">
        <v>177</v>
      </c>
      <c r="F509" s="38" t="s">
        <v>129</v>
      </c>
      <c r="G509" s="38" t="s">
        <v>130</v>
      </c>
      <c r="H509" s="44">
        <v>7028.41</v>
      </c>
      <c r="I509" s="44">
        <v>7028.41</v>
      </c>
      <c r="J509" s="44"/>
      <c r="K509" s="44"/>
      <c r="L509" s="44"/>
      <c r="M509" s="44"/>
      <c r="N509" s="44"/>
      <c r="O509" s="44"/>
      <c r="P509" s="44"/>
      <c r="Q509" s="44"/>
      <c r="R509" s="44"/>
      <c r="S509" s="44"/>
      <c r="T509" s="44"/>
      <c r="U509" s="44"/>
      <c r="V509" s="44"/>
      <c r="W509" s="44"/>
      <c r="X509" s="44"/>
      <c r="Y509" s="44"/>
      <c r="Z509" s="44"/>
      <c r="AA509" s="44"/>
      <c r="AB509" s="44"/>
      <c r="AC509" s="44"/>
      <c r="AD509" s="44"/>
      <c r="AE509" s="44"/>
      <c r="AF509" s="44"/>
    </row>
    <row r="510" spans="1:32" x14ac:dyDescent="0.3">
      <c r="A510" s="38" t="s">
        <v>230</v>
      </c>
      <c r="B510" s="38" t="s">
        <v>174</v>
      </c>
      <c r="C510" s="38" t="s">
        <v>229</v>
      </c>
      <c r="D510" s="39" t="s">
        <v>180</v>
      </c>
      <c r="E510" s="39" t="s">
        <v>177</v>
      </c>
      <c r="F510" s="38" t="s">
        <v>131</v>
      </c>
      <c r="G510" s="38" t="s">
        <v>130</v>
      </c>
      <c r="H510" s="44">
        <v>19442.560000000001</v>
      </c>
      <c r="I510" s="44">
        <v>1614.48</v>
      </c>
      <c r="J510" s="44">
        <v>1578.34</v>
      </c>
      <c r="K510" s="44">
        <v>1659.67</v>
      </c>
      <c r="L510" s="44">
        <v>1543.51</v>
      </c>
      <c r="M510" s="44">
        <v>1379.01</v>
      </c>
      <c r="N510" s="44">
        <v>1297.45</v>
      </c>
      <c r="O510" s="44">
        <v>1297.45</v>
      </c>
      <c r="P510" s="44">
        <v>1297.45</v>
      </c>
      <c r="Q510" s="44">
        <v>997.56</v>
      </c>
      <c r="R510" s="44">
        <v>772.97</v>
      </c>
      <c r="S510" s="44">
        <v>772.64</v>
      </c>
      <c r="T510" s="44">
        <v>772.64</v>
      </c>
      <c r="U510" s="44">
        <v>740.17</v>
      </c>
      <c r="V510" s="44">
        <v>545.37</v>
      </c>
      <c r="W510" s="44">
        <v>544.70000000000005</v>
      </c>
      <c r="X510" s="44">
        <v>544.70000000000005</v>
      </c>
      <c r="Y510" s="44">
        <v>544.70000000000005</v>
      </c>
      <c r="Z510" s="44">
        <v>320.44</v>
      </c>
      <c r="AA510" s="44">
        <v>230.21</v>
      </c>
      <c r="AB510" s="44">
        <v>230.2</v>
      </c>
      <c r="AC510" s="44">
        <v>230.21</v>
      </c>
      <c r="AD510" s="44">
        <v>187.31</v>
      </c>
      <c r="AE510" s="44">
        <v>170.69</v>
      </c>
      <c r="AF510" s="44">
        <v>170.69</v>
      </c>
    </row>
    <row r="511" spans="1:32" x14ac:dyDescent="0.3">
      <c r="A511" s="38" t="s">
        <v>230</v>
      </c>
      <c r="B511" s="38" t="s">
        <v>174</v>
      </c>
      <c r="C511" s="38" t="s">
        <v>229</v>
      </c>
      <c r="D511" s="39" t="s">
        <v>180</v>
      </c>
      <c r="E511" s="39" t="s">
        <v>177</v>
      </c>
      <c r="F511" s="38" t="s">
        <v>132</v>
      </c>
      <c r="G511" s="38" t="s">
        <v>130</v>
      </c>
      <c r="H511" s="44">
        <v>0</v>
      </c>
      <c r="I511" s="44">
        <v>0</v>
      </c>
      <c r="J511" s="44"/>
      <c r="K511" s="44"/>
      <c r="L511" s="44"/>
      <c r="M511" s="44"/>
      <c r="N511" s="44"/>
      <c r="O511" s="44"/>
      <c r="P511" s="44"/>
      <c r="Q511" s="44"/>
      <c r="R511" s="44"/>
      <c r="S511" s="44"/>
      <c r="T511" s="44"/>
      <c r="U511" s="44"/>
      <c r="V511" s="44"/>
      <c r="W511" s="44"/>
      <c r="X511" s="44"/>
      <c r="Y511" s="44"/>
      <c r="Z511" s="44"/>
      <c r="AA511" s="44"/>
      <c r="AB511" s="44"/>
      <c r="AC511" s="44"/>
      <c r="AD511" s="44"/>
      <c r="AE511" s="44"/>
      <c r="AF511" s="44"/>
    </row>
    <row r="512" spans="1:32" x14ac:dyDescent="0.3">
      <c r="A512" s="38" t="s">
        <v>230</v>
      </c>
      <c r="B512" s="38" t="s">
        <v>174</v>
      </c>
      <c r="C512" s="38" t="s">
        <v>229</v>
      </c>
      <c r="D512" s="39" t="s">
        <v>180</v>
      </c>
      <c r="E512" s="39" t="s">
        <v>177</v>
      </c>
      <c r="F512" s="38" t="s">
        <v>133</v>
      </c>
      <c r="G512" s="38" t="s">
        <v>130</v>
      </c>
      <c r="H512" s="44">
        <v>0</v>
      </c>
      <c r="I512" s="44">
        <v>0</v>
      </c>
      <c r="J512" s="44"/>
      <c r="K512" s="44"/>
      <c r="L512" s="44"/>
      <c r="M512" s="44"/>
      <c r="N512" s="44"/>
      <c r="O512" s="44"/>
      <c r="P512" s="44"/>
      <c r="Q512" s="44"/>
      <c r="R512" s="44"/>
      <c r="S512" s="44"/>
      <c r="T512" s="44"/>
      <c r="U512" s="44"/>
      <c r="V512" s="44"/>
      <c r="W512" s="44"/>
      <c r="X512" s="44"/>
      <c r="Y512" s="44"/>
      <c r="Z512" s="44"/>
      <c r="AA512" s="44"/>
      <c r="AB512" s="44"/>
      <c r="AC512" s="44"/>
      <c r="AD512" s="44"/>
      <c r="AE512" s="44"/>
      <c r="AF512" s="44"/>
    </row>
    <row r="513" spans="1:32" x14ac:dyDescent="0.3">
      <c r="A513" s="38" t="s">
        <v>230</v>
      </c>
      <c r="B513" s="38" t="s">
        <v>174</v>
      </c>
      <c r="C513" s="38" t="s">
        <v>229</v>
      </c>
      <c r="D513" s="39" t="s">
        <v>180</v>
      </c>
      <c r="E513" s="39" t="s">
        <v>177</v>
      </c>
      <c r="F513" s="38" t="s">
        <v>134</v>
      </c>
      <c r="G513" s="38" t="s">
        <v>130</v>
      </c>
      <c r="H513" s="44">
        <v>0</v>
      </c>
      <c r="I513" s="44">
        <v>0</v>
      </c>
      <c r="J513" s="44"/>
      <c r="K513" s="44"/>
      <c r="L513" s="44"/>
      <c r="M513" s="44"/>
      <c r="N513" s="44"/>
      <c r="O513" s="44"/>
      <c r="P513" s="44"/>
      <c r="Q513" s="44"/>
      <c r="R513" s="44"/>
      <c r="S513" s="44"/>
      <c r="T513" s="44"/>
      <c r="U513" s="44"/>
      <c r="V513" s="44"/>
      <c r="W513" s="44"/>
      <c r="X513" s="44"/>
      <c r="Y513" s="44"/>
      <c r="Z513" s="44"/>
      <c r="AA513" s="44"/>
      <c r="AB513" s="44"/>
      <c r="AC513" s="44"/>
      <c r="AD513" s="44"/>
      <c r="AE513" s="44"/>
      <c r="AF513" s="44"/>
    </row>
    <row r="514" spans="1:32" x14ac:dyDescent="0.3">
      <c r="A514" s="38" t="s">
        <v>230</v>
      </c>
      <c r="B514" s="38" t="s">
        <v>174</v>
      </c>
      <c r="C514" s="38" t="s">
        <v>229</v>
      </c>
      <c r="D514" s="39" t="s">
        <v>180</v>
      </c>
      <c r="E514" s="39" t="s">
        <v>177</v>
      </c>
      <c r="F514" s="38" t="s">
        <v>135</v>
      </c>
      <c r="G514" s="38" t="s">
        <v>130</v>
      </c>
      <c r="H514" s="44"/>
      <c r="I514" s="44"/>
      <c r="J514" s="44"/>
      <c r="K514" s="44"/>
      <c r="L514" s="44"/>
      <c r="M514" s="44"/>
      <c r="N514" s="44"/>
      <c r="O514" s="44"/>
      <c r="P514" s="44"/>
      <c r="Q514" s="44"/>
      <c r="R514" s="44"/>
      <c r="S514" s="44"/>
      <c r="T514" s="44"/>
      <c r="U514" s="44"/>
      <c r="V514" s="44"/>
      <c r="W514" s="44"/>
      <c r="X514" s="44"/>
      <c r="Y514" s="44"/>
      <c r="Z514" s="44"/>
      <c r="AA514" s="44"/>
      <c r="AB514" s="44"/>
      <c r="AC514" s="44"/>
      <c r="AD514" s="44"/>
      <c r="AE514" s="44"/>
      <c r="AF514" s="44"/>
    </row>
    <row r="515" spans="1:32" x14ac:dyDescent="0.3">
      <c r="A515" s="38" t="s">
        <v>230</v>
      </c>
      <c r="B515" s="38" t="s">
        <v>174</v>
      </c>
      <c r="C515" s="38" t="s">
        <v>229</v>
      </c>
      <c r="D515" s="39" t="s">
        <v>180</v>
      </c>
      <c r="E515" s="39" t="s">
        <v>177</v>
      </c>
      <c r="F515" s="38" t="s">
        <v>136</v>
      </c>
      <c r="G515" s="38" t="s">
        <v>130</v>
      </c>
      <c r="H515" s="44">
        <f>SUM(I515:AF515)</f>
        <v>0</v>
      </c>
      <c r="I515" s="44">
        <f t="shared" ref="I515:AF515" si="117">IF(AND(ISBLANK(I518) = TRUE,ISBLANK(I517) = TRUE),I516,I517+I518)</f>
        <v>0</v>
      </c>
      <c r="J515" s="44">
        <f t="shared" si="117"/>
        <v>0</v>
      </c>
      <c r="K515" s="44">
        <f t="shared" si="117"/>
        <v>0</v>
      </c>
      <c r="L515" s="44">
        <f t="shared" si="117"/>
        <v>0</v>
      </c>
      <c r="M515" s="44">
        <f t="shared" si="117"/>
        <v>0</v>
      </c>
      <c r="N515" s="44">
        <f t="shared" si="117"/>
        <v>0</v>
      </c>
      <c r="O515" s="44">
        <f t="shared" si="117"/>
        <v>0</v>
      </c>
      <c r="P515" s="44">
        <f t="shared" si="117"/>
        <v>0</v>
      </c>
      <c r="Q515" s="44">
        <f t="shared" si="117"/>
        <v>0</v>
      </c>
      <c r="R515" s="44">
        <f t="shared" si="117"/>
        <v>0</v>
      </c>
      <c r="S515" s="44">
        <f t="shared" si="117"/>
        <v>0</v>
      </c>
      <c r="T515" s="44">
        <f t="shared" si="117"/>
        <v>0</v>
      </c>
      <c r="U515" s="44">
        <f t="shared" si="117"/>
        <v>0</v>
      </c>
      <c r="V515" s="44">
        <f t="shared" si="117"/>
        <v>0</v>
      </c>
      <c r="W515" s="44">
        <f t="shared" si="117"/>
        <v>0</v>
      </c>
      <c r="X515" s="44">
        <f t="shared" si="117"/>
        <v>0</v>
      </c>
      <c r="Y515" s="44">
        <f t="shared" si="117"/>
        <v>0</v>
      </c>
      <c r="Z515" s="44">
        <f t="shared" si="117"/>
        <v>0</v>
      </c>
      <c r="AA515" s="44">
        <f t="shared" si="117"/>
        <v>0</v>
      </c>
      <c r="AB515" s="44">
        <f t="shared" si="117"/>
        <v>0</v>
      </c>
      <c r="AC515" s="44">
        <f t="shared" si="117"/>
        <v>0</v>
      </c>
      <c r="AD515" s="44">
        <f t="shared" si="117"/>
        <v>0</v>
      </c>
      <c r="AE515" s="44">
        <f t="shared" si="117"/>
        <v>0</v>
      </c>
      <c r="AF515" s="44">
        <f t="shared" si="117"/>
        <v>0</v>
      </c>
    </row>
    <row r="516" spans="1:32" x14ac:dyDescent="0.3">
      <c r="A516" s="38" t="s">
        <v>230</v>
      </c>
      <c r="B516" s="38" t="s">
        <v>174</v>
      </c>
      <c r="C516" s="38" t="s">
        <v>229</v>
      </c>
      <c r="D516" s="39" t="s">
        <v>180</v>
      </c>
      <c r="E516" s="39" t="s">
        <v>177</v>
      </c>
      <c r="F516" s="38" t="s">
        <v>124</v>
      </c>
      <c r="G516" s="38" t="s">
        <v>130</v>
      </c>
      <c r="H516" s="44"/>
      <c r="I516" s="44"/>
      <c r="J516" s="44"/>
      <c r="K516" s="44"/>
      <c r="L516" s="44"/>
      <c r="M516" s="44"/>
      <c r="N516" s="44"/>
      <c r="O516" s="44"/>
      <c r="P516" s="44"/>
      <c r="Q516" s="44"/>
      <c r="R516" s="44"/>
      <c r="S516" s="44"/>
      <c r="T516" s="44"/>
      <c r="U516" s="44"/>
      <c r="V516" s="44"/>
      <c r="W516" s="44"/>
      <c r="X516" s="44"/>
      <c r="Y516" s="44"/>
      <c r="Z516" s="44"/>
      <c r="AA516" s="44"/>
      <c r="AB516" s="44"/>
      <c r="AC516" s="44"/>
      <c r="AD516" s="44"/>
      <c r="AE516" s="44"/>
      <c r="AF516" s="44"/>
    </row>
    <row r="517" spans="1:32" x14ac:dyDescent="0.3">
      <c r="A517" s="38" t="s">
        <v>230</v>
      </c>
      <c r="B517" s="38" t="s">
        <v>174</v>
      </c>
      <c r="C517" s="38" t="s">
        <v>229</v>
      </c>
      <c r="D517" s="39" t="s">
        <v>180</v>
      </c>
      <c r="E517" s="39" t="s">
        <v>177</v>
      </c>
      <c r="F517" s="38" t="s">
        <v>137</v>
      </c>
      <c r="G517" s="38" t="s">
        <v>130</v>
      </c>
      <c r="H517" s="44">
        <f>SUM(I517:AF517)</f>
        <v>0</v>
      </c>
      <c r="I517" s="44"/>
      <c r="J517" s="44"/>
      <c r="K517" s="44"/>
      <c r="L517" s="44"/>
      <c r="M517" s="44"/>
      <c r="N517" s="44"/>
      <c r="O517" s="44"/>
      <c r="P517" s="44"/>
      <c r="Q517" s="44"/>
      <c r="R517" s="44"/>
      <c r="S517" s="44"/>
      <c r="T517" s="44"/>
      <c r="U517" s="44"/>
      <c r="V517" s="44"/>
      <c r="W517" s="44"/>
      <c r="X517" s="44"/>
      <c r="Y517" s="44"/>
      <c r="Z517" s="44"/>
      <c r="AA517" s="44"/>
      <c r="AB517" s="44"/>
      <c r="AC517" s="44"/>
      <c r="AD517" s="44"/>
      <c r="AE517" s="44"/>
      <c r="AF517" s="44"/>
    </row>
    <row r="518" spans="1:32" x14ac:dyDescent="0.3">
      <c r="A518" s="38" t="s">
        <v>230</v>
      </c>
      <c r="B518" s="38" t="s">
        <v>174</v>
      </c>
      <c r="C518" s="38" t="s">
        <v>229</v>
      </c>
      <c r="D518" s="39" t="s">
        <v>180</v>
      </c>
      <c r="E518" s="39" t="s">
        <v>177</v>
      </c>
      <c r="F518" s="38" t="s">
        <v>138</v>
      </c>
      <c r="G518" s="38" t="s">
        <v>130</v>
      </c>
      <c r="H518" s="44">
        <f>SUM(I518:AF518)</f>
        <v>0</v>
      </c>
      <c r="I518" s="44"/>
      <c r="J518" s="44"/>
      <c r="K518" s="44"/>
      <c r="L518" s="44"/>
      <c r="M518" s="44"/>
      <c r="N518" s="44"/>
      <c r="O518" s="44"/>
      <c r="P518" s="44"/>
      <c r="Q518" s="44"/>
      <c r="R518" s="44"/>
      <c r="S518" s="44"/>
      <c r="T518" s="44"/>
      <c r="U518" s="44"/>
      <c r="V518" s="44"/>
      <c r="W518" s="44"/>
      <c r="X518" s="44"/>
      <c r="Y518" s="44"/>
      <c r="Z518" s="44"/>
      <c r="AA518" s="44"/>
      <c r="AB518" s="44"/>
      <c r="AC518" s="44"/>
      <c r="AD518" s="44"/>
      <c r="AE518" s="44"/>
      <c r="AF518" s="44"/>
    </row>
    <row r="519" spans="1:32" x14ac:dyDescent="0.3">
      <c r="A519" s="38" t="s">
        <v>230</v>
      </c>
      <c r="B519" s="38" t="s">
        <v>174</v>
      </c>
      <c r="C519" s="38" t="s">
        <v>229</v>
      </c>
      <c r="D519" s="39" t="s">
        <v>180</v>
      </c>
      <c r="E519" s="39" t="s">
        <v>177</v>
      </c>
      <c r="F519" s="38" t="s">
        <v>139</v>
      </c>
      <c r="G519" s="38" t="s">
        <v>130</v>
      </c>
      <c r="H519" s="44"/>
      <c r="I519" s="44"/>
      <c r="J519" s="44"/>
      <c r="K519" s="44"/>
      <c r="L519" s="44"/>
      <c r="M519" s="44"/>
      <c r="N519" s="44"/>
      <c r="O519" s="44"/>
      <c r="P519" s="44"/>
      <c r="Q519" s="44"/>
      <c r="R519" s="44"/>
      <c r="S519" s="44"/>
      <c r="T519" s="44"/>
      <c r="U519" s="44"/>
      <c r="V519" s="44"/>
      <c r="W519" s="44"/>
      <c r="X519" s="44"/>
      <c r="Y519" s="44"/>
      <c r="Z519" s="44"/>
      <c r="AA519" s="44"/>
      <c r="AB519" s="44"/>
      <c r="AC519" s="44"/>
      <c r="AD519" s="44"/>
      <c r="AE519" s="44"/>
      <c r="AF519" s="44"/>
    </row>
    <row r="520" spans="1:32" x14ac:dyDescent="0.3">
      <c r="A520" s="38" t="s">
        <v>230</v>
      </c>
      <c r="B520" s="38" t="s">
        <v>174</v>
      </c>
      <c r="C520" s="38" t="s">
        <v>229</v>
      </c>
      <c r="D520" s="39" t="s">
        <v>180</v>
      </c>
      <c r="E520" s="39" t="s">
        <v>177</v>
      </c>
      <c r="F520" s="38" t="s">
        <v>140</v>
      </c>
      <c r="G520" s="38" t="s">
        <v>130</v>
      </c>
      <c r="H520" s="44"/>
      <c r="I520" s="44">
        <f>I515-(I510+I509)+(I514+I513+I512+I511)</f>
        <v>-8642.89</v>
      </c>
      <c r="J520" s="44">
        <f t="shared" ref="J520:AF520" si="118">I520+J515-J510</f>
        <v>-10221.23</v>
      </c>
      <c r="K520" s="44">
        <f t="shared" si="118"/>
        <v>-11880.9</v>
      </c>
      <c r="L520" s="44">
        <f t="shared" si="118"/>
        <v>-13424.41</v>
      </c>
      <c r="M520" s="44">
        <f t="shared" si="118"/>
        <v>-14803.42</v>
      </c>
      <c r="N520" s="44">
        <f t="shared" si="118"/>
        <v>-16100.87</v>
      </c>
      <c r="O520" s="44">
        <f t="shared" si="118"/>
        <v>-17398.32</v>
      </c>
      <c r="P520" s="44">
        <f t="shared" si="118"/>
        <v>-18695.77</v>
      </c>
      <c r="Q520" s="44">
        <f t="shared" si="118"/>
        <v>-19693.330000000002</v>
      </c>
      <c r="R520" s="44">
        <f t="shared" si="118"/>
        <v>-20466.300000000003</v>
      </c>
      <c r="S520" s="44">
        <f t="shared" si="118"/>
        <v>-21238.940000000002</v>
      </c>
      <c r="T520" s="44">
        <f t="shared" si="118"/>
        <v>-22011.58</v>
      </c>
      <c r="U520" s="44">
        <f t="shared" si="118"/>
        <v>-22751.75</v>
      </c>
      <c r="V520" s="44">
        <f t="shared" si="118"/>
        <v>-23297.119999999999</v>
      </c>
      <c r="W520" s="44">
        <f t="shared" si="118"/>
        <v>-23841.82</v>
      </c>
      <c r="X520" s="44">
        <f t="shared" si="118"/>
        <v>-24386.52</v>
      </c>
      <c r="Y520" s="44">
        <f t="shared" si="118"/>
        <v>-24931.22</v>
      </c>
      <c r="Z520" s="44">
        <f t="shared" si="118"/>
        <v>-25251.66</v>
      </c>
      <c r="AA520" s="44">
        <f t="shared" si="118"/>
        <v>-25481.87</v>
      </c>
      <c r="AB520" s="44">
        <f t="shared" si="118"/>
        <v>-25712.07</v>
      </c>
      <c r="AC520" s="44">
        <f t="shared" si="118"/>
        <v>-25942.28</v>
      </c>
      <c r="AD520" s="44">
        <f t="shared" si="118"/>
        <v>-26129.59</v>
      </c>
      <c r="AE520" s="44">
        <f t="shared" si="118"/>
        <v>-26300.28</v>
      </c>
      <c r="AF520" s="44">
        <f t="shared" si="118"/>
        <v>-26470.969999999998</v>
      </c>
    </row>
    <row r="521" spans="1:32" ht="15" thickBot="1" x14ac:dyDescent="0.35">
      <c r="A521" s="40" t="s">
        <v>230</v>
      </c>
      <c r="B521" s="40" t="s">
        <v>174</v>
      </c>
      <c r="C521" s="40" t="s">
        <v>229</v>
      </c>
      <c r="D521" s="41" t="s">
        <v>180</v>
      </c>
      <c r="E521" s="41" t="s">
        <v>177</v>
      </c>
      <c r="F521" s="40" t="s">
        <v>141</v>
      </c>
      <c r="G521" s="40" t="s">
        <v>130</v>
      </c>
      <c r="H521" s="45"/>
      <c r="I521" s="45">
        <f>I515-I519</f>
        <v>0</v>
      </c>
      <c r="J521" s="45">
        <f t="shared" ref="J521:AF521" si="119">I521+J515-J519</f>
        <v>0</v>
      </c>
      <c r="K521" s="45">
        <f t="shared" si="119"/>
        <v>0</v>
      </c>
      <c r="L521" s="45">
        <f t="shared" si="119"/>
        <v>0</v>
      </c>
      <c r="M521" s="45">
        <f t="shared" si="119"/>
        <v>0</v>
      </c>
      <c r="N521" s="45">
        <f t="shared" si="119"/>
        <v>0</v>
      </c>
      <c r="O521" s="45">
        <f t="shared" si="119"/>
        <v>0</v>
      </c>
      <c r="P521" s="45">
        <f t="shared" si="119"/>
        <v>0</v>
      </c>
      <c r="Q521" s="45">
        <f t="shared" si="119"/>
        <v>0</v>
      </c>
      <c r="R521" s="45">
        <f t="shared" si="119"/>
        <v>0</v>
      </c>
      <c r="S521" s="45">
        <f t="shared" si="119"/>
        <v>0</v>
      </c>
      <c r="T521" s="45">
        <f t="shared" si="119"/>
        <v>0</v>
      </c>
      <c r="U521" s="45">
        <f t="shared" si="119"/>
        <v>0</v>
      </c>
      <c r="V521" s="45">
        <f t="shared" si="119"/>
        <v>0</v>
      </c>
      <c r="W521" s="45">
        <f t="shared" si="119"/>
        <v>0</v>
      </c>
      <c r="X521" s="45">
        <f t="shared" si="119"/>
        <v>0</v>
      </c>
      <c r="Y521" s="45">
        <f t="shared" si="119"/>
        <v>0</v>
      </c>
      <c r="Z521" s="45">
        <f t="shared" si="119"/>
        <v>0</v>
      </c>
      <c r="AA521" s="45">
        <f t="shared" si="119"/>
        <v>0</v>
      </c>
      <c r="AB521" s="45">
        <f t="shared" si="119"/>
        <v>0</v>
      </c>
      <c r="AC521" s="45">
        <f t="shared" si="119"/>
        <v>0</v>
      </c>
      <c r="AD521" s="45">
        <f t="shared" si="119"/>
        <v>0</v>
      </c>
      <c r="AE521" s="45">
        <f t="shared" si="119"/>
        <v>0</v>
      </c>
      <c r="AF521" s="45">
        <f t="shared" si="119"/>
        <v>0</v>
      </c>
    </row>
    <row r="522" spans="1:32" x14ac:dyDescent="0.3">
      <c r="A522" s="38" t="s">
        <v>231</v>
      </c>
      <c r="B522" s="38" t="s">
        <v>174</v>
      </c>
      <c r="C522" s="38" t="s">
        <v>229</v>
      </c>
      <c r="D522" s="39" t="s">
        <v>180</v>
      </c>
      <c r="E522" s="39" t="s">
        <v>177</v>
      </c>
      <c r="F522" s="38" t="s">
        <v>129</v>
      </c>
      <c r="G522" s="38" t="s">
        <v>130</v>
      </c>
      <c r="H522" s="44">
        <v>17085.73</v>
      </c>
      <c r="I522" s="44">
        <v>17085.73</v>
      </c>
      <c r="J522" s="44"/>
      <c r="K522" s="44"/>
      <c r="L522" s="44"/>
      <c r="M522" s="44"/>
      <c r="N522" s="44"/>
      <c r="O522" s="44"/>
      <c r="P522" s="44"/>
      <c r="Q522" s="44"/>
      <c r="R522" s="44"/>
      <c r="S522" s="44"/>
      <c r="T522" s="44"/>
      <c r="U522" s="44"/>
      <c r="V522" s="44"/>
      <c r="W522" s="44"/>
      <c r="X522" s="44"/>
      <c r="Y522" s="44"/>
      <c r="Z522" s="44"/>
      <c r="AA522" s="44"/>
      <c r="AB522" s="44"/>
      <c r="AC522" s="44"/>
      <c r="AD522" s="44"/>
      <c r="AE522" s="44"/>
      <c r="AF522" s="44"/>
    </row>
    <row r="523" spans="1:32" x14ac:dyDescent="0.3">
      <c r="A523" s="38" t="s">
        <v>231</v>
      </c>
      <c r="B523" s="38" t="s">
        <v>174</v>
      </c>
      <c r="C523" s="38" t="s">
        <v>229</v>
      </c>
      <c r="D523" s="39" t="s">
        <v>180</v>
      </c>
      <c r="E523" s="39" t="s">
        <v>177</v>
      </c>
      <c r="F523" s="38" t="s">
        <v>131</v>
      </c>
      <c r="G523" s="38" t="s">
        <v>130</v>
      </c>
      <c r="H523" s="44">
        <v>130334.74</v>
      </c>
      <c r="I523" s="44">
        <v>6082.22</v>
      </c>
      <c r="J523" s="44">
        <v>6170.07</v>
      </c>
      <c r="K523" s="44">
        <v>5039.5</v>
      </c>
      <c r="L523" s="44">
        <v>5640.58</v>
      </c>
      <c r="M523" s="44">
        <v>5943.9</v>
      </c>
      <c r="N523" s="44">
        <v>5632.9</v>
      </c>
      <c r="O523" s="44">
        <v>5589.4</v>
      </c>
      <c r="P523" s="44">
        <v>5587.9</v>
      </c>
      <c r="Q523" s="44">
        <v>5546.18</v>
      </c>
      <c r="R523" s="44">
        <v>5732.23</v>
      </c>
      <c r="S523" s="44">
        <v>5381.4</v>
      </c>
      <c r="T523" s="44">
        <v>5380.9</v>
      </c>
      <c r="U523" s="44">
        <v>5493.88</v>
      </c>
      <c r="V523" s="44">
        <v>5639.78</v>
      </c>
      <c r="W523" s="44">
        <v>5638.12</v>
      </c>
      <c r="X523" s="44">
        <v>5638.12</v>
      </c>
      <c r="Y523" s="44">
        <v>5638.12</v>
      </c>
      <c r="Z523" s="44">
        <v>5603.99</v>
      </c>
      <c r="AA523" s="44">
        <v>5589.71</v>
      </c>
      <c r="AB523" s="44">
        <v>5589.71</v>
      </c>
      <c r="AC523" s="44">
        <v>5589.71</v>
      </c>
      <c r="AD523" s="44">
        <v>4382.6400000000003</v>
      </c>
      <c r="AE523" s="44">
        <v>3902.14</v>
      </c>
      <c r="AF523" s="44">
        <v>3901.64</v>
      </c>
    </row>
    <row r="524" spans="1:32" x14ac:dyDescent="0.3">
      <c r="A524" s="38" t="s">
        <v>231</v>
      </c>
      <c r="B524" s="38" t="s">
        <v>174</v>
      </c>
      <c r="C524" s="38" t="s">
        <v>229</v>
      </c>
      <c r="D524" s="39" t="s">
        <v>180</v>
      </c>
      <c r="E524" s="39" t="s">
        <v>177</v>
      </c>
      <c r="F524" s="38" t="s">
        <v>132</v>
      </c>
      <c r="G524" s="38" t="s">
        <v>130</v>
      </c>
      <c r="H524" s="44">
        <v>13788</v>
      </c>
      <c r="I524" s="44">
        <v>13788</v>
      </c>
      <c r="J524" s="44"/>
      <c r="K524" s="44"/>
      <c r="L524" s="44"/>
      <c r="M524" s="44"/>
      <c r="N524" s="44"/>
      <c r="O524" s="44"/>
      <c r="P524" s="44"/>
      <c r="Q524" s="44"/>
      <c r="R524" s="44"/>
      <c r="S524" s="44"/>
      <c r="T524" s="44"/>
      <c r="U524" s="44"/>
      <c r="V524" s="44"/>
      <c r="W524" s="44"/>
      <c r="X524" s="44"/>
      <c r="Y524" s="44"/>
      <c r="Z524" s="44"/>
      <c r="AA524" s="44"/>
      <c r="AB524" s="44"/>
      <c r="AC524" s="44"/>
      <c r="AD524" s="44"/>
      <c r="AE524" s="44"/>
      <c r="AF524" s="44"/>
    </row>
    <row r="525" spans="1:32" x14ac:dyDescent="0.3">
      <c r="A525" s="38" t="s">
        <v>231</v>
      </c>
      <c r="B525" s="38" t="s">
        <v>174</v>
      </c>
      <c r="C525" s="38" t="s">
        <v>229</v>
      </c>
      <c r="D525" s="39" t="s">
        <v>180</v>
      </c>
      <c r="E525" s="39" t="s">
        <v>177</v>
      </c>
      <c r="F525" s="38" t="s">
        <v>133</v>
      </c>
      <c r="G525" s="38" t="s">
        <v>130</v>
      </c>
      <c r="H525" s="44">
        <v>324</v>
      </c>
      <c r="I525" s="44">
        <v>324</v>
      </c>
      <c r="J525" s="44"/>
      <c r="K525" s="44"/>
      <c r="L525" s="44"/>
      <c r="M525" s="44"/>
      <c r="N525" s="44"/>
      <c r="O525" s="44"/>
      <c r="P525" s="44"/>
      <c r="Q525" s="44"/>
      <c r="R525" s="44"/>
      <c r="S525" s="44"/>
      <c r="T525" s="44"/>
      <c r="U525" s="44"/>
      <c r="V525" s="44"/>
      <c r="W525" s="44"/>
      <c r="X525" s="44"/>
      <c r="Y525" s="44"/>
      <c r="Z525" s="44"/>
      <c r="AA525" s="44"/>
      <c r="AB525" s="44"/>
      <c r="AC525" s="44"/>
      <c r="AD525" s="44"/>
      <c r="AE525" s="44"/>
      <c r="AF525" s="44"/>
    </row>
    <row r="526" spans="1:32" x14ac:dyDescent="0.3">
      <c r="A526" s="38" t="s">
        <v>231</v>
      </c>
      <c r="B526" s="38" t="s">
        <v>174</v>
      </c>
      <c r="C526" s="38" t="s">
        <v>229</v>
      </c>
      <c r="D526" s="39" t="s">
        <v>180</v>
      </c>
      <c r="E526" s="39" t="s">
        <v>177</v>
      </c>
      <c r="F526" s="38" t="s">
        <v>134</v>
      </c>
      <c r="G526" s="38" t="s">
        <v>130</v>
      </c>
      <c r="H526" s="44">
        <v>1576</v>
      </c>
      <c r="I526" s="44">
        <v>1576</v>
      </c>
      <c r="J526" s="44"/>
      <c r="K526" s="44"/>
      <c r="L526" s="44"/>
      <c r="M526" s="44"/>
      <c r="N526" s="44"/>
      <c r="O526" s="44"/>
      <c r="P526" s="44"/>
      <c r="Q526" s="44"/>
      <c r="R526" s="44"/>
      <c r="S526" s="44"/>
      <c r="T526" s="44"/>
      <c r="U526" s="44"/>
      <c r="V526" s="44"/>
      <c r="W526" s="44"/>
      <c r="X526" s="44"/>
      <c r="Y526" s="44"/>
      <c r="Z526" s="44"/>
      <c r="AA526" s="44"/>
      <c r="AB526" s="44"/>
      <c r="AC526" s="44"/>
      <c r="AD526" s="44"/>
      <c r="AE526" s="44"/>
      <c r="AF526" s="44"/>
    </row>
    <row r="527" spans="1:32" x14ac:dyDescent="0.3">
      <c r="A527" s="38" t="s">
        <v>231</v>
      </c>
      <c r="B527" s="38" t="s">
        <v>174</v>
      </c>
      <c r="C527" s="38" t="s">
        <v>229</v>
      </c>
      <c r="D527" s="39" t="s">
        <v>180</v>
      </c>
      <c r="E527" s="39" t="s">
        <v>177</v>
      </c>
      <c r="F527" s="38" t="s">
        <v>135</v>
      </c>
      <c r="G527" s="38" t="s">
        <v>130</v>
      </c>
      <c r="H527" s="44">
        <v>6480</v>
      </c>
      <c r="I527" s="44">
        <v>6480</v>
      </c>
      <c r="J527" s="44"/>
      <c r="K527" s="44"/>
      <c r="L527" s="44"/>
      <c r="M527" s="44"/>
      <c r="N527" s="44"/>
      <c r="O527" s="44"/>
      <c r="P527" s="44"/>
      <c r="Q527" s="44"/>
      <c r="R527" s="44"/>
      <c r="S527" s="44"/>
      <c r="T527" s="44"/>
      <c r="U527" s="44"/>
      <c r="V527" s="44"/>
      <c r="W527" s="44"/>
      <c r="X527" s="44"/>
      <c r="Y527" s="44"/>
      <c r="Z527" s="44"/>
      <c r="AA527" s="44"/>
      <c r="AB527" s="44"/>
      <c r="AC527" s="44"/>
      <c r="AD527" s="44"/>
      <c r="AE527" s="44"/>
      <c r="AF527" s="44"/>
    </row>
    <row r="528" spans="1:32" x14ac:dyDescent="0.3">
      <c r="A528" s="38" t="s">
        <v>231</v>
      </c>
      <c r="B528" s="38" t="s">
        <v>174</v>
      </c>
      <c r="C528" s="38" t="s">
        <v>229</v>
      </c>
      <c r="D528" s="39" t="s">
        <v>180</v>
      </c>
      <c r="E528" s="39" t="s">
        <v>177</v>
      </c>
      <c r="F528" s="38" t="s">
        <v>136</v>
      </c>
      <c r="G528" s="38" t="s">
        <v>130</v>
      </c>
      <c r="H528" s="44">
        <f>SUM(I528:AF528)</f>
        <v>116640</v>
      </c>
      <c r="I528" s="44">
        <f t="shared" ref="I528:AF528" si="120">IF(AND(ISBLANK(I531) = TRUE,ISBLANK(I530) = TRUE),I529,I530+I531)</f>
        <v>0</v>
      </c>
      <c r="J528" s="44">
        <f t="shared" si="120"/>
        <v>6480</v>
      </c>
      <c r="K528" s="44">
        <f t="shared" si="120"/>
        <v>6480</v>
      </c>
      <c r="L528" s="44">
        <f t="shared" si="120"/>
        <v>6480</v>
      </c>
      <c r="M528" s="44">
        <f t="shared" si="120"/>
        <v>6480</v>
      </c>
      <c r="N528" s="44">
        <f t="shared" si="120"/>
        <v>6480</v>
      </c>
      <c r="O528" s="44">
        <f t="shared" si="120"/>
        <v>6480</v>
      </c>
      <c r="P528" s="44">
        <f t="shared" si="120"/>
        <v>6480</v>
      </c>
      <c r="Q528" s="44">
        <f t="shared" si="120"/>
        <v>10800</v>
      </c>
      <c r="R528" s="44">
        <f t="shared" si="120"/>
        <v>10800</v>
      </c>
      <c r="S528" s="44">
        <f t="shared" si="120"/>
        <v>10800</v>
      </c>
      <c r="T528" s="44">
        <f t="shared" si="120"/>
        <v>10800</v>
      </c>
      <c r="U528" s="44">
        <f t="shared" si="120"/>
        <v>10800</v>
      </c>
      <c r="V528" s="44">
        <f t="shared" si="120"/>
        <v>10800</v>
      </c>
      <c r="W528" s="44">
        <f t="shared" si="120"/>
        <v>6480</v>
      </c>
      <c r="X528" s="44">
        <f t="shared" si="120"/>
        <v>0</v>
      </c>
      <c r="Y528" s="44">
        <f t="shared" si="120"/>
        <v>0</v>
      </c>
      <c r="Z528" s="44">
        <f t="shared" si="120"/>
        <v>0</v>
      </c>
      <c r="AA528" s="44">
        <f t="shared" si="120"/>
        <v>0</v>
      </c>
      <c r="AB528" s="44">
        <f t="shared" si="120"/>
        <v>0</v>
      </c>
      <c r="AC528" s="44">
        <f t="shared" si="120"/>
        <v>0</v>
      </c>
      <c r="AD528" s="44">
        <f t="shared" si="120"/>
        <v>0</v>
      </c>
      <c r="AE528" s="44">
        <f t="shared" si="120"/>
        <v>0</v>
      </c>
      <c r="AF528" s="44">
        <f t="shared" si="120"/>
        <v>0</v>
      </c>
    </row>
    <row r="529" spans="1:32" x14ac:dyDescent="0.3">
      <c r="A529" s="38" t="s">
        <v>231</v>
      </c>
      <c r="B529" s="38" t="s">
        <v>174</v>
      </c>
      <c r="C529" s="38" t="s">
        <v>229</v>
      </c>
      <c r="D529" s="39" t="s">
        <v>180</v>
      </c>
      <c r="E529" s="39" t="s">
        <v>177</v>
      </c>
      <c r="F529" s="38" t="s">
        <v>124</v>
      </c>
      <c r="G529" s="38" t="s">
        <v>130</v>
      </c>
      <c r="H529" s="44">
        <v>116640</v>
      </c>
      <c r="I529" s="44"/>
      <c r="J529" s="44">
        <v>6480</v>
      </c>
      <c r="K529" s="44">
        <v>6480</v>
      </c>
      <c r="L529" s="44">
        <v>6480</v>
      </c>
      <c r="M529" s="44">
        <v>6480</v>
      </c>
      <c r="N529" s="44">
        <v>6480</v>
      </c>
      <c r="O529" s="44">
        <v>6480</v>
      </c>
      <c r="P529" s="44">
        <v>6480</v>
      </c>
      <c r="Q529" s="44">
        <v>10800</v>
      </c>
      <c r="R529" s="44">
        <v>10800</v>
      </c>
      <c r="S529" s="44">
        <v>10800</v>
      </c>
      <c r="T529" s="44">
        <v>10800</v>
      </c>
      <c r="U529" s="44">
        <v>10800</v>
      </c>
      <c r="V529" s="44">
        <v>10800</v>
      </c>
      <c r="W529" s="44">
        <v>6480</v>
      </c>
      <c r="X529" s="44"/>
      <c r="Y529" s="44"/>
      <c r="Z529" s="44"/>
      <c r="AA529" s="44"/>
      <c r="AB529" s="44"/>
      <c r="AC529" s="44"/>
      <c r="AD529" s="44"/>
      <c r="AE529" s="44"/>
      <c r="AF529" s="44"/>
    </row>
    <row r="530" spans="1:32" x14ac:dyDescent="0.3">
      <c r="A530" s="38" t="s">
        <v>231</v>
      </c>
      <c r="B530" s="38" t="s">
        <v>174</v>
      </c>
      <c r="C530" s="38" t="s">
        <v>229</v>
      </c>
      <c r="D530" s="39" t="s">
        <v>180</v>
      </c>
      <c r="E530" s="39" t="s">
        <v>177</v>
      </c>
      <c r="F530" s="38" t="s">
        <v>137</v>
      </c>
      <c r="G530" s="38" t="s">
        <v>130</v>
      </c>
      <c r="H530" s="44">
        <f>SUM(I530:AF530)</f>
        <v>0</v>
      </c>
      <c r="I530" s="44"/>
      <c r="J530" s="44"/>
      <c r="K530" s="44"/>
      <c r="L530" s="44"/>
      <c r="M530" s="44"/>
      <c r="N530" s="44"/>
      <c r="O530" s="44"/>
      <c r="P530" s="44"/>
      <c r="Q530" s="44"/>
      <c r="R530" s="44"/>
      <c r="S530" s="44"/>
      <c r="T530" s="44"/>
      <c r="U530" s="44"/>
      <c r="V530" s="44"/>
      <c r="W530" s="44"/>
      <c r="X530" s="44"/>
      <c r="Y530" s="44"/>
      <c r="Z530" s="44"/>
      <c r="AA530" s="44"/>
      <c r="AB530" s="44"/>
      <c r="AC530" s="44"/>
      <c r="AD530" s="44"/>
      <c r="AE530" s="44"/>
      <c r="AF530" s="44"/>
    </row>
    <row r="531" spans="1:32" x14ac:dyDescent="0.3">
      <c r="A531" s="38" t="s">
        <v>231</v>
      </c>
      <c r="B531" s="38" t="s">
        <v>174</v>
      </c>
      <c r="C531" s="38" t="s">
        <v>229</v>
      </c>
      <c r="D531" s="39" t="s">
        <v>180</v>
      </c>
      <c r="E531" s="39" t="s">
        <v>177</v>
      </c>
      <c r="F531" s="38" t="s">
        <v>138</v>
      </c>
      <c r="G531" s="38" t="s">
        <v>130</v>
      </c>
      <c r="H531" s="44">
        <f>SUM(I531:AF531)</f>
        <v>0</v>
      </c>
      <c r="I531" s="44"/>
      <c r="J531" s="44"/>
      <c r="K531" s="44"/>
      <c r="L531" s="44"/>
      <c r="M531" s="44"/>
      <c r="N531" s="44"/>
      <c r="O531" s="44"/>
      <c r="P531" s="44"/>
      <c r="Q531" s="44"/>
      <c r="R531" s="44"/>
      <c r="S531" s="44"/>
      <c r="T531" s="44"/>
      <c r="U531" s="44"/>
      <c r="V531" s="44"/>
      <c r="W531" s="44"/>
      <c r="X531" s="44"/>
      <c r="Y531" s="44"/>
      <c r="Z531" s="44"/>
      <c r="AA531" s="44"/>
      <c r="AB531" s="44"/>
      <c r="AC531" s="44"/>
      <c r="AD531" s="44"/>
      <c r="AE531" s="44"/>
      <c r="AF531" s="44"/>
    </row>
    <row r="532" spans="1:32" x14ac:dyDescent="0.3">
      <c r="A532" s="38" t="s">
        <v>231</v>
      </c>
      <c r="B532" s="38" t="s">
        <v>174</v>
      </c>
      <c r="C532" s="38" t="s">
        <v>229</v>
      </c>
      <c r="D532" s="39" t="s">
        <v>180</v>
      </c>
      <c r="E532" s="39" t="s">
        <v>177</v>
      </c>
      <c r="F532" s="38" t="s">
        <v>139</v>
      </c>
      <c r="G532" s="38" t="s">
        <v>130</v>
      </c>
      <c r="H532" s="44">
        <v>116640</v>
      </c>
      <c r="I532" s="44"/>
      <c r="J532" s="44">
        <v>6480</v>
      </c>
      <c r="K532" s="44">
        <v>6480</v>
      </c>
      <c r="L532" s="44">
        <v>6480</v>
      </c>
      <c r="M532" s="44">
        <v>6480</v>
      </c>
      <c r="N532" s="44">
        <v>6480</v>
      </c>
      <c r="O532" s="44">
        <v>6480</v>
      </c>
      <c r="P532" s="44">
        <v>6480</v>
      </c>
      <c r="Q532" s="44">
        <v>10800</v>
      </c>
      <c r="R532" s="44">
        <v>10800</v>
      </c>
      <c r="S532" s="44">
        <v>10800</v>
      </c>
      <c r="T532" s="44">
        <v>10800</v>
      </c>
      <c r="U532" s="44">
        <v>10800</v>
      </c>
      <c r="V532" s="44">
        <v>10800</v>
      </c>
      <c r="W532" s="44">
        <v>6480</v>
      </c>
      <c r="X532" s="44"/>
      <c r="Y532" s="44"/>
      <c r="Z532" s="44"/>
      <c r="AA532" s="44"/>
      <c r="AB532" s="44"/>
      <c r="AC532" s="44"/>
      <c r="AD532" s="44"/>
      <c r="AE532" s="44"/>
      <c r="AF532" s="44"/>
    </row>
    <row r="533" spans="1:32" x14ac:dyDescent="0.3">
      <c r="A533" s="38" t="s">
        <v>231</v>
      </c>
      <c r="B533" s="38" t="s">
        <v>174</v>
      </c>
      <c r="C533" s="38" t="s">
        <v>229</v>
      </c>
      <c r="D533" s="39" t="s">
        <v>180</v>
      </c>
      <c r="E533" s="39" t="s">
        <v>177</v>
      </c>
      <c r="F533" s="38" t="s">
        <v>140</v>
      </c>
      <c r="G533" s="38" t="s">
        <v>130</v>
      </c>
      <c r="H533" s="44"/>
      <c r="I533" s="44">
        <f>I528-(I523+I522)+(I527+I526+I525+I524)</f>
        <v>-999.95000000000073</v>
      </c>
      <c r="J533" s="44">
        <f t="shared" ref="J533:AF533" si="121">I533+J528-J523</f>
        <v>-690.02000000000044</v>
      </c>
      <c r="K533" s="44">
        <f t="shared" si="121"/>
        <v>750.47999999999956</v>
      </c>
      <c r="L533" s="44">
        <f t="shared" si="121"/>
        <v>1589.8999999999996</v>
      </c>
      <c r="M533" s="44">
        <f t="shared" si="121"/>
        <v>2126</v>
      </c>
      <c r="N533" s="44">
        <f t="shared" si="121"/>
        <v>2973.1000000000004</v>
      </c>
      <c r="O533" s="44">
        <f t="shared" si="121"/>
        <v>3863.7000000000007</v>
      </c>
      <c r="P533" s="44">
        <f t="shared" si="121"/>
        <v>4755.8000000000011</v>
      </c>
      <c r="Q533" s="44">
        <f t="shared" si="121"/>
        <v>10009.620000000001</v>
      </c>
      <c r="R533" s="44">
        <f t="shared" si="121"/>
        <v>15077.390000000003</v>
      </c>
      <c r="S533" s="44">
        <f t="shared" si="121"/>
        <v>20495.990000000005</v>
      </c>
      <c r="T533" s="44">
        <f t="shared" si="121"/>
        <v>25915.090000000004</v>
      </c>
      <c r="U533" s="44">
        <f t="shared" si="121"/>
        <v>31221.210000000003</v>
      </c>
      <c r="V533" s="44">
        <f t="shared" si="121"/>
        <v>36381.430000000008</v>
      </c>
      <c r="W533" s="44">
        <f t="shared" si="121"/>
        <v>37223.310000000005</v>
      </c>
      <c r="X533" s="44">
        <f t="shared" si="121"/>
        <v>31585.190000000006</v>
      </c>
      <c r="Y533" s="44">
        <f t="shared" si="121"/>
        <v>25947.070000000007</v>
      </c>
      <c r="Z533" s="44">
        <f t="shared" si="121"/>
        <v>20343.080000000009</v>
      </c>
      <c r="AA533" s="44">
        <f t="shared" si="121"/>
        <v>14753.37000000001</v>
      </c>
      <c r="AB533" s="44">
        <f t="shared" si="121"/>
        <v>9163.6600000000108</v>
      </c>
      <c r="AC533" s="44">
        <f t="shared" si="121"/>
        <v>3573.9500000000107</v>
      </c>
      <c r="AD533" s="44">
        <f t="shared" si="121"/>
        <v>-808.6899999999896</v>
      </c>
      <c r="AE533" s="44">
        <f t="shared" si="121"/>
        <v>-4710.829999999989</v>
      </c>
      <c r="AF533" s="44">
        <f t="shared" si="121"/>
        <v>-8612.4699999999884</v>
      </c>
    </row>
    <row r="534" spans="1:32" ht="15" thickBot="1" x14ac:dyDescent="0.35">
      <c r="A534" s="40" t="s">
        <v>231</v>
      </c>
      <c r="B534" s="40" t="s">
        <v>174</v>
      </c>
      <c r="C534" s="40" t="s">
        <v>229</v>
      </c>
      <c r="D534" s="41" t="s">
        <v>180</v>
      </c>
      <c r="E534" s="41" t="s">
        <v>177</v>
      </c>
      <c r="F534" s="40" t="s">
        <v>141</v>
      </c>
      <c r="G534" s="40" t="s">
        <v>130</v>
      </c>
      <c r="H534" s="45"/>
      <c r="I534" s="45">
        <f>I528-I532</f>
        <v>0</v>
      </c>
      <c r="J534" s="45">
        <f t="shared" ref="J534:AF534" si="122">I534+J528-J532</f>
        <v>0</v>
      </c>
      <c r="K534" s="45">
        <f t="shared" si="122"/>
        <v>0</v>
      </c>
      <c r="L534" s="45">
        <f t="shared" si="122"/>
        <v>0</v>
      </c>
      <c r="M534" s="45">
        <f t="shared" si="122"/>
        <v>0</v>
      </c>
      <c r="N534" s="45">
        <f t="shared" si="122"/>
        <v>0</v>
      </c>
      <c r="O534" s="45">
        <f t="shared" si="122"/>
        <v>0</v>
      </c>
      <c r="P534" s="45">
        <f t="shared" si="122"/>
        <v>0</v>
      </c>
      <c r="Q534" s="45">
        <f t="shared" si="122"/>
        <v>0</v>
      </c>
      <c r="R534" s="45">
        <f t="shared" si="122"/>
        <v>0</v>
      </c>
      <c r="S534" s="45">
        <f t="shared" si="122"/>
        <v>0</v>
      </c>
      <c r="T534" s="45">
        <f t="shared" si="122"/>
        <v>0</v>
      </c>
      <c r="U534" s="45">
        <f t="shared" si="122"/>
        <v>0</v>
      </c>
      <c r="V534" s="45">
        <f t="shared" si="122"/>
        <v>0</v>
      </c>
      <c r="W534" s="45">
        <f t="shared" si="122"/>
        <v>0</v>
      </c>
      <c r="X534" s="45">
        <f t="shared" si="122"/>
        <v>0</v>
      </c>
      <c r="Y534" s="45">
        <f t="shared" si="122"/>
        <v>0</v>
      </c>
      <c r="Z534" s="45">
        <f t="shared" si="122"/>
        <v>0</v>
      </c>
      <c r="AA534" s="45">
        <f t="shared" si="122"/>
        <v>0</v>
      </c>
      <c r="AB534" s="45">
        <f t="shared" si="122"/>
        <v>0</v>
      </c>
      <c r="AC534" s="45">
        <f t="shared" si="122"/>
        <v>0</v>
      </c>
      <c r="AD534" s="45">
        <f t="shared" si="122"/>
        <v>0</v>
      </c>
      <c r="AE534" s="45">
        <f t="shared" si="122"/>
        <v>0</v>
      </c>
      <c r="AF534" s="45">
        <f t="shared" si="122"/>
        <v>0</v>
      </c>
    </row>
    <row r="535" spans="1:32" x14ac:dyDescent="0.3">
      <c r="A535" s="38" t="s">
        <v>232</v>
      </c>
      <c r="B535" s="38" t="s">
        <v>174</v>
      </c>
      <c r="C535" s="38" t="s">
        <v>233</v>
      </c>
      <c r="D535" s="39" t="s">
        <v>183</v>
      </c>
      <c r="E535" s="39" t="s">
        <v>195</v>
      </c>
      <c r="F535" s="38" t="s">
        <v>129</v>
      </c>
      <c r="G535" s="38" t="s">
        <v>130</v>
      </c>
      <c r="H535" s="44">
        <v>188</v>
      </c>
      <c r="I535" s="44">
        <v>188</v>
      </c>
      <c r="J535" s="44"/>
      <c r="K535" s="44"/>
      <c r="L535" s="44"/>
      <c r="M535" s="44"/>
      <c r="N535" s="44"/>
      <c r="O535" s="44"/>
      <c r="P535" s="44"/>
      <c r="Q535" s="44"/>
      <c r="R535" s="44"/>
      <c r="S535" s="44"/>
      <c r="T535" s="44"/>
      <c r="U535" s="44"/>
      <c r="V535" s="44"/>
      <c r="W535" s="44"/>
      <c r="X535" s="44"/>
      <c r="Y535" s="44"/>
      <c r="Z535" s="44"/>
      <c r="AA535" s="44"/>
      <c r="AB535" s="44"/>
      <c r="AC535" s="44"/>
      <c r="AD535" s="44"/>
      <c r="AE535" s="44"/>
      <c r="AF535" s="44"/>
    </row>
    <row r="536" spans="1:32" x14ac:dyDescent="0.3">
      <c r="A536" s="38" t="s">
        <v>232</v>
      </c>
      <c r="B536" s="38" t="s">
        <v>174</v>
      </c>
      <c r="C536" s="38" t="s">
        <v>233</v>
      </c>
      <c r="D536" s="39" t="s">
        <v>183</v>
      </c>
      <c r="E536" s="39" t="s">
        <v>195</v>
      </c>
      <c r="F536" s="38" t="s">
        <v>131</v>
      </c>
      <c r="G536" s="38" t="s">
        <v>130</v>
      </c>
      <c r="H536" s="44">
        <v>4223</v>
      </c>
      <c r="I536" s="44">
        <v>230</v>
      </c>
      <c r="J536" s="44">
        <v>229</v>
      </c>
      <c r="K536" s="44">
        <v>204</v>
      </c>
      <c r="L536" s="44">
        <v>171</v>
      </c>
      <c r="M536" s="44">
        <v>208</v>
      </c>
      <c r="N536" s="44">
        <v>213</v>
      </c>
      <c r="O536" s="44">
        <v>209</v>
      </c>
      <c r="P536" s="44">
        <v>208</v>
      </c>
      <c r="Q536" s="44">
        <v>200</v>
      </c>
      <c r="R536" s="44">
        <v>195</v>
      </c>
      <c r="S536" s="44">
        <v>194</v>
      </c>
      <c r="T536" s="44">
        <v>194</v>
      </c>
      <c r="U536" s="44">
        <v>187</v>
      </c>
      <c r="V536" s="44">
        <v>147</v>
      </c>
      <c r="W536" s="44">
        <v>143</v>
      </c>
      <c r="X536" s="44">
        <v>142</v>
      </c>
      <c r="Y536" s="44">
        <v>141</v>
      </c>
      <c r="Z536" s="44">
        <v>160</v>
      </c>
      <c r="AA536" s="44">
        <v>169</v>
      </c>
      <c r="AB536" s="44">
        <v>170</v>
      </c>
      <c r="AC536" s="44">
        <v>169</v>
      </c>
      <c r="AD536" s="44">
        <v>124</v>
      </c>
      <c r="AE536" s="44">
        <v>108</v>
      </c>
      <c r="AF536" s="44">
        <v>108</v>
      </c>
    </row>
    <row r="537" spans="1:32" x14ac:dyDescent="0.3">
      <c r="A537" s="38" t="s">
        <v>232</v>
      </c>
      <c r="B537" s="38" t="s">
        <v>174</v>
      </c>
      <c r="C537" s="38" t="s">
        <v>233</v>
      </c>
      <c r="D537" s="39" t="s">
        <v>183</v>
      </c>
      <c r="E537" s="39" t="s">
        <v>195</v>
      </c>
      <c r="F537" s="38" t="s">
        <v>132</v>
      </c>
      <c r="G537" s="38" t="s">
        <v>130</v>
      </c>
      <c r="H537" s="44"/>
      <c r="I537" s="44"/>
      <c r="J537" s="44"/>
      <c r="K537" s="44"/>
      <c r="L537" s="44"/>
      <c r="M537" s="44"/>
      <c r="N537" s="44"/>
      <c r="O537" s="44"/>
      <c r="P537" s="44"/>
      <c r="Q537" s="44"/>
      <c r="R537" s="44"/>
      <c r="S537" s="44"/>
      <c r="T537" s="44"/>
      <c r="U537" s="44"/>
      <c r="V537" s="44"/>
      <c r="W537" s="44"/>
      <c r="X537" s="44"/>
      <c r="Y537" s="44"/>
      <c r="Z537" s="44"/>
      <c r="AA537" s="44"/>
      <c r="AB537" s="44"/>
      <c r="AC537" s="44"/>
      <c r="AD537" s="44"/>
      <c r="AE537" s="44"/>
      <c r="AF537" s="44"/>
    </row>
    <row r="538" spans="1:32" x14ac:dyDescent="0.3">
      <c r="A538" s="38" t="s">
        <v>232</v>
      </c>
      <c r="B538" s="38" t="s">
        <v>174</v>
      </c>
      <c r="C538" s="38" t="s">
        <v>233</v>
      </c>
      <c r="D538" s="39" t="s">
        <v>183</v>
      </c>
      <c r="E538" s="39" t="s">
        <v>195</v>
      </c>
      <c r="F538" s="38" t="s">
        <v>133</v>
      </c>
      <c r="G538" s="38" t="s">
        <v>130</v>
      </c>
      <c r="H538" s="44"/>
      <c r="I538" s="44"/>
      <c r="J538" s="44"/>
      <c r="K538" s="44"/>
      <c r="L538" s="44"/>
      <c r="M538" s="44"/>
      <c r="N538" s="44"/>
      <c r="O538" s="44"/>
      <c r="P538" s="44"/>
      <c r="Q538" s="44"/>
      <c r="R538" s="44"/>
      <c r="S538" s="44"/>
      <c r="T538" s="44"/>
      <c r="U538" s="44"/>
      <c r="V538" s="44"/>
      <c r="W538" s="44"/>
      <c r="X538" s="44"/>
      <c r="Y538" s="44"/>
      <c r="Z538" s="44"/>
      <c r="AA538" s="44"/>
      <c r="AB538" s="44"/>
      <c r="AC538" s="44"/>
      <c r="AD538" s="44"/>
      <c r="AE538" s="44"/>
      <c r="AF538" s="44"/>
    </row>
    <row r="539" spans="1:32" x14ac:dyDescent="0.3">
      <c r="A539" s="38" t="s">
        <v>232</v>
      </c>
      <c r="B539" s="38" t="s">
        <v>174</v>
      </c>
      <c r="C539" s="38" t="s">
        <v>233</v>
      </c>
      <c r="D539" s="39" t="s">
        <v>183</v>
      </c>
      <c r="E539" s="39" t="s">
        <v>195</v>
      </c>
      <c r="F539" s="38" t="s">
        <v>134</v>
      </c>
      <c r="G539" s="38" t="s">
        <v>130</v>
      </c>
      <c r="H539" s="44"/>
      <c r="I539" s="44"/>
      <c r="J539" s="44"/>
      <c r="K539" s="44"/>
      <c r="L539" s="44"/>
      <c r="M539" s="44"/>
      <c r="N539" s="44"/>
      <c r="O539" s="44"/>
      <c r="P539" s="44"/>
      <c r="Q539" s="44"/>
      <c r="R539" s="44"/>
      <c r="S539" s="44"/>
      <c r="T539" s="44"/>
      <c r="U539" s="44"/>
      <c r="V539" s="44"/>
      <c r="W539" s="44"/>
      <c r="X539" s="44"/>
      <c r="Y539" s="44"/>
      <c r="Z539" s="44"/>
      <c r="AA539" s="44"/>
      <c r="AB539" s="44"/>
      <c r="AC539" s="44"/>
      <c r="AD539" s="44"/>
      <c r="AE539" s="44"/>
      <c r="AF539" s="44"/>
    </row>
    <row r="540" spans="1:32" x14ac:dyDescent="0.3">
      <c r="A540" s="38" t="s">
        <v>232</v>
      </c>
      <c r="B540" s="38" t="s">
        <v>174</v>
      </c>
      <c r="C540" s="38" t="s">
        <v>233</v>
      </c>
      <c r="D540" s="39" t="s">
        <v>183</v>
      </c>
      <c r="E540" s="39" t="s">
        <v>195</v>
      </c>
      <c r="F540" s="38" t="s">
        <v>135</v>
      </c>
      <c r="G540" s="38" t="s">
        <v>130</v>
      </c>
      <c r="H540" s="44"/>
      <c r="I540" s="44"/>
      <c r="J540" s="44"/>
      <c r="K540" s="44"/>
      <c r="L540" s="44"/>
      <c r="M540" s="44"/>
      <c r="N540" s="44"/>
      <c r="O540" s="44"/>
      <c r="P540" s="44"/>
      <c r="Q540" s="44"/>
      <c r="R540" s="44"/>
      <c r="S540" s="44"/>
      <c r="T540" s="44"/>
      <c r="U540" s="44"/>
      <c r="V540" s="44"/>
      <c r="W540" s="44"/>
      <c r="X540" s="44"/>
      <c r="Y540" s="44"/>
      <c r="Z540" s="44"/>
      <c r="AA540" s="44"/>
      <c r="AB540" s="44"/>
      <c r="AC540" s="44"/>
      <c r="AD540" s="44"/>
      <c r="AE540" s="44"/>
      <c r="AF540" s="44"/>
    </row>
    <row r="541" spans="1:32" x14ac:dyDescent="0.3">
      <c r="A541" s="38" t="s">
        <v>232</v>
      </c>
      <c r="B541" s="38" t="s">
        <v>174</v>
      </c>
      <c r="C541" s="38" t="s">
        <v>233</v>
      </c>
      <c r="D541" s="39" t="s">
        <v>183</v>
      </c>
      <c r="E541" s="39" t="s">
        <v>195</v>
      </c>
      <c r="F541" s="38" t="s">
        <v>136</v>
      </c>
      <c r="G541" s="38" t="s">
        <v>130</v>
      </c>
      <c r="H541" s="44">
        <f>SUM(I541:AF541)</f>
        <v>0</v>
      </c>
      <c r="I541" s="44">
        <f t="shared" ref="I541:AF541" si="123">IF(AND(ISBLANK(I544) = TRUE,ISBLANK(I543) = TRUE),I542,I543+I544)</f>
        <v>0</v>
      </c>
      <c r="J541" s="44">
        <f t="shared" si="123"/>
        <v>0</v>
      </c>
      <c r="K541" s="44">
        <f t="shared" si="123"/>
        <v>0</v>
      </c>
      <c r="L541" s="44">
        <f t="shared" si="123"/>
        <v>0</v>
      </c>
      <c r="M541" s="44">
        <f t="shared" si="123"/>
        <v>0</v>
      </c>
      <c r="N541" s="44">
        <f t="shared" si="123"/>
        <v>0</v>
      </c>
      <c r="O541" s="44">
        <f t="shared" si="123"/>
        <v>0</v>
      </c>
      <c r="P541" s="44">
        <f t="shared" si="123"/>
        <v>0</v>
      </c>
      <c r="Q541" s="44">
        <f t="shared" si="123"/>
        <v>0</v>
      </c>
      <c r="R541" s="44">
        <f t="shared" si="123"/>
        <v>0</v>
      </c>
      <c r="S541" s="44">
        <f t="shared" si="123"/>
        <v>0</v>
      </c>
      <c r="T541" s="44">
        <f t="shared" si="123"/>
        <v>0</v>
      </c>
      <c r="U541" s="44">
        <f t="shared" si="123"/>
        <v>0</v>
      </c>
      <c r="V541" s="44">
        <f t="shared" si="123"/>
        <v>0</v>
      </c>
      <c r="W541" s="44">
        <f t="shared" si="123"/>
        <v>0</v>
      </c>
      <c r="X541" s="44">
        <f t="shared" si="123"/>
        <v>0</v>
      </c>
      <c r="Y541" s="44">
        <f t="shared" si="123"/>
        <v>0</v>
      </c>
      <c r="Z541" s="44">
        <f t="shared" si="123"/>
        <v>0</v>
      </c>
      <c r="AA541" s="44">
        <f t="shared" si="123"/>
        <v>0</v>
      </c>
      <c r="AB541" s="44">
        <f t="shared" si="123"/>
        <v>0</v>
      </c>
      <c r="AC541" s="44">
        <f t="shared" si="123"/>
        <v>0</v>
      </c>
      <c r="AD541" s="44">
        <f t="shared" si="123"/>
        <v>0</v>
      </c>
      <c r="AE541" s="44">
        <f t="shared" si="123"/>
        <v>0</v>
      </c>
      <c r="AF541" s="44">
        <f t="shared" si="123"/>
        <v>0</v>
      </c>
    </row>
    <row r="542" spans="1:32" x14ac:dyDescent="0.3">
      <c r="A542" s="38" t="s">
        <v>232</v>
      </c>
      <c r="B542" s="38" t="s">
        <v>174</v>
      </c>
      <c r="C542" s="38" t="s">
        <v>233</v>
      </c>
      <c r="D542" s="39" t="s">
        <v>183</v>
      </c>
      <c r="E542" s="39" t="s">
        <v>195</v>
      </c>
      <c r="F542" s="38" t="s">
        <v>124</v>
      </c>
      <c r="G542" s="38" t="s">
        <v>130</v>
      </c>
      <c r="H542" s="44"/>
      <c r="I542" s="44"/>
      <c r="J542" s="44"/>
      <c r="K542" s="44"/>
      <c r="L542" s="44"/>
      <c r="M542" s="44"/>
      <c r="N542" s="44"/>
      <c r="O542" s="44"/>
      <c r="P542" s="44"/>
      <c r="Q542" s="44"/>
      <c r="R542" s="44"/>
      <c r="S542" s="44"/>
      <c r="T542" s="44"/>
      <c r="U542" s="44"/>
      <c r="V542" s="44"/>
      <c r="W542" s="44"/>
      <c r="X542" s="44"/>
      <c r="Y542" s="44"/>
      <c r="Z542" s="44"/>
      <c r="AA542" s="44"/>
      <c r="AB542" s="44"/>
      <c r="AC542" s="44"/>
      <c r="AD542" s="44"/>
      <c r="AE542" s="44"/>
      <c r="AF542" s="44"/>
    </row>
    <row r="543" spans="1:32" x14ac:dyDescent="0.3">
      <c r="A543" s="38" t="s">
        <v>232</v>
      </c>
      <c r="B543" s="38" t="s">
        <v>174</v>
      </c>
      <c r="C543" s="38" t="s">
        <v>233</v>
      </c>
      <c r="D543" s="39" t="s">
        <v>183</v>
      </c>
      <c r="E543" s="39" t="s">
        <v>195</v>
      </c>
      <c r="F543" s="38" t="s">
        <v>137</v>
      </c>
      <c r="G543" s="38" t="s">
        <v>130</v>
      </c>
      <c r="H543" s="44">
        <f>SUM(I543:AF543)</f>
        <v>0</v>
      </c>
      <c r="I543" s="44"/>
      <c r="J543" s="44"/>
      <c r="K543" s="44"/>
      <c r="L543" s="44"/>
      <c r="M543" s="44"/>
      <c r="N543" s="44"/>
      <c r="O543" s="44"/>
      <c r="P543" s="44"/>
      <c r="Q543" s="44"/>
      <c r="R543" s="44"/>
      <c r="S543" s="44"/>
      <c r="T543" s="44"/>
      <c r="U543" s="44"/>
      <c r="V543" s="44"/>
      <c r="W543" s="44"/>
      <c r="X543" s="44"/>
      <c r="Y543" s="44"/>
      <c r="Z543" s="44"/>
      <c r="AA543" s="44"/>
      <c r="AB543" s="44"/>
      <c r="AC543" s="44"/>
      <c r="AD543" s="44"/>
      <c r="AE543" s="44"/>
      <c r="AF543" s="44"/>
    </row>
    <row r="544" spans="1:32" x14ac:dyDescent="0.3">
      <c r="A544" s="38" t="s">
        <v>232</v>
      </c>
      <c r="B544" s="38" t="s">
        <v>174</v>
      </c>
      <c r="C544" s="38" t="s">
        <v>233</v>
      </c>
      <c r="D544" s="39" t="s">
        <v>183</v>
      </c>
      <c r="E544" s="39" t="s">
        <v>195</v>
      </c>
      <c r="F544" s="38" t="s">
        <v>138</v>
      </c>
      <c r="G544" s="38" t="s">
        <v>130</v>
      </c>
      <c r="H544" s="44">
        <f>SUM(I544:AF544)</f>
        <v>0</v>
      </c>
      <c r="I544" s="44"/>
      <c r="J544" s="44"/>
      <c r="K544" s="44"/>
      <c r="L544" s="44"/>
      <c r="M544" s="44"/>
      <c r="N544" s="44"/>
      <c r="O544" s="44"/>
      <c r="P544" s="44"/>
      <c r="Q544" s="44"/>
      <c r="R544" s="44"/>
      <c r="S544" s="44"/>
      <c r="T544" s="44"/>
      <c r="U544" s="44"/>
      <c r="V544" s="44"/>
      <c r="W544" s="44"/>
      <c r="X544" s="44"/>
      <c r="Y544" s="44"/>
      <c r="Z544" s="44"/>
      <c r="AA544" s="44"/>
      <c r="AB544" s="44"/>
      <c r="AC544" s="44"/>
      <c r="AD544" s="44"/>
      <c r="AE544" s="44"/>
      <c r="AF544" s="44"/>
    </row>
    <row r="545" spans="1:32" x14ac:dyDescent="0.3">
      <c r="A545" s="38" t="s">
        <v>232</v>
      </c>
      <c r="B545" s="38" t="s">
        <v>174</v>
      </c>
      <c r="C545" s="38" t="s">
        <v>233</v>
      </c>
      <c r="D545" s="39" t="s">
        <v>183</v>
      </c>
      <c r="E545" s="39" t="s">
        <v>195</v>
      </c>
      <c r="F545" s="38" t="s">
        <v>139</v>
      </c>
      <c r="G545" s="38" t="s">
        <v>130</v>
      </c>
      <c r="H545" s="44"/>
      <c r="I545" s="44"/>
      <c r="J545" s="44"/>
      <c r="K545" s="44"/>
      <c r="L545" s="44"/>
      <c r="M545" s="44"/>
      <c r="N545" s="44"/>
      <c r="O545" s="44"/>
      <c r="P545" s="44"/>
      <c r="Q545" s="44"/>
      <c r="R545" s="44"/>
      <c r="S545" s="44"/>
      <c r="T545" s="44"/>
      <c r="U545" s="44"/>
      <c r="V545" s="44"/>
      <c r="W545" s="44"/>
      <c r="X545" s="44"/>
      <c r="Y545" s="44"/>
      <c r="Z545" s="44"/>
      <c r="AA545" s="44"/>
      <c r="AB545" s="44"/>
      <c r="AC545" s="44"/>
      <c r="AD545" s="44"/>
      <c r="AE545" s="44"/>
      <c r="AF545" s="44"/>
    </row>
    <row r="546" spans="1:32" x14ac:dyDescent="0.3">
      <c r="A546" s="38" t="s">
        <v>232</v>
      </c>
      <c r="B546" s="38" t="s">
        <v>174</v>
      </c>
      <c r="C546" s="38" t="s">
        <v>233</v>
      </c>
      <c r="D546" s="39" t="s">
        <v>183</v>
      </c>
      <c r="E546" s="39" t="s">
        <v>195</v>
      </c>
      <c r="F546" s="38" t="s">
        <v>140</v>
      </c>
      <c r="G546" s="38" t="s">
        <v>130</v>
      </c>
      <c r="H546" s="44"/>
      <c r="I546" s="44">
        <f>I541-(I536+I535)+(I540+I539+I538+I537)</f>
        <v>-418</v>
      </c>
      <c r="J546" s="44">
        <f t="shared" ref="J546:AF546" si="124">I546+J541-J536</f>
        <v>-647</v>
      </c>
      <c r="K546" s="44">
        <f t="shared" si="124"/>
        <v>-851</v>
      </c>
      <c r="L546" s="44">
        <f t="shared" si="124"/>
        <v>-1022</v>
      </c>
      <c r="M546" s="44">
        <f t="shared" si="124"/>
        <v>-1230</v>
      </c>
      <c r="N546" s="44">
        <f t="shared" si="124"/>
        <v>-1443</v>
      </c>
      <c r="O546" s="44">
        <f t="shared" si="124"/>
        <v>-1652</v>
      </c>
      <c r="P546" s="44">
        <f t="shared" si="124"/>
        <v>-1860</v>
      </c>
      <c r="Q546" s="44">
        <f t="shared" si="124"/>
        <v>-2060</v>
      </c>
      <c r="R546" s="44">
        <f t="shared" si="124"/>
        <v>-2255</v>
      </c>
      <c r="S546" s="44">
        <f t="shared" si="124"/>
        <v>-2449</v>
      </c>
      <c r="T546" s="44">
        <f t="shared" si="124"/>
        <v>-2643</v>
      </c>
      <c r="U546" s="44">
        <f t="shared" si="124"/>
        <v>-2830</v>
      </c>
      <c r="V546" s="44">
        <f t="shared" si="124"/>
        <v>-2977</v>
      </c>
      <c r="W546" s="44">
        <f t="shared" si="124"/>
        <v>-3120</v>
      </c>
      <c r="X546" s="44">
        <f t="shared" si="124"/>
        <v>-3262</v>
      </c>
      <c r="Y546" s="44">
        <f t="shared" si="124"/>
        <v>-3403</v>
      </c>
      <c r="Z546" s="44">
        <f t="shared" si="124"/>
        <v>-3563</v>
      </c>
      <c r="AA546" s="44">
        <f t="shared" si="124"/>
        <v>-3732</v>
      </c>
      <c r="AB546" s="44">
        <f t="shared" si="124"/>
        <v>-3902</v>
      </c>
      <c r="AC546" s="44">
        <f t="shared" si="124"/>
        <v>-4071</v>
      </c>
      <c r="AD546" s="44">
        <f t="shared" si="124"/>
        <v>-4195</v>
      </c>
      <c r="AE546" s="44">
        <f t="shared" si="124"/>
        <v>-4303</v>
      </c>
      <c r="AF546" s="44">
        <f t="shared" si="124"/>
        <v>-4411</v>
      </c>
    </row>
    <row r="547" spans="1:32" ht="15" thickBot="1" x14ac:dyDescent="0.35">
      <c r="A547" s="40" t="s">
        <v>232</v>
      </c>
      <c r="B547" s="40" t="s">
        <v>174</v>
      </c>
      <c r="C547" s="40" t="s">
        <v>233</v>
      </c>
      <c r="D547" s="41" t="s">
        <v>183</v>
      </c>
      <c r="E547" s="41" t="s">
        <v>195</v>
      </c>
      <c r="F547" s="40" t="s">
        <v>141</v>
      </c>
      <c r="G547" s="40" t="s">
        <v>130</v>
      </c>
      <c r="H547" s="45"/>
      <c r="I547" s="45">
        <f>I541-I545</f>
        <v>0</v>
      </c>
      <c r="J547" s="45">
        <f t="shared" ref="J547:AF547" si="125">I547+J541-J545</f>
        <v>0</v>
      </c>
      <c r="K547" s="45">
        <f t="shared" si="125"/>
        <v>0</v>
      </c>
      <c r="L547" s="45">
        <f t="shared" si="125"/>
        <v>0</v>
      </c>
      <c r="M547" s="45">
        <f t="shared" si="125"/>
        <v>0</v>
      </c>
      <c r="N547" s="45">
        <f t="shared" si="125"/>
        <v>0</v>
      </c>
      <c r="O547" s="45">
        <f t="shared" si="125"/>
        <v>0</v>
      </c>
      <c r="P547" s="45">
        <f t="shared" si="125"/>
        <v>0</v>
      </c>
      <c r="Q547" s="45">
        <f t="shared" si="125"/>
        <v>0</v>
      </c>
      <c r="R547" s="45">
        <f t="shared" si="125"/>
        <v>0</v>
      </c>
      <c r="S547" s="45">
        <f t="shared" si="125"/>
        <v>0</v>
      </c>
      <c r="T547" s="45">
        <f t="shared" si="125"/>
        <v>0</v>
      </c>
      <c r="U547" s="45">
        <f t="shared" si="125"/>
        <v>0</v>
      </c>
      <c r="V547" s="45">
        <f t="shared" si="125"/>
        <v>0</v>
      </c>
      <c r="W547" s="45">
        <f t="shared" si="125"/>
        <v>0</v>
      </c>
      <c r="X547" s="45">
        <f t="shared" si="125"/>
        <v>0</v>
      </c>
      <c r="Y547" s="45">
        <f t="shared" si="125"/>
        <v>0</v>
      </c>
      <c r="Z547" s="45">
        <f t="shared" si="125"/>
        <v>0</v>
      </c>
      <c r="AA547" s="45">
        <f t="shared" si="125"/>
        <v>0</v>
      </c>
      <c r="AB547" s="45">
        <f t="shared" si="125"/>
        <v>0</v>
      </c>
      <c r="AC547" s="45">
        <f t="shared" si="125"/>
        <v>0</v>
      </c>
      <c r="AD547" s="45">
        <f t="shared" si="125"/>
        <v>0</v>
      </c>
      <c r="AE547" s="45">
        <f t="shared" si="125"/>
        <v>0</v>
      </c>
      <c r="AF547" s="45">
        <f t="shared" si="125"/>
        <v>0</v>
      </c>
    </row>
    <row r="548" spans="1:32" x14ac:dyDescent="0.3">
      <c r="A548" s="38" t="s">
        <v>232</v>
      </c>
      <c r="B548" s="38" t="s">
        <v>174</v>
      </c>
      <c r="C548" s="38" t="s">
        <v>233</v>
      </c>
      <c r="D548" s="39" t="s">
        <v>183</v>
      </c>
      <c r="E548" s="39" t="s">
        <v>177</v>
      </c>
      <c r="F548" s="38" t="s">
        <v>129</v>
      </c>
      <c r="G548" s="38" t="s">
        <v>130</v>
      </c>
      <c r="H548" s="44">
        <v>177719</v>
      </c>
      <c r="I548" s="44">
        <v>177719</v>
      </c>
      <c r="J548" s="44"/>
      <c r="K548" s="44"/>
      <c r="L548" s="44"/>
      <c r="M548" s="44"/>
      <c r="N548" s="44"/>
      <c r="O548" s="44"/>
      <c r="P548" s="44"/>
      <c r="Q548" s="44"/>
      <c r="R548" s="44"/>
      <c r="S548" s="44"/>
      <c r="T548" s="44"/>
      <c r="U548" s="44"/>
      <c r="V548" s="44"/>
      <c r="W548" s="44"/>
      <c r="X548" s="44"/>
      <c r="Y548" s="44"/>
      <c r="Z548" s="44"/>
      <c r="AA548" s="44"/>
      <c r="AB548" s="44"/>
      <c r="AC548" s="44"/>
      <c r="AD548" s="44"/>
      <c r="AE548" s="44"/>
      <c r="AF548" s="44"/>
    </row>
    <row r="549" spans="1:32" x14ac:dyDescent="0.3">
      <c r="A549" s="38" t="s">
        <v>232</v>
      </c>
      <c r="B549" s="38" t="s">
        <v>174</v>
      </c>
      <c r="C549" s="38" t="s">
        <v>233</v>
      </c>
      <c r="D549" s="39" t="s">
        <v>183</v>
      </c>
      <c r="E549" s="39" t="s">
        <v>177</v>
      </c>
      <c r="F549" s="38" t="s">
        <v>131</v>
      </c>
      <c r="G549" s="38" t="s">
        <v>130</v>
      </c>
      <c r="H549" s="44">
        <v>827518</v>
      </c>
      <c r="I549" s="44">
        <v>29384</v>
      </c>
      <c r="J549" s="44">
        <v>42848</v>
      </c>
      <c r="K549" s="44">
        <v>31463</v>
      </c>
      <c r="L549" s="44">
        <v>31275</v>
      </c>
      <c r="M549" s="44">
        <v>36446</v>
      </c>
      <c r="N549" s="44">
        <v>58293</v>
      </c>
      <c r="O549" s="44">
        <v>40206</v>
      </c>
      <c r="P549" s="44">
        <v>41330</v>
      </c>
      <c r="Q549" s="44">
        <v>30967</v>
      </c>
      <c r="R549" s="44">
        <v>48689</v>
      </c>
      <c r="S549" s="44">
        <v>33431</v>
      </c>
      <c r="T549" s="44">
        <v>32305</v>
      </c>
      <c r="U549" s="44">
        <v>28904</v>
      </c>
      <c r="V549" s="44">
        <v>30416</v>
      </c>
      <c r="W549" s="44">
        <v>26117</v>
      </c>
      <c r="X549" s="44">
        <v>26096</v>
      </c>
      <c r="Y549" s="44">
        <v>25949</v>
      </c>
      <c r="Z549" s="44">
        <v>32288</v>
      </c>
      <c r="AA549" s="44">
        <v>37386</v>
      </c>
      <c r="AB549" s="44">
        <v>33198</v>
      </c>
      <c r="AC549" s="44">
        <v>33207</v>
      </c>
      <c r="AD549" s="44">
        <v>31512</v>
      </c>
      <c r="AE549" s="44">
        <v>35024</v>
      </c>
      <c r="AF549" s="44">
        <v>30784</v>
      </c>
    </row>
    <row r="550" spans="1:32" x14ac:dyDescent="0.3">
      <c r="A550" s="38" t="s">
        <v>232</v>
      </c>
      <c r="B550" s="38" t="s">
        <v>174</v>
      </c>
      <c r="C550" s="38" t="s">
        <v>233</v>
      </c>
      <c r="D550" s="39" t="s">
        <v>183</v>
      </c>
      <c r="E550" s="39" t="s">
        <v>177</v>
      </c>
      <c r="F550" s="38" t="s">
        <v>132</v>
      </c>
      <c r="G550" s="38" t="s">
        <v>130</v>
      </c>
      <c r="H550" s="44">
        <v>138648</v>
      </c>
      <c r="I550" s="44">
        <v>138648</v>
      </c>
      <c r="J550" s="44"/>
      <c r="K550" s="44"/>
      <c r="L550" s="44"/>
      <c r="M550" s="44"/>
      <c r="N550" s="44"/>
      <c r="O550" s="44"/>
      <c r="P550" s="44"/>
      <c r="Q550" s="44"/>
      <c r="R550" s="44"/>
      <c r="S550" s="44"/>
      <c r="T550" s="44"/>
      <c r="U550" s="44"/>
      <c r="V550" s="44"/>
      <c r="W550" s="44"/>
      <c r="X550" s="44"/>
      <c r="Y550" s="44"/>
      <c r="Z550" s="44"/>
      <c r="AA550" s="44"/>
      <c r="AB550" s="44"/>
      <c r="AC550" s="44"/>
      <c r="AD550" s="44"/>
      <c r="AE550" s="44"/>
      <c r="AF550" s="44"/>
    </row>
    <row r="551" spans="1:32" x14ac:dyDescent="0.3">
      <c r="A551" s="38" t="s">
        <v>232</v>
      </c>
      <c r="B551" s="38" t="s">
        <v>174</v>
      </c>
      <c r="C551" s="38" t="s">
        <v>233</v>
      </c>
      <c r="D551" s="39" t="s">
        <v>183</v>
      </c>
      <c r="E551" s="39" t="s">
        <v>177</v>
      </c>
      <c r="F551" s="38" t="s">
        <v>133</v>
      </c>
      <c r="G551" s="38" t="s">
        <v>130</v>
      </c>
      <c r="H551" s="44">
        <v>0</v>
      </c>
      <c r="I551" s="44">
        <v>0</v>
      </c>
      <c r="J551" s="44"/>
      <c r="K551" s="44"/>
      <c r="L551" s="44"/>
      <c r="M551" s="44"/>
      <c r="N551" s="44"/>
      <c r="O551" s="44"/>
      <c r="P551" s="44"/>
      <c r="Q551" s="44"/>
      <c r="R551" s="44"/>
      <c r="S551" s="44"/>
      <c r="T551" s="44"/>
      <c r="U551" s="44"/>
      <c r="V551" s="44"/>
      <c r="W551" s="44"/>
      <c r="X551" s="44"/>
      <c r="Y551" s="44"/>
      <c r="Z551" s="44"/>
      <c r="AA551" s="44"/>
      <c r="AB551" s="44"/>
      <c r="AC551" s="44"/>
      <c r="AD551" s="44"/>
      <c r="AE551" s="44"/>
      <c r="AF551" s="44"/>
    </row>
    <row r="552" spans="1:32" x14ac:dyDescent="0.3">
      <c r="A552" s="38" t="s">
        <v>232</v>
      </c>
      <c r="B552" s="38" t="s">
        <v>174</v>
      </c>
      <c r="C552" s="38" t="s">
        <v>233</v>
      </c>
      <c r="D552" s="39" t="s">
        <v>183</v>
      </c>
      <c r="E552" s="39" t="s">
        <v>177</v>
      </c>
      <c r="F552" s="38" t="s">
        <v>134</v>
      </c>
      <c r="G552" s="38" t="s">
        <v>130</v>
      </c>
      <c r="H552" s="44">
        <v>207004</v>
      </c>
      <c r="I552" s="44">
        <v>207004</v>
      </c>
      <c r="J552" s="44"/>
      <c r="K552" s="44"/>
      <c r="L552" s="44"/>
      <c r="M552" s="44"/>
      <c r="N552" s="44"/>
      <c r="O552" s="44"/>
      <c r="P552" s="44"/>
      <c r="Q552" s="44"/>
      <c r="R552" s="44"/>
      <c r="S552" s="44"/>
      <c r="T552" s="44"/>
      <c r="U552" s="44"/>
      <c r="V552" s="44"/>
      <c r="W552" s="44"/>
      <c r="X552" s="44"/>
      <c r="Y552" s="44"/>
      <c r="Z552" s="44"/>
      <c r="AA552" s="44"/>
      <c r="AB552" s="44"/>
      <c r="AC552" s="44"/>
      <c r="AD552" s="44"/>
      <c r="AE552" s="44"/>
      <c r="AF552" s="44"/>
    </row>
    <row r="553" spans="1:32" x14ac:dyDescent="0.3">
      <c r="A553" s="38" t="s">
        <v>232</v>
      </c>
      <c r="B553" s="38" t="s">
        <v>174</v>
      </c>
      <c r="C553" s="38" t="s">
        <v>233</v>
      </c>
      <c r="D553" s="39" t="s">
        <v>183</v>
      </c>
      <c r="E553" s="39" t="s">
        <v>177</v>
      </c>
      <c r="F553" s="38" t="s">
        <v>135</v>
      </c>
      <c r="G553" s="38" t="s">
        <v>130</v>
      </c>
      <c r="H553" s="44">
        <v>17280</v>
      </c>
      <c r="I553" s="44">
        <v>17280</v>
      </c>
      <c r="J553" s="44"/>
      <c r="K553" s="44"/>
      <c r="L553" s="44"/>
      <c r="M553" s="44"/>
      <c r="N553" s="44"/>
      <c r="O553" s="44"/>
      <c r="P553" s="44"/>
      <c r="Q553" s="44"/>
      <c r="R553" s="44"/>
      <c r="S553" s="44"/>
      <c r="T553" s="44"/>
      <c r="U553" s="44"/>
      <c r="V553" s="44"/>
      <c r="W553" s="44"/>
      <c r="X553" s="44"/>
      <c r="Y553" s="44"/>
      <c r="Z553" s="44"/>
      <c r="AA553" s="44"/>
      <c r="AB553" s="44"/>
      <c r="AC553" s="44"/>
      <c r="AD553" s="44"/>
      <c r="AE553" s="44"/>
      <c r="AF553" s="44"/>
    </row>
    <row r="554" spans="1:32" x14ac:dyDescent="0.3">
      <c r="A554" s="38" t="s">
        <v>232</v>
      </c>
      <c r="B554" s="38" t="s">
        <v>174</v>
      </c>
      <c r="C554" s="38" t="s">
        <v>233</v>
      </c>
      <c r="D554" s="39" t="s">
        <v>183</v>
      </c>
      <c r="E554" s="39" t="s">
        <v>177</v>
      </c>
      <c r="F554" s="38" t="s">
        <v>136</v>
      </c>
      <c r="G554" s="38" t="s">
        <v>130</v>
      </c>
      <c r="H554" s="44">
        <f>SUM(I554:AF554)</f>
        <v>142272</v>
      </c>
      <c r="I554" s="44">
        <f t="shared" ref="I554:AF554" si="126">IF(AND(ISBLANK(I557) = TRUE,ISBLANK(I556) = TRUE),I555,I556+I557)</f>
        <v>0</v>
      </c>
      <c r="J554" s="44">
        <f t="shared" si="126"/>
        <v>42048</v>
      </c>
      <c r="K554" s="44">
        <f t="shared" si="126"/>
        <v>100224</v>
      </c>
      <c r="L554" s="44">
        <f t="shared" si="126"/>
        <v>0</v>
      </c>
      <c r="M554" s="44">
        <f t="shared" si="126"/>
        <v>0</v>
      </c>
      <c r="N554" s="44">
        <f t="shared" si="126"/>
        <v>0</v>
      </c>
      <c r="O554" s="44">
        <f t="shared" si="126"/>
        <v>0</v>
      </c>
      <c r="P554" s="44">
        <f t="shared" si="126"/>
        <v>0</v>
      </c>
      <c r="Q554" s="44">
        <f t="shared" si="126"/>
        <v>0</v>
      </c>
      <c r="R554" s="44">
        <f t="shared" si="126"/>
        <v>0</v>
      </c>
      <c r="S554" s="44">
        <f t="shared" si="126"/>
        <v>0</v>
      </c>
      <c r="T554" s="44">
        <f t="shared" si="126"/>
        <v>0</v>
      </c>
      <c r="U554" s="44">
        <f t="shared" si="126"/>
        <v>0</v>
      </c>
      <c r="V554" s="44">
        <f t="shared" si="126"/>
        <v>0</v>
      </c>
      <c r="W554" s="44">
        <f t="shared" si="126"/>
        <v>0</v>
      </c>
      <c r="X554" s="44">
        <f t="shared" si="126"/>
        <v>0</v>
      </c>
      <c r="Y554" s="44">
        <f t="shared" si="126"/>
        <v>0</v>
      </c>
      <c r="Z554" s="44">
        <f t="shared" si="126"/>
        <v>0</v>
      </c>
      <c r="AA554" s="44">
        <f t="shared" si="126"/>
        <v>0</v>
      </c>
      <c r="AB554" s="44">
        <f t="shared" si="126"/>
        <v>0</v>
      </c>
      <c r="AC554" s="44">
        <f t="shared" si="126"/>
        <v>0</v>
      </c>
      <c r="AD554" s="44">
        <f t="shared" si="126"/>
        <v>0</v>
      </c>
      <c r="AE554" s="44">
        <f t="shared" si="126"/>
        <v>0</v>
      </c>
      <c r="AF554" s="44">
        <f t="shared" si="126"/>
        <v>0</v>
      </c>
    </row>
    <row r="555" spans="1:32" x14ac:dyDescent="0.3">
      <c r="A555" s="38" t="s">
        <v>232</v>
      </c>
      <c r="B555" s="38" t="s">
        <v>174</v>
      </c>
      <c r="C555" s="38" t="s">
        <v>233</v>
      </c>
      <c r="D555" s="39" t="s">
        <v>183</v>
      </c>
      <c r="E555" s="39" t="s">
        <v>177</v>
      </c>
      <c r="F555" s="38" t="s">
        <v>124</v>
      </c>
      <c r="G555" s="38" t="s">
        <v>130</v>
      </c>
      <c r="H555" s="44">
        <v>142272</v>
      </c>
      <c r="I555" s="44"/>
      <c r="J555" s="44">
        <v>42048</v>
      </c>
      <c r="K555" s="44">
        <v>100224</v>
      </c>
      <c r="L555" s="44"/>
      <c r="M555" s="44"/>
      <c r="N555" s="44"/>
      <c r="O555" s="44"/>
      <c r="P555" s="44"/>
      <c r="Q555" s="44"/>
      <c r="R555" s="44"/>
      <c r="S555" s="44"/>
      <c r="T555" s="44"/>
      <c r="U555" s="44"/>
      <c r="V555" s="44"/>
      <c r="W555" s="44"/>
      <c r="X555" s="44"/>
      <c r="Y555" s="44"/>
      <c r="Z555" s="44"/>
      <c r="AA555" s="44"/>
      <c r="AB555" s="44"/>
      <c r="AC555" s="44"/>
      <c r="AD555" s="44"/>
      <c r="AE555" s="44"/>
      <c r="AF555" s="44"/>
    </row>
    <row r="556" spans="1:32" x14ac:dyDescent="0.3">
      <c r="A556" s="38" t="s">
        <v>232</v>
      </c>
      <c r="B556" s="38" t="s">
        <v>174</v>
      </c>
      <c r="C556" s="38" t="s">
        <v>233</v>
      </c>
      <c r="D556" s="39" t="s">
        <v>183</v>
      </c>
      <c r="E556" s="39" t="s">
        <v>177</v>
      </c>
      <c r="F556" s="38" t="s">
        <v>137</v>
      </c>
      <c r="G556" s="38" t="s">
        <v>130</v>
      </c>
      <c r="H556" s="44">
        <f>SUM(I556:AF556)</f>
        <v>0</v>
      </c>
      <c r="I556" s="44"/>
      <c r="J556" s="44"/>
      <c r="K556" s="44"/>
      <c r="L556" s="44"/>
      <c r="M556" s="44"/>
      <c r="N556" s="44"/>
      <c r="O556" s="44"/>
      <c r="P556" s="44"/>
      <c r="Q556" s="44"/>
      <c r="R556" s="44"/>
      <c r="S556" s="44"/>
      <c r="T556" s="44"/>
      <c r="U556" s="44"/>
      <c r="V556" s="44"/>
      <c r="W556" s="44"/>
      <c r="X556" s="44"/>
      <c r="Y556" s="44"/>
      <c r="Z556" s="44"/>
      <c r="AA556" s="44"/>
      <c r="AB556" s="44"/>
      <c r="AC556" s="44"/>
      <c r="AD556" s="44"/>
      <c r="AE556" s="44"/>
      <c r="AF556" s="44"/>
    </row>
    <row r="557" spans="1:32" x14ac:dyDescent="0.3">
      <c r="A557" s="38" t="s">
        <v>232</v>
      </c>
      <c r="B557" s="38" t="s">
        <v>174</v>
      </c>
      <c r="C557" s="38" t="s">
        <v>233</v>
      </c>
      <c r="D557" s="39" t="s">
        <v>183</v>
      </c>
      <c r="E557" s="39" t="s">
        <v>177</v>
      </c>
      <c r="F557" s="38" t="s">
        <v>138</v>
      </c>
      <c r="G557" s="38" t="s">
        <v>130</v>
      </c>
      <c r="H557" s="44">
        <f>SUM(I557:AF557)</f>
        <v>0</v>
      </c>
      <c r="I557" s="44"/>
      <c r="J557" s="44"/>
      <c r="K557" s="44"/>
      <c r="L557" s="44"/>
      <c r="M557" s="44"/>
      <c r="N557" s="44"/>
      <c r="O557" s="44"/>
      <c r="P557" s="44"/>
      <c r="Q557" s="44"/>
      <c r="R557" s="44"/>
      <c r="S557" s="44"/>
      <c r="T557" s="44"/>
      <c r="U557" s="44"/>
      <c r="V557" s="44"/>
      <c r="W557" s="44"/>
      <c r="X557" s="44"/>
      <c r="Y557" s="44"/>
      <c r="Z557" s="44"/>
      <c r="AA557" s="44"/>
      <c r="AB557" s="44"/>
      <c r="AC557" s="44"/>
      <c r="AD557" s="44"/>
      <c r="AE557" s="44"/>
      <c r="AF557" s="44"/>
    </row>
    <row r="558" spans="1:32" x14ac:dyDescent="0.3">
      <c r="A558" s="38" t="s">
        <v>232</v>
      </c>
      <c r="B558" s="38" t="s">
        <v>174</v>
      </c>
      <c r="C558" s="38" t="s">
        <v>233</v>
      </c>
      <c r="D558" s="39" t="s">
        <v>183</v>
      </c>
      <c r="E558" s="39" t="s">
        <v>177</v>
      </c>
      <c r="F558" s="38" t="s">
        <v>139</v>
      </c>
      <c r="G558" s="38" t="s">
        <v>130</v>
      </c>
      <c r="H558" s="44">
        <v>142272</v>
      </c>
      <c r="I558" s="44"/>
      <c r="J558" s="44">
        <v>42048</v>
      </c>
      <c r="K558" s="44">
        <v>100224</v>
      </c>
      <c r="L558" s="44"/>
      <c r="M558" s="44"/>
      <c r="N558" s="44"/>
      <c r="O558" s="44"/>
      <c r="P558" s="44"/>
      <c r="Q558" s="44"/>
      <c r="R558" s="44"/>
      <c r="S558" s="44"/>
      <c r="T558" s="44"/>
      <c r="U558" s="44"/>
      <c r="V558" s="44"/>
      <c r="W558" s="44"/>
      <c r="X558" s="44"/>
      <c r="Y558" s="44"/>
      <c r="Z558" s="44"/>
      <c r="AA558" s="44"/>
      <c r="AB558" s="44"/>
      <c r="AC558" s="44"/>
      <c r="AD558" s="44"/>
      <c r="AE558" s="44"/>
      <c r="AF558" s="44"/>
    </row>
    <row r="559" spans="1:32" x14ac:dyDescent="0.3">
      <c r="A559" s="38" t="s">
        <v>232</v>
      </c>
      <c r="B559" s="38" t="s">
        <v>174</v>
      </c>
      <c r="C559" s="38" t="s">
        <v>233</v>
      </c>
      <c r="D559" s="39" t="s">
        <v>183</v>
      </c>
      <c r="E559" s="39" t="s">
        <v>177</v>
      </c>
      <c r="F559" s="38" t="s">
        <v>140</v>
      </c>
      <c r="G559" s="38" t="s">
        <v>130</v>
      </c>
      <c r="H559" s="44"/>
      <c r="I559" s="44">
        <f>I554-(I549+I548)+(I553+I552+I551+I550)</f>
        <v>155829</v>
      </c>
      <c r="J559" s="44">
        <f t="shared" ref="J559:AF559" si="127">I559+J554-J549</f>
        <v>155029</v>
      </c>
      <c r="K559" s="44">
        <f t="shared" si="127"/>
        <v>223790</v>
      </c>
      <c r="L559" s="44">
        <f t="shared" si="127"/>
        <v>192515</v>
      </c>
      <c r="M559" s="44">
        <f t="shared" si="127"/>
        <v>156069</v>
      </c>
      <c r="N559" s="44">
        <f t="shared" si="127"/>
        <v>97776</v>
      </c>
      <c r="O559" s="44">
        <f t="shared" si="127"/>
        <v>57570</v>
      </c>
      <c r="P559" s="44">
        <f t="shared" si="127"/>
        <v>16240</v>
      </c>
      <c r="Q559" s="44">
        <f t="shared" si="127"/>
        <v>-14727</v>
      </c>
      <c r="R559" s="44">
        <f t="shared" si="127"/>
        <v>-63416</v>
      </c>
      <c r="S559" s="44">
        <f t="shared" si="127"/>
        <v>-96847</v>
      </c>
      <c r="T559" s="44">
        <f t="shared" si="127"/>
        <v>-129152</v>
      </c>
      <c r="U559" s="44">
        <f t="shared" si="127"/>
        <v>-158056</v>
      </c>
      <c r="V559" s="44">
        <f t="shared" si="127"/>
        <v>-188472</v>
      </c>
      <c r="W559" s="44">
        <f t="shared" si="127"/>
        <v>-214589</v>
      </c>
      <c r="X559" s="44">
        <f t="shared" si="127"/>
        <v>-240685</v>
      </c>
      <c r="Y559" s="44">
        <f t="shared" si="127"/>
        <v>-266634</v>
      </c>
      <c r="Z559" s="44">
        <f t="shared" si="127"/>
        <v>-298922</v>
      </c>
      <c r="AA559" s="44">
        <f t="shared" si="127"/>
        <v>-336308</v>
      </c>
      <c r="AB559" s="44">
        <f t="shared" si="127"/>
        <v>-369506</v>
      </c>
      <c r="AC559" s="44">
        <f t="shared" si="127"/>
        <v>-402713</v>
      </c>
      <c r="AD559" s="44">
        <f t="shared" si="127"/>
        <v>-434225</v>
      </c>
      <c r="AE559" s="44">
        <f t="shared" si="127"/>
        <v>-469249</v>
      </c>
      <c r="AF559" s="44">
        <f t="shared" si="127"/>
        <v>-500033</v>
      </c>
    </row>
    <row r="560" spans="1:32" ht="15" thickBot="1" x14ac:dyDescent="0.35">
      <c r="A560" s="40" t="s">
        <v>232</v>
      </c>
      <c r="B560" s="40" t="s">
        <v>174</v>
      </c>
      <c r="C560" s="40" t="s">
        <v>233</v>
      </c>
      <c r="D560" s="41" t="s">
        <v>183</v>
      </c>
      <c r="E560" s="41" t="s">
        <v>177</v>
      </c>
      <c r="F560" s="40" t="s">
        <v>141</v>
      </c>
      <c r="G560" s="40" t="s">
        <v>130</v>
      </c>
      <c r="H560" s="45"/>
      <c r="I560" s="45">
        <f>I554-I558</f>
        <v>0</v>
      </c>
      <c r="J560" s="45">
        <f t="shared" ref="J560:AF560" si="128">I560+J554-J558</f>
        <v>0</v>
      </c>
      <c r="K560" s="45">
        <f t="shared" si="128"/>
        <v>0</v>
      </c>
      <c r="L560" s="45">
        <f t="shared" si="128"/>
        <v>0</v>
      </c>
      <c r="M560" s="45">
        <f t="shared" si="128"/>
        <v>0</v>
      </c>
      <c r="N560" s="45">
        <f t="shared" si="128"/>
        <v>0</v>
      </c>
      <c r="O560" s="45">
        <f t="shared" si="128"/>
        <v>0</v>
      </c>
      <c r="P560" s="45">
        <f t="shared" si="128"/>
        <v>0</v>
      </c>
      <c r="Q560" s="45">
        <f t="shared" si="128"/>
        <v>0</v>
      </c>
      <c r="R560" s="45">
        <f t="shared" si="128"/>
        <v>0</v>
      </c>
      <c r="S560" s="45">
        <f t="shared" si="128"/>
        <v>0</v>
      </c>
      <c r="T560" s="45">
        <f t="shared" si="128"/>
        <v>0</v>
      </c>
      <c r="U560" s="45">
        <f t="shared" si="128"/>
        <v>0</v>
      </c>
      <c r="V560" s="45">
        <f t="shared" si="128"/>
        <v>0</v>
      </c>
      <c r="W560" s="45">
        <f t="shared" si="128"/>
        <v>0</v>
      </c>
      <c r="X560" s="45">
        <f t="shared" si="128"/>
        <v>0</v>
      </c>
      <c r="Y560" s="45">
        <f t="shared" si="128"/>
        <v>0</v>
      </c>
      <c r="Z560" s="45">
        <f t="shared" si="128"/>
        <v>0</v>
      </c>
      <c r="AA560" s="45">
        <f t="shared" si="128"/>
        <v>0</v>
      </c>
      <c r="AB560" s="45">
        <f t="shared" si="128"/>
        <v>0</v>
      </c>
      <c r="AC560" s="45">
        <f t="shared" si="128"/>
        <v>0</v>
      </c>
      <c r="AD560" s="45">
        <f t="shared" si="128"/>
        <v>0</v>
      </c>
      <c r="AE560" s="45">
        <f t="shared" si="128"/>
        <v>0</v>
      </c>
      <c r="AF560" s="45">
        <f t="shared" si="128"/>
        <v>0</v>
      </c>
    </row>
    <row r="561" spans="1:32" x14ac:dyDescent="0.3">
      <c r="A561" s="38" t="s">
        <v>234</v>
      </c>
      <c r="B561" s="38" t="s">
        <v>174</v>
      </c>
      <c r="C561" s="38" t="s">
        <v>182</v>
      </c>
      <c r="D561" s="39" t="s">
        <v>198</v>
      </c>
      <c r="E561" s="39" t="s">
        <v>177</v>
      </c>
      <c r="F561" s="38" t="s">
        <v>129</v>
      </c>
      <c r="G561" s="38" t="s">
        <v>130</v>
      </c>
      <c r="H561" s="44">
        <v>559</v>
      </c>
      <c r="I561" s="44">
        <v>559</v>
      </c>
      <c r="J561" s="44"/>
      <c r="K561" s="44"/>
      <c r="L561" s="44"/>
      <c r="M561" s="44"/>
      <c r="N561" s="44"/>
      <c r="O561" s="44"/>
      <c r="P561" s="44"/>
      <c r="Q561" s="44"/>
      <c r="R561" s="44"/>
      <c r="S561" s="44"/>
      <c r="T561" s="44"/>
      <c r="U561" s="44"/>
      <c r="V561" s="44"/>
      <c r="W561" s="44"/>
      <c r="X561" s="44"/>
      <c r="Y561" s="44"/>
      <c r="Z561" s="44"/>
      <c r="AA561" s="44"/>
      <c r="AB561" s="44"/>
      <c r="AC561" s="44"/>
      <c r="AD561" s="44"/>
      <c r="AE561" s="44"/>
      <c r="AF561" s="44"/>
    </row>
    <row r="562" spans="1:32" x14ac:dyDescent="0.3">
      <c r="A562" s="38" t="s">
        <v>234</v>
      </c>
      <c r="B562" s="38" t="s">
        <v>174</v>
      </c>
      <c r="C562" s="38" t="s">
        <v>182</v>
      </c>
      <c r="D562" s="39" t="s">
        <v>198</v>
      </c>
      <c r="E562" s="39" t="s">
        <v>177</v>
      </c>
      <c r="F562" s="38" t="s">
        <v>131</v>
      </c>
      <c r="G562" s="38" t="s">
        <v>130</v>
      </c>
      <c r="H562" s="44">
        <v>21998</v>
      </c>
      <c r="I562" s="44">
        <v>945</v>
      </c>
      <c r="J562" s="44">
        <v>945</v>
      </c>
      <c r="K562" s="44">
        <v>826</v>
      </c>
      <c r="L562" s="44">
        <v>726</v>
      </c>
      <c r="M562" s="44">
        <v>696</v>
      </c>
      <c r="N562" s="44">
        <v>672</v>
      </c>
      <c r="O562" s="44">
        <v>671</v>
      </c>
      <c r="P562" s="44">
        <v>671</v>
      </c>
      <c r="Q562" s="44">
        <v>637</v>
      </c>
      <c r="R562" s="44">
        <v>610</v>
      </c>
      <c r="S562" s="44">
        <v>610</v>
      </c>
      <c r="T562" s="44">
        <v>609</v>
      </c>
      <c r="U562" s="44">
        <v>623</v>
      </c>
      <c r="V562" s="44">
        <v>701</v>
      </c>
      <c r="W562" s="44">
        <v>700</v>
      </c>
      <c r="X562" s="44">
        <v>700</v>
      </c>
      <c r="Y562" s="44">
        <v>720</v>
      </c>
      <c r="Z562" s="44">
        <v>1148</v>
      </c>
      <c r="AA562" s="44">
        <v>1320</v>
      </c>
      <c r="AB562" s="44">
        <v>1320</v>
      </c>
      <c r="AC562" s="44">
        <v>1320</v>
      </c>
      <c r="AD562" s="44">
        <v>1550</v>
      </c>
      <c r="AE562" s="44">
        <v>1640</v>
      </c>
      <c r="AF562" s="44">
        <v>1638</v>
      </c>
    </row>
    <row r="563" spans="1:32" x14ac:dyDescent="0.3">
      <c r="A563" s="38" t="s">
        <v>234</v>
      </c>
      <c r="B563" s="38" t="s">
        <v>174</v>
      </c>
      <c r="C563" s="38" t="s">
        <v>182</v>
      </c>
      <c r="D563" s="39" t="s">
        <v>198</v>
      </c>
      <c r="E563" s="39" t="s">
        <v>177</v>
      </c>
      <c r="F563" s="38" t="s">
        <v>132</v>
      </c>
      <c r="G563" s="38" t="s">
        <v>130</v>
      </c>
      <c r="H563" s="44">
        <v>363012</v>
      </c>
      <c r="I563" s="44">
        <v>363012</v>
      </c>
      <c r="J563" s="44"/>
      <c r="K563" s="44"/>
      <c r="L563" s="44"/>
      <c r="M563" s="44"/>
      <c r="N563" s="44"/>
      <c r="O563" s="44"/>
      <c r="P563" s="44"/>
      <c r="Q563" s="44"/>
      <c r="R563" s="44"/>
      <c r="S563" s="44"/>
      <c r="T563" s="44"/>
      <c r="U563" s="44"/>
      <c r="V563" s="44"/>
      <c r="W563" s="44"/>
      <c r="X563" s="44"/>
      <c r="Y563" s="44"/>
      <c r="Z563" s="44"/>
      <c r="AA563" s="44"/>
      <c r="AB563" s="44"/>
      <c r="AC563" s="44"/>
      <c r="AD563" s="44"/>
      <c r="AE563" s="44"/>
      <c r="AF563" s="44"/>
    </row>
    <row r="564" spans="1:32" x14ac:dyDescent="0.3">
      <c r="A564" s="38" t="s">
        <v>234</v>
      </c>
      <c r="B564" s="38" t="s">
        <v>174</v>
      </c>
      <c r="C564" s="38" t="s">
        <v>182</v>
      </c>
      <c r="D564" s="39" t="s">
        <v>198</v>
      </c>
      <c r="E564" s="39" t="s">
        <v>177</v>
      </c>
      <c r="F564" s="38" t="s">
        <v>133</v>
      </c>
      <c r="G564" s="38" t="s">
        <v>130</v>
      </c>
      <c r="H564" s="44">
        <v>0</v>
      </c>
      <c r="I564" s="44">
        <v>0</v>
      </c>
      <c r="J564" s="44"/>
      <c r="K564" s="44"/>
      <c r="L564" s="44"/>
      <c r="M564" s="44"/>
      <c r="N564" s="44"/>
      <c r="O564" s="44"/>
      <c r="P564" s="44"/>
      <c r="Q564" s="44"/>
      <c r="R564" s="44"/>
      <c r="S564" s="44"/>
      <c r="T564" s="44"/>
      <c r="U564" s="44"/>
      <c r="V564" s="44"/>
      <c r="W564" s="44"/>
      <c r="X564" s="44"/>
      <c r="Y564" s="44"/>
      <c r="Z564" s="44"/>
      <c r="AA564" s="44"/>
      <c r="AB564" s="44"/>
      <c r="AC564" s="44"/>
      <c r="AD564" s="44"/>
      <c r="AE564" s="44"/>
      <c r="AF564" s="44"/>
    </row>
    <row r="565" spans="1:32" x14ac:dyDescent="0.3">
      <c r="A565" s="38" t="s">
        <v>234</v>
      </c>
      <c r="B565" s="38" t="s">
        <v>174</v>
      </c>
      <c r="C565" s="38" t="s">
        <v>182</v>
      </c>
      <c r="D565" s="39" t="s">
        <v>198</v>
      </c>
      <c r="E565" s="39" t="s">
        <v>177</v>
      </c>
      <c r="F565" s="38" t="s">
        <v>134</v>
      </c>
      <c r="G565" s="38" t="s">
        <v>130</v>
      </c>
      <c r="H565" s="44">
        <v>241</v>
      </c>
      <c r="I565" s="44">
        <v>241</v>
      </c>
      <c r="J565" s="44"/>
      <c r="K565" s="44"/>
      <c r="L565" s="44"/>
      <c r="M565" s="44"/>
      <c r="N565" s="44"/>
      <c r="O565" s="44"/>
      <c r="P565" s="44"/>
      <c r="Q565" s="44"/>
      <c r="R565" s="44"/>
      <c r="S565" s="44"/>
      <c r="T565" s="44"/>
      <c r="U565" s="44"/>
      <c r="V565" s="44"/>
      <c r="W565" s="44"/>
      <c r="X565" s="44"/>
      <c r="Y565" s="44"/>
      <c r="Z565" s="44"/>
      <c r="AA565" s="44"/>
      <c r="AB565" s="44"/>
      <c r="AC565" s="44"/>
      <c r="AD565" s="44"/>
      <c r="AE565" s="44"/>
      <c r="AF565" s="44"/>
    </row>
    <row r="566" spans="1:32" x14ac:dyDescent="0.3">
      <c r="A566" s="38" t="s">
        <v>234</v>
      </c>
      <c r="B566" s="38" t="s">
        <v>174</v>
      </c>
      <c r="C566" s="38" t="s">
        <v>182</v>
      </c>
      <c r="D566" s="39" t="s">
        <v>198</v>
      </c>
      <c r="E566" s="39" t="s">
        <v>177</v>
      </c>
      <c r="F566" s="38" t="s">
        <v>135</v>
      </c>
      <c r="G566" s="38" t="s">
        <v>130</v>
      </c>
      <c r="H566" s="44"/>
      <c r="I566" s="44"/>
      <c r="J566" s="44"/>
      <c r="K566" s="44"/>
      <c r="L566" s="44"/>
      <c r="M566" s="44"/>
      <c r="N566" s="44"/>
      <c r="O566" s="44"/>
      <c r="P566" s="44"/>
      <c r="Q566" s="44"/>
      <c r="R566" s="44"/>
      <c r="S566" s="44"/>
      <c r="T566" s="44"/>
      <c r="U566" s="44"/>
      <c r="V566" s="44"/>
      <c r="W566" s="44"/>
      <c r="X566" s="44"/>
      <c r="Y566" s="44"/>
      <c r="Z566" s="44"/>
      <c r="AA566" s="44"/>
      <c r="AB566" s="44"/>
      <c r="AC566" s="44"/>
      <c r="AD566" s="44"/>
      <c r="AE566" s="44"/>
      <c r="AF566" s="44"/>
    </row>
    <row r="567" spans="1:32" x14ac:dyDescent="0.3">
      <c r="A567" s="38" t="s">
        <v>234</v>
      </c>
      <c r="B567" s="38" t="s">
        <v>174</v>
      </c>
      <c r="C567" s="38" t="s">
        <v>182</v>
      </c>
      <c r="D567" s="39" t="s">
        <v>198</v>
      </c>
      <c r="E567" s="39" t="s">
        <v>177</v>
      </c>
      <c r="F567" s="38" t="s">
        <v>136</v>
      </c>
      <c r="G567" s="38" t="s">
        <v>130</v>
      </c>
      <c r="H567" s="44">
        <f>SUM(I567:AF567)</f>
        <v>75000</v>
      </c>
      <c r="I567" s="44">
        <f t="shared" ref="I567:AF567" si="129">IF(AND(ISBLANK(I570) = TRUE,ISBLANK(I569) = TRUE),I568,I569+I570)</f>
        <v>0</v>
      </c>
      <c r="J567" s="44">
        <f t="shared" si="129"/>
        <v>0</v>
      </c>
      <c r="K567" s="44">
        <f t="shared" si="129"/>
        <v>0</v>
      </c>
      <c r="L567" s="44">
        <f t="shared" si="129"/>
        <v>0</v>
      </c>
      <c r="M567" s="44">
        <f t="shared" si="129"/>
        <v>5000</v>
      </c>
      <c r="N567" s="44">
        <f t="shared" si="129"/>
        <v>20000</v>
      </c>
      <c r="O567" s="44">
        <f t="shared" si="129"/>
        <v>0</v>
      </c>
      <c r="P567" s="44">
        <f t="shared" si="129"/>
        <v>0</v>
      </c>
      <c r="Q567" s="44">
        <f t="shared" si="129"/>
        <v>0</v>
      </c>
      <c r="R567" s="44">
        <f t="shared" si="129"/>
        <v>0</v>
      </c>
      <c r="S567" s="44">
        <f t="shared" si="129"/>
        <v>0</v>
      </c>
      <c r="T567" s="44">
        <f t="shared" si="129"/>
        <v>0</v>
      </c>
      <c r="U567" s="44">
        <f t="shared" si="129"/>
        <v>20000</v>
      </c>
      <c r="V567" s="44">
        <f t="shared" si="129"/>
        <v>30000</v>
      </c>
      <c r="W567" s="44">
        <f t="shared" si="129"/>
        <v>0</v>
      </c>
      <c r="X567" s="44">
        <f t="shared" si="129"/>
        <v>0</v>
      </c>
      <c r="Y567" s="44">
        <f t="shared" si="129"/>
        <v>0</v>
      </c>
      <c r="Z567" s="44">
        <f t="shared" si="129"/>
        <v>0</v>
      </c>
      <c r="AA567" s="44">
        <f t="shared" si="129"/>
        <v>0</v>
      </c>
      <c r="AB567" s="44">
        <f t="shared" si="129"/>
        <v>0</v>
      </c>
      <c r="AC567" s="44">
        <f t="shared" si="129"/>
        <v>0</v>
      </c>
      <c r="AD567" s="44">
        <f t="shared" si="129"/>
        <v>0</v>
      </c>
      <c r="AE567" s="44">
        <f t="shared" si="129"/>
        <v>0</v>
      </c>
      <c r="AF567" s="44">
        <f t="shared" si="129"/>
        <v>0</v>
      </c>
    </row>
    <row r="568" spans="1:32" x14ac:dyDescent="0.3">
      <c r="A568" s="38" t="s">
        <v>234</v>
      </c>
      <c r="B568" s="38" t="s">
        <v>174</v>
      </c>
      <c r="C568" s="38" t="s">
        <v>182</v>
      </c>
      <c r="D568" s="39" t="s">
        <v>198</v>
      </c>
      <c r="E568" s="39" t="s">
        <v>177</v>
      </c>
      <c r="F568" s="38" t="s">
        <v>124</v>
      </c>
      <c r="G568" s="38" t="s">
        <v>130</v>
      </c>
      <c r="H568" s="44">
        <v>75000</v>
      </c>
      <c r="I568" s="44"/>
      <c r="J568" s="44"/>
      <c r="K568" s="44"/>
      <c r="L568" s="44"/>
      <c r="M568" s="44">
        <v>5000</v>
      </c>
      <c r="N568" s="44">
        <v>20000</v>
      </c>
      <c r="O568" s="44"/>
      <c r="P568" s="44"/>
      <c r="Q568" s="44"/>
      <c r="R568" s="44"/>
      <c r="S568" s="44"/>
      <c r="T568" s="44"/>
      <c r="U568" s="44">
        <v>20000</v>
      </c>
      <c r="V568" s="44">
        <v>30000</v>
      </c>
      <c r="W568" s="44"/>
      <c r="X568" s="44"/>
      <c r="Y568" s="44"/>
      <c r="Z568" s="44"/>
      <c r="AA568" s="44"/>
      <c r="AB568" s="44"/>
      <c r="AC568" s="44"/>
      <c r="AD568" s="44"/>
      <c r="AE568" s="44"/>
      <c r="AF568" s="44"/>
    </row>
    <row r="569" spans="1:32" x14ac:dyDescent="0.3">
      <c r="A569" s="38" t="s">
        <v>234</v>
      </c>
      <c r="B569" s="38" t="s">
        <v>174</v>
      </c>
      <c r="C569" s="38" t="s">
        <v>182</v>
      </c>
      <c r="D569" s="39" t="s">
        <v>198</v>
      </c>
      <c r="E569" s="39" t="s">
        <v>177</v>
      </c>
      <c r="F569" s="38" t="s">
        <v>137</v>
      </c>
      <c r="G569" s="38" t="s">
        <v>130</v>
      </c>
      <c r="H569" s="44">
        <f>SUM(I569:AF569)</f>
        <v>0</v>
      </c>
      <c r="I569" s="44"/>
      <c r="J569" s="44"/>
      <c r="K569" s="44"/>
      <c r="L569" s="44"/>
      <c r="M569" s="44"/>
      <c r="N569" s="44"/>
      <c r="O569" s="44"/>
      <c r="P569" s="44"/>
      <c r="Q569" s="44"/>
      <c r="R569" s="44"/>
      <c r="S569" s="44"/>
      <c r="T569" s="44"/>
      <c r="U569" s="44"/>
      <c r="V569" s="44"/>
      <c r="W569" s="44"/>
      <c r="X569" s="44"/>
      <c r="Y569" s="44"/>
      <c r="Z569" s="44"/>
      <c r="AA569" s="44"/>
      <c r="AB569" s="44"/>
      <c r="AC569" s="44"/>
      <c r="AD569" s="44"/>
      <c r="AE569" s="44"/>
      <c r="AF569" s="44"/>
    </row>
    <row r="570" spans="1:32" x14ac:dyDescent="0.3">
      <c r="A570" s="38" t="s">
        <v>234</v>
      </c>
      <c r="B570" s="38" t="s">
        <v>174</v>
      </c>
      <c r="C570" s="38" t="s">
        <v>182</v>
      </c>
      <c r="D570" s="39" t="s">
        <v>198</v>
      </c>
      <c r="E570" s="39" t="s">
        <v>177</v>
      </c>
      <c r="F570" s="38" t="s">
        <v>138</v>
      </c>
      <c r="G570" s="38" t="s">
        <v>130</v>
      </c>
      <c r="H570" s="44">
        <f>SUM(I570:AF570)</f>
        <v>0</v>
      </c>
      <c r="I570" s="44"/>
      <c r="J570" s="44"/>
      <c r="K570" s="44"/>
      <c r="L570" s="44"/>
      <c r="M570" s="44"/>
      <c r="N570" s="44"/>
      <c r="O570" s="44"/>
      <c r="P570" s="44"/>
      <c r="Q570" s="44"/>
      <c r="R570" s="44"/>
      <c r="S570" s="44"/>
      <c r="T570" s="44"/>
      <c r="U570" s="44"/>
      <c r="V570" s="44"/>
      <c r="W570" s="44"/>
      <c r="X570" s="44"/>
      <c r="Y570" s="44"/>
      <c r="Z570" s="44"/>
      <c r="AA570" s="44"/>
      <c r="AB570" s="44"/>
      <c r="AC570" s="44"/>
      <c r="AD570" s="44"/>
      <c r="AE570" s="44"/>
      <c r="AF570" s="44"/>
    </row>
    <row r="571" spans="1:32" x14ac:dyDescent="0.3">
      <c r="A571" s="38" t="s">
        <v>234</v>
      </c>
      <c r="B571" s="38" t="s">
        <v>174</v>
      </c>
      <c r="C571" s="38" t="s">
        <v>182</v>
      </c>
      <c r="D571" s="39" t="s">
        <v>198</v>
      </c>
      <c r="E571" s="39" t="s">
        <v>177</v>
      </c>
      <c r="F571" s="38" t="s">
        <v>139</v>
      </c>
      <c r="G571" s="38" t="s">
        <v>130</v>
      </c>
      <c r="H571" s="44">
        <v>75000</v>
      </c>
      <c r="I571" s="44"/>
      <c r="J571" s="44"/>
      <c r="K571" s="44"/>
      <c r="L571" s="44"/>
      <c r="M571" s="44">
        <v>5000</v>
      </c>
      <c r="N571" s="44">
        <v>20000</v>
      </c>
      <c r="O571" s="44"/>
      <c r="P571" s="44"/>
      <c r="Q571" s="44"/>
      <c r="R571" s="44"/>
      <c r="S571" s="44"/>
      <c r="T571" s="44"/>
      <c r="U571" s="44">
        <v>20000</v>
      </c>
      <c r="V571" s="44">
        <v>30000</v>
      </c>
      <c r="W571" s="44"/>
      <c r="X571" s="44"/>
      <c r="Y571" s="44"/>
      <c r="Z571" s="44"/>
      <c r="AA571" s="44"/>
      <c r="AB571" s="44"/>
      <c r="AC571" s="44"/>
      <c r="AD571" s="44"/>
      <c r="AE571" s="44"/>
      <c r="AF571" s="44"/>
    </row>
    <row r="572" spans="1:32" x14ac:dyDescent="0.3">
      <c r="A572" s="38" t="s">
        <v>234</v>
      </c>
      <c r="B572" s="38" t="s">
        <v>174</v>
      </c>
      <c r="C572" s="38" t="s">
        <v>182</v>
      </c>
      <c r="D572" s="39" t="s">
        <v>198</v>
      </c>
      <c r="E572" s="39" t="s">
        <v>177</v>
      </c>
      <c r="F572" s="38" t="s">
        <v>140</v>
      </c>
      <c r="G572" s="38" t="s">
        <v>130</v>
      </c>
      <c r="H572" s="44"/>
      <c r="I572" s="44">
        <f>I567-(I562+I561)+(I566+I565+I564+I563)</f>
        <v>361749</v>
      </c>
      <c r="J572" s="44">
        <f t="shared" ref="J572:AF572" si="130">I572+J567-J562</f>
        <v>360804</v>
      </c>
      <c r="K572" s="44">
        <f t="shared" si="130"/>
        <v>359978</v>
      </c>
      <c r="L572" s="44">
        <f t="shared" si="130"/>
        <v>359252</v>
      </c>
      <c r="M572" s="44">
        <f t="shared" si="130"/>
        <v>363556</v>
      </c>
      <c r="N572" s="44">
        <f t="shared" si="130"/>
        <v>382884</v>
      </c>
      <c r="O572" s="44">
        <f t="shared" si="130"/>
        <v>382213</v>
      </c>
      <c r="P572" s="44">
        <f t="shared" si="130"/>
        <v>381542</v>
      </c>
      <c r="Q572" s="44">
        <f t="shared" si="130"/>
        <v>380905</v>
      </c>
      <c r="R572" s="44">
        <f t="shared" si="130"/>
        <v>380295</v>
      </c>
      <c r="S572" s="44">
        <f t="shared" si="130"/>
        <v>379685</v>
      </c>
      <c r="T572" s="44">
        <f t="shared" si="130"/>
        <v>379076</v>
      </c>
      <c r="U572" s="44">
        <f t="shared" si="130"/>
        <v>398453</v>
      </c>
      <c r="V572" s="44">
        <f t="shared" si="130"/>
        <v>427752</v>
      </c>
      <c r="W572" s="44">
        <f t="shared" si="130"/>
        <v>427052</v>
      </c>
      <c r="X572" s="44">
        <f t="shared" si="130"/>
        <v>426352</v>
      </c>
      <c r="Y572" s="44">
        <f t="shared" si="130"/>
        <v>425632</v>
      </c>
      <c r="Z572" s="44">
        <f t="shared" si="130"/>
        <v>424484</v>
      </c>
      <c r="AA572" s="44">
        <f t="shared" si="130"/>
        <v>423164</v>
      </c>
      <c r="AB572" s="44">
        <f t="shared" si="130"/>
        <v>421844</v>
      </c>
      <c r="AC572" s="44">
        <f t="shared" si="130"/>
        <v>420524</v>
      </c>
      <c r="AD572" s="44">
        <f t="shared" si="130"/>
        <v>418974</v>
      </c>
      <c r="AE572" s="44">
        <f t="shared" si="130"/>
        <v>417334</v>
      </c>
      <c r="AF572" s="44">
        <f t="shared" si="130"/>
        <v>415696</v>
      </c>
    </row>
    <row r="573" spans="1:32" ht="15" thickBot="1" x14ac:dyDescent="0.35">
      <c r="A573" s="40" t="s">
        <v>234</v>
      </c>
      <c r="B573" s="40" t="s">
        <v>174</v>
      </c>
      <c r="C573" s="40" t="s">
        <v>182</v>
      </c>
      <c r="D573" s="41" t="s">
        <v>198</v>
      </c>
      <c r="E573" s="41" t="s">
        <v>177</v>
      </c>
      <c r="F573" s="40" t="s">
        <v>141</v>
      </c>
      <c r="G573" s="40" t="s">
        <v>130</v>
      </c>
      <c r="H573" s="45"/>
      <c r="I573" s="45">
        <f>I567-I571</f>
        <v>0</v>
      </c>
      <c r="J573" s="45">
        <f t="shared" ref="J573:AF573" si="131">I573+J567-J571</f>
        <v>0</v>
      </c>
      <c r="K573" s="45">
        <f t="shared" si="131"/>
        <v>0</v>
      </c>
      <c r="L573" s="45">
        <f t="shared" si="131"/>
        <v>0</v>
      </c>
      <c r="M573" s="45">
        <f t="shared" si="131"/>
        <v>0</v>
      </c>
      <c r="N573" s="45">
        <f t="shared" si="131"/>
        <v>0</v>
      </c>
      <c r="O573" s="45">
        <f t="shared" si="131"/>
        <v>0</v>
      </c>
      <c r="P573" s="45">
        <f t="shared" si="131"/>
        <v>0</v>
      </c>
      <c r="Q573" s="45">
        <f t="shared" si="131"/>
        <v>0</v>
      </c>
      <c r="R573" s="45">
        <f t="shared" si="131"/>
        <v>0</v>
      </c>
      <c r="S573" s="45">
        <f t="shared" si="131"/>
        <v>0</v>
      </c>
      <c r="T573" s="45">
        <f t="shared" si="131"/>
        <v>0</v>
      </c>
      <c r="U573" s="45">
        <f t="shared" si="131"/>
        <v>0</v>
      </c>
      <c r="V573" s="45">
        <f t="shared" si="131"/>
        <v>0</v>
      </c>
      <c r="W573" s="45">
        <f t="shared" si="131"/>
        <v>0</v>
      </c>
      <c r="X573" s="45">
        <f t="shared" si="131"/>
        <v>0</v>
      </c>
      <c r="Y573" s="45">
        <f t="shared" si="131"/>
        <v>0</v>
      </c>
      <c r="Z573" s="45">
        <f t="shared" si="131"/>
        <v>0</v>
      </c>
      <c r="AA573" s="45">
        <f t="shared" si="131"/>
        <v>0</v>
      </c>
      <c r="AB573" s="45">
        <f t="shared" si="131"/>
        <v>0</v>
      </c>
      <c r="AC573" s="45">
        <f t="shared" si="131"/>
        <v>0</v>
      </c>
      <c r="AD573" s="45">
        <f t="shared" si="131"/>
        <v>0</v>
      </c>
      <c r="AE573" s="45">
        <f t="shared" si="131"/>
        <v>0</v>
      </c>
      <c r="AF573" s="45">
        <f t="shared" si="131"/>
        <v>0</v>
      </c>
    </row>
    <row r="574" spans="1:32" x14ac:dyDescent="0.3">
      <c r="A574" s="38" t="s">
        <v>235</v>
      </c>
      <c r="B574" s="38" t="s">
        <v>174</v>
      </c>
      <c r="C574" s="38" t="s">
        <v>182</v>
      </c>
      <c r="D574" s="39" t="s">
        <v>183</v>
      </c>
      <c r="E574" s="39" t="s">
        <v>177</v>
      </c>
      <c r="F574" s="38" t="s">
        <v>129</v>
      </c>
      <c r="G574" s="38" t="s">
        <v>130</v>
      </c>
      <c r="H574" s="44">
        <v>2091</v>
      </c>
      <c r="I574" s="44">
        <v>2091</v>
      </c>
      <c r="J574" s="44"/>
      <c r="K574" s="44"/>
      <c r="L574" s="44"/>
      <c r="M574" s="44"/>
      <c r="N574" s="44"/>
      <c r="O574" s="44"/>
      <c r="P574" s="44"/>
      <c r="Q574" s="44"/>
      <c r="R574" s="44"/>
      <c r="S574" s="44"/>
      <c r="T574" s="44"/>
      <c r="U574" s="44"/>
      <c r="V574" s="44"/>
      <c r="W574" s="44"/>
      <c r="X574" s="44"/>
      <c r="Y574" s="44"/>
      <c r="Z574" s="44"/>
      <c r="AA574" s="44"/>
      <c r="AB574" s="44"/>
      <c r="AC574" s="44"/>
      <c r="AD574" s="44"/>
      <c r="AE574" s="44"/>
      <c r="AF574" s="44"/>
    </row>
    <row r="575" spans="1:32" x14ac:dyDescent="0.3">
      <c r="A575" s="38" t="s">
        <v>235</v>
      </c>
      <c r="B575" s="38" t="s">
        <v>174</v>
      </c>
      <c r="C575" s="38" t="s">
        <v>182</v>
      </c>
      <c r="D575" s="39" t="s">
        <v>183</v>
      </c>
      <c r="E575" s="39" t="s">
        <v>177</v>
      </c>
      <c r="F575" s="38" t="s">
        <v>131</v>
      </c>
      <c r="G575" s="38" t="s">
        <v>130</v>
      </c>
      <c r="H575" s="44">
        <v>59498</v>
      </c>
      <c r="I575" s="44">
        <v>3248</v>
      </c>
      <c r="J575" s="44">
        <v>3093</v>
      </c>
      <c r="K575" s="44">
        <v>2769</v>
      </c>
      <c r="L575" s="44">
        <v>2373</v>
      </c>
      <c r="M575" s="44">
        <v>3173</v>
      </c>
      <c r="N575" s="44">
        <v>3164</v>
      </c>
      <c r="O575" s="44">
        <v>3159</v>
      </c>
      <c r="P575" s="44">
        <v>3155</v>
      </c>
      <c r="Q575" s="44">
        <v>3019</v>
      </c>
      <c r="R575" s="44">
        <v>2892</v>
      </c>
      <c r="S575" s="44">
        <v>2891</v>
      </c>
      <c r="T575" s="44">
        <v>2888</v>
      </c>
      <c r="U575" s="44">
        <v>2684</v>
      </c>
      <c r="V575" s="44">
        <v>1451</v>
      </c>
      <c r="W575" s="44">
        <v>1449</v>
      </c>
      <c r="X575" s="44">
        <v>1447</v>
      </c>
      <c r="Y575" s="44">
        <v>1446</v>
      </c>
      <c r="Z575" s="44">
        <v>1787</v>
      </c>
      <c r="AA575" s="44">
        <v>1933</v>
      </c>
      <c r="AB575" s="44">
        <v>1930</v>
      </c>
      <c r="AC575" s="44">
        <v>1930</v>
      </c>
      <c r="AD575" s="44">
        <v>1911</v>
      </c>
      <c r="AE575" s="44">
        <v>2851</v>
      </c>
      <c r="AF575" s="44">
        <v>2855</v>
      </c>
    </row>
    <row r="576" spans="1:32" x14ac:dyDescent="0.3">
      <c r="A576" s="38" t="s">
        <v>235</v>
      </c>
      <c r="B576" s="38" t="s">
        <v>174</v>
      </c>
      <c r="C576" s="38" t="s">
        <v>182</v>
      </c>
      <c r="D576" s="39" t="s">
        <v>183</v>
      </c>
      <c r="E576" s="39" t="s">
        <v>177</v>
      </c>
      <c r="F576" s="38" t="s">
        <v>132</v>
      </c>
      <c r="G576" s="38" t="s">
        <v>130</v>
      </c>
      <c r="H576" s="44">
        <v>179968</v>
      </c>
      <c r="I576" s="44">
        <v>179968</v>
      </c>
      <c r="J576" s="44"/>
      <c r="K576" s="44"/>
      <c r="L576" s="44"/>
      <c r="M576" s="44"/>
      <c r="N576" s="44"/>
      <c r="O576" s="44"/>
      <c r="P576" s="44"/>
      <c r="Q576" s="44"/>
      <c r="R576" s="44"/>
      <c r="S576" s="44"/>
      <c r="T576" s="44"/>
      <c r="U576" s="44"/>
      <c r="V576" s="44"/>
      <c r="W576" s="44"/>
      <c r="X576" s="44"/>
      <c r="Y576" s="44"/>
      <c r="Z576" s="44"/>
      <c r="AA576" s="44"/>
      <c r="AB576" s="44"/>
      <c r="AC576" s="44"/>
      <c r="AD576" s="44"/>
      <c r="AE576" s="44"/>
      <c r="AF576" s="44"/>
    </row>
    <row r="577" spans="1:32" x14ac:dyDescent="0.3">
      <c r="A577" s="38" t="s">
        <v>235</v>
      </c>
      <c r="B577" s="38" t="s">
        <v>174</v>
      </c>
      <c r="C577" s="38" t="s">
        <v>182</v>
      </c>
      <c r="D577" s="39" t="s">
        <v>183</v>
      </c>
      <c r="E577" s="39" t="s">
        <v>177</v>
      </c>
      <c r="F577" s="38" t="s">
        <v>133</v>
      </c>
      <c r="G577" s="38" t="s">
        <v>130</v>
      </c>
      <c r="H577" s="44">
        <v>0</v>
      </c>
      <c r="I577" s="44">
        <v>0</v>
      </c>
      <c r="J577" s="44"/>
      <c r="K577" s="44"/>
      <c r="L577" s="44"/>
      <c r="M577" s="44"/>
      <c r="N577" s="44"/>
      <c r="O577" s="44"/>
      <c r="P577" s="44"/>
      <c r="Q577" s="44"/>
      <c r="R577" s="44"/>
      <c r="S577" s="44"/>
      <c r="T577" s="44"/>
      <c r="U577" s="44"/>
      <c r="V577" s="44"/>
      <c r="W577" s="44"/>
      <c r="X577" s="44"/>
      <c r="Y577" s="44"/>
      <c r="Z577" s="44"/>
      <c r="AA577" s="44"/>
      <c r="AB577" s="44"/>
      <c r="AC577" s="44"/>
      <c r="AD577" s="44"/>
      <c r="AE577" s="44"/>
      <c r="AF577" s="44"/>
    </row>
    <row r="578" spans="1:32" x14ac:dyDescent="0.3">
      <c r="A578" s="38" t="s">
        <v>235</v>
      </c>
      <c r="B578" s="38" t="s">
        <v>174</v>
      </c>
      <c r="C578" s="38" t="s">
        <v>182</v>
      </c>
      <c r="D578" s="39" t="s">
        <v>183</v>
      </c>
      <c r="E578" s="39" t="s">
        <v>177</v>
      </c>
      <c r="F578" s="38" t="s">
        <v>134</v>
      </c>
      <c r="G578" s="38" t="s">
        <v>130</v>
      </c>
      <c r="H578" s="44">
        <v>12433</v>
      </c>
      <c r="I578" s="44">
        <v>12433</v>
      </c>
      <c r="J578" s="44"/>
      <c r="K578" s="44"/>
      <c r="L578" s="44"/>
      <c r="M578" s="44"/>
      <c r="N578" s="44"/>
      <c r="O578" s="44"/>
      <c r="P578" s="44"/>
      <c r="Q578" s="44"/>
      <c r="R578" s="44"/>
      <c r="S578" s="44"/>
      <c r="T578" s="44"/>
      <c r="U578" s="44"/>
      <c r="V578" s="44"/>
      <c r="W578" s="44"/>
      <c r="X578" s="44"/>
      <c r="Y578" s="44"/>
      <c r="Z578" s="44"/>
      <c r="AA578" s="44"/>
      <c r="AB578" s="44"/>
      <c r="AC578" s="44"/>
      <c r="AD578" s="44"/>
      <c r="AE578" s="44"/>
      <c r="AF578" s="44"/>
    </row>
    <row r="579" spans="1:32" x14ac:dyDescent="0.3">
      <c r="A579" s="38" t="s">
        <v>235</v>
      </c>
      <c r="B579" s="38" t="s">
        <v>174</v>
      </c>
      <c r="C579" s="38" t="s">
        <v>182</v>
      </c>
      <c r="D579" s="39" t="s">
        <v>183</v>
      </c>
      <c r="E579" s="39" t="s">
        <v>177</v>
      </c>
      <c r="F579" s="38" t="s">
        <v>135</v>
      </c>
      <c r="G579" s="38" t="s">
        <v>130</v>
      </c>
      <c r="H579" s="44">
        <v>50688</v>
      </c>
      <c r="I579" s="44">
        <v>50688</v>
      </c>
      <c r="J579" s="44"/>
      <c r="K579" s="44"/>
      <c r="L579" s="44"/>
      <c r="M579" s="44"/>
      <c r="N579" s="44"/>
      <c r="O579" s="44"/>
      <c r="P579" s="44"/>
      <c r="Q579" s="44"/>
      <c r="R579" s="44"/>
      <c r="S579" s="44"/>
      <c r="T579" s="44"/>
      <c r="U579" s="44"/>
      <c r="V579" s="44"/>
      <c r="W579" s="44"/>
      <c r="X579" s="44"/>
      <c r="Y579" s="44"/>
      <c r="Z579" s="44"/>
      <c r="AA579" s="44"/>
      <c r="AB579" s="44"/>
      <c r="AC579" s="44"/>
      <c r="AD579" s="44"/>
      <c r="AE579" s="44"/>
      <c r="AF579" s="44"/>
    </row>
    <row r="580" spans="1:32" x14ac:dyDescent="0.3">
      <c r="A580" s="38" t="s">
        <v>235</v>
      </c>
      <c r="B580" s="38" t="s">
        <v>174</v>
      </c>
      <c r="C580" s="38" t="s">
        <v>182</v>
      </c>
      <c r="D580" s="39" t="s">
        <v>183</v>
      </c>
      <c r="E580" s="39" t="s">
        <v>177</v>
      </c>
      <c r="F580" s="38" t="s">
        <v>136</v>
      </c>
      <c r="G580" s="38" t="s">
        <v>130</v>
      </c>
      <c r="H580" s="44">
        <f>SUM(I580:AF580)</f>
        <v>340992</v>
      </c>
      <c r="I580" s="44">
        <f t="shared" ref="I580:AF580" si="132">IF(AND(ISBLANK(I583) = TRUE,ISBLANK(I582) = TRUE),I581,I582+I583)</f>
        <v>0</v>
      </c>
      <c r="J580" s="44">
        <f t="shared" si="132"/>
        <v>36864</v>
      </c>
      <c r="K580" s="44">
        <f t="shared" si="132"/>
        <v>50688</v>
      </c>
      <c r="L580" s="44">
        <f t="shared" si="132"/>
        <v>50688</v>
      </c>
      <c r="M580" s="44">
        <f t="shared" si="132"/>
        <v>50688</v>
      </c>
      <c r="N580" s="44">
        <f t="shared" si="132"/>
        <v>0</v>
      </c>
      <c r="O580" s="44">
        <f t="shared" si="132"/>
        <v>50688</v>
      </c>
      <c r="P580" s="44">
        <f t="shared" si="132"/>
        <v>50688</v>
      </c>
      <c r="Q580" s="44">
        <f t="shared" si="132"/>
        <v>50688</v>
      </c>
      <c r="R580" s="44">
        <f t="shared" si="132"/>
        <v>0</v>
      </c>
      <c r="S580" s="44">
        <f t="shared" si="132"/>
        <v>0</v>
      </c>
      <c r="T580" s="44">
        <f t="shared" si="132"/>
        <v>0</v>
      </c>
      <c r="U580" s="44">
        <f t="shared" si="132"/>
        <v>0</v>
      </c>
      <c r="V580" s="44">
        <f t="shared" si="132"/>
        <v>0</v>
      </c>
      <c r="W580" s="44">
        <f t="shared" si="132"/>
        <v>0</v>
      </c>
      <c r="X580" s="44">
        <f t="shared" si="132"/>
        <v>0</v>
      </c>
      <c r="Y580" s="44">
        <f t="shared" si="132"/>
        <v>0</v>
      </c>
      <c r="Z580" s="44">
        <f t="shared" si="132"/>
        <v>0</v>
      </c>
      <c r="AA580" s="44">
        <f t="shared" si="132"/>
        <v>0</v>
      </c>
      <c r="AB580" s="44">
        <f t="shared" si="132"/>
        <v>0</v>
      </c>
      <c r="AC580" s="44">
        <f t="shared" si="132"/>
        <v>0</v>
      </c>
      <c r="AD580" s="44">
        <f t="shared" si="132"/>
        <v>0</v>
      </c>
      <c r="AE580" s="44">
        <f t="shared" si="132"/>
        <v>0</v>
      </c>
      <c r="AF580" s="44">
        <f t="shared" si="132"/>
        <v>0</v>
      </c>
    </row>
    <row r="581" spans="1:32" x14ac:dyDescent="0.3">
      <c r="A581" s="38" t="s">
        <v>235</v>
      </c>
      <c r="B581" s="38" t="s">
        <v>174</v>
      </c>
      <c r="C581" s="38" t="s">
        <v>182</v>
      </c>
      <c r="D581" s="39" t="s">
        <v>183</v>
      </c>
      <c r="E581" s="39" t="s">
        <v>177</v>
      </c>
      <c r="F581" s="38" t="s">
        <v>124</v>
      </c>
      <c r="G581" s="38" t="s">
        <v>130</v>
      </c>
      <c r="H581" s="44">
        <v>340992</v>
      </c>
      <c r="I581" s="44"/>
      <c r="J581" s="44">
        <v>36864</v>
      </c>
      <c r="K581" s="44">
        <v>50688</v>
      </c>
      <c r="L581" s="44">
        <v>50688</v>
      </c>
      <c r="M581" s="44">
        <v>50688</v>
      </c>
      <c r="N581" s="44"/>
      <c r="O581" s="44">
        <v>50688</v>
      </c>
      <c r="P581" s="44">
        <v>50688</v>
      </c>
      <c r="Q581" s="44">
        <v>50688</v>
      </c>
      <c r="R581" s="44"/>
      <c r="S581" s="44"/>
      <c r="T581" s="44"/>
      <c r="U581" s="44"/>
      <c r="V581" s="44"/>
      <c r="W581" s="44"/>
      <c r="X581" s="44"/>
      <c r="Y581" s="44"/>
      <c r="Z581" s="44"/>
      <c r="AA581" s="44"/>
      <c r="AB581" s="44"/>
      <c r="AC581" s="44"/>
      <c r="AD581" s="44"/>
      <c r="AE581" s="44"/>
      <c r="AF581" s="44"/>
    </row>
    <row r="582" spans="1:32" x14ac:dyDescent="0.3">
      <c r="A582" s="38" t="s">
        <v>235</v>
      </c>
      <c r="B582" s="38" t="s">
        <v>174</v>
      </c>
      <c r="C582" s="38" t="s">
        <v>182</v>
      </c>
      <c r="D582" s="39" t="s">
        <v>183</v>
      </c>
      <c r="E582" s="39" t="s">
        <v>177</v>
      </c>
      <c r="F582" s="38" t="s">
        <v>137</v>
      </c>
      <c r="G582" s="38" t="s">
        <v>130</v>
      </c>
      <c r="H582" s="44">
        <f>SUM(I582:AF582)</f>
        <v>0</v>
      </c>
      <c r="I582" s="44"/>
      <c r="J582" s="44"/>
      <c r="K582" s="44"/>
      <c r="L582" s="44"/>
      <c r="M582" s="44"/>
      <c r="N582" s="44"/>
      <c r="O582" s="44"/>
      <c r="P582" s="44"/>
      <c r="Q582" s="44"/>
      <c r="R582" s="44"/>
      <c r="S582" s="44"/>
      <c r="T582" s="44"/>
      <c r="U582" s="44"/>
      <c r="V582" s="44"/>
      <c r="W582" s="44"/>
      <c r="X582" s="44"/>
      <c r="Y582" s="44"/>
      <c r="Z582" s="44"/>
      <c r="AA582" s="44"/>
      <c r="AB582" s="44"/>
      <c r="AC582" s="44"/>
      <c r="AD582" s="44"/>
      <c r="AE582" s="44"/>
      <c r="AF582" s="44"/>
    </row>
    <row r="583" spans="1:32" x14ac:dyDescent="0.3">
      <c r="A583" s="38" t="s">
        <v>235</v>
      </c>
      <c r="B583" s="38" t="s">
        <v>174</v>
      </c>
      <c r="C583" s="38" t="s">
        <v>182</v>
      </c>
      <c r="D583" s="39" t="s">
        <v>183</v>
      </c>
      <c r="E583" s="39" t="s">
        <v>177</v>
      </c>
      <c r="F583" s="38" t="s">
        <v>138</v>
      </c>
      <c r="G583" s="38" t="s">
        <v>130</v>
      </c>
      <c r="H583" s="44">
        <f>SUM(I583:AF583)</f>
        <v>0</v>
      </c>
      <c r="I583" s="44"/>
      <c r="J583" s="44"/>
      <c r="K583" s="44"/>
      <c r="L583" s="44"/>
      <c r="M583" s="44"/>
      <c r="N583" s="44"/>
      <c r="O583" s="44"/>
      <c r="P583" s="44"/>
      <c r="Q583" s="44"/>
      <c r="R583" s="44"/>
      <c r="S583" s="44"/>
      <c r="T583" s="44"/>
      <c r="U583" s="44"/>
      <c r="V583" s="44"/>
      <c r="W583" s="44"/>
      <c r="X583" s="44"/>
      <c r="Y583" s="44"/>
      <c r="Z583" s="44"/>
      <c r="AA583" s="44"/>
      <c r="AB583" s="44"/>
      <c r="AC583" s="44"/>
      <c r="AD583" s="44"/>
      <c r="AE583" s="44"/>
      <c r="AF583" s="44"/>
    </row>
    <row r="584" spans="1:32" x14ac:dyDescent="0.3">
      <c r="A584" s="38" t="s">
        <v>235</v>
      </c>
      <c r="B584" s="38" t="s">
        <v>174</v>
      </c>
      <c r="C584" s="38" t="s">
        <v>182</v>
      </c>
      <c r="D584" s="39" t="s">
        <v>183</v>
      </c>
      <c r="E584" s="39" t="s">
        <v>177</v>
      </c>
      <c r="F584" s="38" t="s">
        <v>139</v>
      </c>
      <c r="G584" s="38" t="s">
        <v>130</v>
      </c>
      <c r="H584" s="44">
        <v>340992</v>
      </c>
      <c r="I584" s="44"/>
      <c r="J584" s="44">
        <v>36864</v>
      </c>
      <c r="K584" s="44">
        <v>50688</v>
      </c>
      <c r="L584" s="44">
        <v>50688</v>
      </c>
      <c r="M584" s="44">
        <v>50688</v>
      </c>
      <c r="N584" s="44"/>
      <c r="O584" s="44">
        <v>50688</v>
      </c>
      <c r="P584" s="44">
        <v>50688</v>
      </c>
      <c r="Q584" s="44">
        <v>50688</v>
      </c>
      <c r="R584" s="44"/>
      <c r="S584" s="44"/>
      <c r="T584" s="44"/>
      <c r="U584" s="44"/>
      <c r="V584" s="44"/>
      <c r="W584" s="44"/>
      <c r="X584" s="44"/>
      <c r="Y584" s="44"/>
      <c r="Z584" s="44"/>
      <c r="AA584" s="44"/>
      <c r="AB584" s="44"/>
      <c r="AC584" s="44"/>
      <c r="AD584" s="44"/>
      <c r="AE584" s="44"/>
      <c r="AF584" s="44"/>
    </row>
    <row r="585" spans="1:32" x14ac:dyDescent="0.3">
      <c r="A585" s="38" t="s">
        <v>235</v>
      </c>
      <c r="B585" s="38" t="s">
        <v>174</v>
      </c>
      <c r="C585" s="38" t="s">
        <v>182</v>
      </c>
      <c r="D585" s="39" t="s">
        <v>183</v>
      </c>
      <c r="E585" s="39" t="s">
        <v>177</v>
      </c>
      <c r="F585" s="38" t="s">
        <v>140</v>
      </c>
      <c r="G585" s="38" t="s">
        <v>130</v>
      </c>
      <c r="H585" s="44"/>
      <c r="I585" s="44">
        <f>I580-(I575+I574)+(I579+I578+I577+I576)</f>
        <v>237750</v>
      </c>
      <c r="J585" s="44">
        <f t="shared" ref="J585:AF585" si="133">I585+J580-J575</f>
        <v>271521</v>
      </c>
      <c r="K585" s="44">
        <f t="shared" si="133"/>
        <v>319440</v>
      </c>
      <c r="L585" s="44">
        <f t="shared" si="133"/>
        <v>367755</v>
      </c>
      <c r="M585" s="44">
        <f t="shared" si="133"/>
        <v>415270</v>
      </c>
      <c r="N585" s="44">
        <f t="shared" si="133"/>
        <v>412106</v>
      </c>
      <c r="O585" s="44">
        <f t="shared" si="133"/>
        <v>459635</v>
      </c>
      <c r="P585" s="44">
        <f t="shared" si="133"/>
        <v>507168</v>
      </c>
      <c r="Q585" s="44">
        <f t="shared" si="133"/>
        <v>554837</v>
      </c>
      <c r="R585" s="44">
        <f t="shared" si="133"/>
        <v>551945</v>
      </c>
      <c r="S585" s="44">
        <f t="shared" si="133"/>
        <v>549054</v>
      </c>
      <c r="T585" s="44">
        <f t="shared" si="133"/>
        <v>546166</v>
      </c>
      <c r="U585" s="44">
        <f t="shared" si="133"/>
        <v>543482</v>
      </c>
      <c r="V585" s="44">
        <f t="shared" si="133"/>
        <v>542031</v>
      </c>
      <c r="W585" s="44">
        <f t="shared" si="133"/>
        <v>540582</v>
      </c>
      <c r="X585" s="44">
        <f t="shared" si="133"/>
        <v>539135</v>
      </c>
      <c r="Y585" s="44">
        <f t="shared" si="133"/>
        <v>537689</v>
      </c>
      <c r="Z585" s="44">
        <f t="shared" si="133"/>
        <v>535902</v>
      </c>
      <c r="AA585" s="44">
        <f t="shared" si="133"/>
        <v>533969</v>
      </c>
      <c r="AB585" s="44">
        <f t="shared" si="133"/>
        <v>532039</v>
      </c>
      <c r="AC585" s="44">
        <f t="shared" si="133"/>
        <v>530109</v>
      </c>
      <c r="AD585" s="44">
        <f t="shared" si="133"/>
        <v>528198</v>
      </c>
      <c r="AE585" s="44">
        <f t="shared" si="133"/>
        <v>525347</v>
      </c>
      <c r="AF585" s="44">
        <f t="shared" si="133"/>
        <v>522492</v>
      </c>
    </row>
    <row r="586" spans="1:32" ht="15" thickBot="1" x14ac:dyDescent="0.35">
      <c r="A586" s="40" t="s">
        <v>235</v>
      </c>
      <c r="B586" s="40" t="s">
        <v>174</v>
      </c>
      <c r="C586" s="40" t="s">
        <v>182</v>
      </c>
      <c r="D586" s="41" t="s">
        <v>183</v>
      </c>
      <c r="E586" s="41" t="s">
        <v>177</v>
      </c>
      <c r="F586" s="40" t="s">
        <v>141</v>
      </c>
      <c r="G586" s="40" t="s">
        <v>130</v>
      </c>
      <c r="H586" s="45"/>
      <c r="I586" s="45">
        <f>I580-I584</f>
        <v>0</v>
      </c>
      <c r="J586" s="45">
        <f t="shared" ref="J586:AF586" si="134">I586+J580-J584</f>
        <v>0</v>
      </c>
      <c r="K586" s="45">
        <f t="shared" si="134"/>
        <v>0</v>
      </c>
      <c r="L586" s="45">
        <f t="shared" si="134"/>
        <v>0</v>
      </c>
      <c r="M586" s="45">
        <f t="shared" si="134"/>
        <v>0</v>
      </c>
      <c r="N586" s="45">
        <f t="shared" si="134"/>
        <v>0</v>
      </c>
      <c r="O586" s="45">
        <f t="shared" si="134"/>
        <v>0</v>
      </c>
      <c r="P586" s="45">
        <f t="shared" si="134"/>
        <v>0</v>
      </c>
      <c r="Q586" s="45">
        <f t="shared" si="134"/>
        <v>0</v>
      </c>
      <c r="R586" s="45">
        <f t="shared" si="134"/>
        <v>0</v>
      </c>
      <c r="S586" s="45">
        <f t="shared" si="134"/>
        <v>0</v>
      </c>
      <c r="T586" s="45">
        <f t="shared" si="134"/>
        <v>0</v>
      </c>
      <c r="U586" s="45">
        <f t="shared" si="134"/>
        <v>0</v>
      </c>
      <c r="V586" s="45">
        <f t="shared" si="134"/>
        <v>0</v>
      </c>
      <c r="W586" s="45">
        <f t="shared" si="134"/>
        <v>0</v>
      </c>
      <c r="X586" s="45">
        <f t="shared" si="134"/>
        <v>0</v>
      </c>
      <c r="Y586" s="45">
        <f t="shared" si="134"/>
        <v>0</v>
      </c>
      <c r="Z586" s="45">
        <f t="shared" si="134"/>
        <v>0</v>
      </c>
      <c r="AA586" s="45">
        <f t="shared" si="134"/>
        <v>0</v>
      </c>
      <c r="AB586" s="45">
        <f t="shared" si="134"/>
        <v>0</v>
      </c>
      <c r="AC586" s="45">
        <f t="shared" si="134"/>
        <v>0</v>
      </c>
      <c r="AD586" s="45">
        <f t="shared" si="134"/>
        <v>0</v>
      </c>
      <c r="AE586" s="45">
        <f t="shared" si="134"/>
        <v>0</v>
      </c>
      <c r="AF586" s="45">
        <f t="shared" si="134"/>
        <v>0</v>
      </c>
    </row>
    <row r="587" spans="1:32" x14ac:dyDescent="0.3">
      <c r="A587" s="38" t="s">
        <v>236</v>
      </c>
      <c r="B587" s="38" t="s">
        <v>174</v>
      </c>
      <c r="C587" s="38" t="s">
        <v>182</v>
      </c>
      <c r="D587" s="39" t="s">
        <v>180</v>
      </c>
      <c r="E587" s="39" t="s">
        <v>177</v>
      </c>
      <c r="F587" s="38" t="s">
        <v>129</v>
      </c>
      <c r="G587" s="38" t="s">
        <v>130</v>
      </c>
      <c r="H587" s="44">
        <v>652</v>
      </c>
      <c r="I587" s="44">
        <v>652</v>
      </c>
      <c r="J587" s="44"/>
      <c r="K587" s="44"/>
      <c r="L587" s="44"/>
      <c r="M587" s="44"/>
      <c r="N587" s="44"/>
      <c r="O587" s="44"/>
      <c r="P587" s="44"/>
      <c r="Q587" s="44"/>
      <c r="R587" s="44"/>
      <c r="S587" s="44"/>
      <c r="T587" s="44"/>
      <c r="U587" s="44"/>
      <c r="V587" s="44"/>
      <c r="W587" s="44"/>
      <c r="X587" s="44"/>
      <c r="Y587" s="44"/>
      <c r="Z587" s="44"/>
      <c r="AA587" s="44"/>
      <c r="AB587" s="44"/>
      <c r="AC587" s="44"/>
      <c r="AD587" s="44"/>
      <c r="AE587" s="44"/>
      <c r="AF587" s="44"/>
    </row>
    <row r="588" spans="1:32" x14ac:dyDescent="0.3">
      <c r="A588" s="38" t="s">
        <v>236</v>
      </c>
      <c r="B588" s="38" t="s">
        <v>174</v>
      </c>
      <c r="C588" s="38" t="s">
        <v>182</v>
      </c>
      <c r="D588" s="39" t="s">
        <v>180</v>
      </c>
      <c r="E588" s="39" t="s">
        <v>177</v>
      </c>
      <c r="F588" s="38" t="s">
        <v>131</v>
      </c>
      <c r="G588" s="38" t="s">
        <v>130</v>
      </c>
      <c r="H588" s="44">
        <v>23575</v>
      </c>
      <c r="I588" s="44">
        <v>50</v>
      </c>
      <c r="J588" s="44">
        <v>1029</v>
      </c>
      <c r="K588" s="44">
        <v>600</v>
      </c>
      <c r="L588" s="44">
        <v>5190</v>
      </c>
      <c r="M588" s="44">
        <v>5160</v>
      </c>
      <c r="N588" s="44">
        <v>2585</v>
      </c>
      <c r="O588" s="44">
        <v>1100</v>
      </c>
      <c r="P588" s="44">
        <v>2810</v>
      </c>
      <c r="Q588" s="44">
        <v>1120</v>
      </c>
      <c r="R588" s="44">
        <v>2624</v>
      </c>
      <c r="S588" s="44">
        <v>1054</v>
      </c>
      <c r="T588" s="44">
        <v>19</v>
      </c>
      <c r="U588" s="44">
        <v>169</v>
      </c>
      <c r="V588" s="44">
        <v>13</v>
      </c>
      <c r="W588" s="44">
        <v>13</v>
      </c>
      <c r="X588" s="44">
        <v>13</v>
      </c>
      <c r="Y588" s="44">
        <v>13</v>
      </c>
      <c r="Z588" s="44">
        <v>13</v>
      </c>
      <c r="AA588" s="44">
        <v>0</v>
      </c>
      <c r="AB588" s="44">
        <v>0</v>
      </c>
      <c r="AC588" s="44">
        <v>0</v>
      </c>
      <c r="AD588" s="44">
        <v>0</v>
      </c>
      <c r="AE588" s="44">
        <v>0</v>
      </c>
      <c r="AF588" s="44">
        <v>0</v>
      </c>
    </row>
    <row r="589" spans="1:32" x14ac:dyDescent="0.3">
      <c r="A589" s="38" t="s">
        <v>236</v>
      </c>
      <c r="B589" s="38" t="s">
        <v>174</v>
      </c>
      <c r="C589" s="38" t="s">
        <v>182</v>
      </c>
      <c r="D589" s="39" t="s">
        <v>180</v>
      </c>
      <c r="E589" s="39" t="s">
        <v>177</v>
      </c>
      <c r="F589" s="38" t="s">
        <v>132</v>
      </c>
      <c r="G589" s="38" t="s">
        <v>130</v>
      </c>
      <c r="H589" s="44">
        <v>87804</v>
      </c>
      <c r="I589" s="44">
        <v>87804</v>
      </c>
      <c r="J589" s="44"/>
      <c r="K589" s="44"/>
      <c r="L589" s="44"/>
      <c r="M589" s="44"/>
      <c r="N589" s="44"/>
      <c r="O589" s="44"/>
      <c r="P589" s="44"/>
      <c r="Q589" s="44"/>
      <c r="R589" s="44"/>
      <c r="S589" s="44"/>
      <c r="T589" s="44"/>
      <c r="U589" s="44"/>
      <c r="V589" s="44"/>
      <c r="W589" s="44"/>
      <c r="X589" s="44"/>
      <c r="Y589" s="44"/>
      <c r="Z589" s="44"/>
      <c r="AA589" s="44"/>
      <c r="AB589" s="44"/>
      <c r="AC589" s="44"/>
      <c r="AD589" s="44"/>
      <c r="AE589" s="44"/>
      <c r="AF589" s="44"/>
    </row>
    <row r="590" spans="1:32" x14ac:dyDescent="0.3">
      <c r="A590" s="38" t="s">
        <v>236</v>
      </c>
      <c r="B590" s="38" t="s">
        <v>174</v>
      </c>
      <c r="C590" s="38" t="s">
        <v>182</v>
      </c>
      <c r="D590" s="39" t="s">
        <v>180</v>
      </c>
      <c r="E590" s="39" t="s">
        <v>177</v>
      </c>
      <c r="F590" s="38" t="s">
        <v>133</v>
      </c>
      <c r="G590" s="38" t="s">
        <v>130</v>
      </c>
      <c r="H590" s="44">
        <v>0</v>
      </c>
      <c r="I590" s="44">
        <v>0</v>
      </c>
      <c r="J590" s="44"/>
      <c r="K590" s="44"/>
      <c r="L590" s="44"/>
      <c r="M590" s="44"/>
      <c r="N590" s="44"/>
      <c r="O590" s="44"/>
      <c r="P590" s="44"/>
      <c r="Q590" s="44"/>
      <c r="R590" s="44"/>
      <c r="S590" s="44"/>
      <c r="T590" s="44"/>
      <c r="U590" s="44"/>
      <c r="V590" s="44"/>
      <c r="W590" s="44"/>
      <c r="X590" s="44"/>
      <c r="Y590" s="44"/>
      <c r="Z590" s="44"/>
      <c r="AA590" s="44"/>
      <c r="AB590" s="44"/>
      <c r="AC590" s="44"/>
      <c r="AD590" s="44"/>
      <c r="AE590" s="44"/>
      <c r="AF590" s="44"/>
    </row>
    <row r="591" spans="1:32" x14ac:dyDescent="0.3">
      <c r="A591" s="38" t="s">
        <v>236</v>
      </c>
      <c r="B591" s="38" t="s">
        <v>174</v>
      </c>
      <c r="C591" s="38" t="s">
        <v>182</v>
      </c>
      <c r="D591" s="39" t="s">
        <v>180</v>
      </c>
      <c r="E591" s="39" t="s">
        <v>177</v>
      </c>
      <c r="F591" s="38" t="s">
        <v>134</v>
      </c>
      <c r="G591" s="38" t="s">
        <v>130</v>
      </c>
      <c r="H591" s="44">
        <v>421</v>
      </c>
      <c r="I591" s="44">
        <v>421</v>
      </c>
      <c r="J591" s="44"/>
      <c r="K591" s="44"/>
      <c r="L591" s="44"/>
      <c r="M591" s="44"/>
      <c r="N591" s="44"/>
      <c r="O591" s="44"/>
      <c r="P591" s="44"/>
      <c r="Q591" s="44"/>
      <c r="R591" s="44"/>
      <c r="S591" s="44"/>
      <c r="T591" s="44"/>
      <c r="U591" s="44"/>
      <c r="V591" s="44"/>
      <c r="W591" s="44"/>
      <c r="X591" s="44"/>
      <c r="Y591" s="44"/>
      <c r="Z591" s="44"/>
      <c r="AA591" s="44"/>
      <c r="AB591" s="44"/>
      <c r="AC591" s="44"/>
      <c r="AD591" s="44"/>
      <c r="AE591" s="44"/>
      <c r="AF591" s="44"/>
    </row>
    <row r="592" spans="1:32" x14ac:dyDescent="0.3">
      <c r="A592" s="38" t="s">
        <v>236</v>
      </c>
      <c r="B592" s="38" t="s">
        <v>174</v>
      </c>
      <c r="C592" s="38" t="s">
        <v>182</v>
      </c>
      <c r="D592" s="39" t="s">
        <v>180</v>
      </c>
      <c r="E592" s="39" t="s">
        <v>177</v>
      </c>
      <c r="F592" s="38" t="s">
        <v>135</v>
      </c>
      <c r="G592" s="38" t="s">
        <v>130</v>
      </c>
      <c r="H592" s="44">
        <v>16200</v>
      </c>
      <c r="I592" s="44">
        <v>16200</v>
      </c>
      <c r="J592" s="44"/>
      <c r="K592" s="44"/>
      <c r="L592" s="44"/>
      <c r="M592" s="44"/>
      <c r="N592" s="44"/>
      <c r="O592" s="44"/>
      <c r="P592" s="44"/>
      <c r="Q592" s="44"/>
      <c r="R592" s="44"/>
      <c r="S592" s="44"/>
      <c r="T592" s="44"/>
      <c r="U592" s="44"/>
      <c r="V592" s="44"/>
      <c r="W592" s="44"/>
      <c r="X592" s="44"/>
      <c r="Y592" s="44"/>
      <c r="Z592" s="44"/>
      <c r="AA592" s="44"/>
      <c r="AB592" s="44"/>
      <c r="AC592" s="44"/>
      <c r="AD592" s="44"/>
      <c r="AE592" s="44"/>
      <c r="AF592" s="44"/>
    </row>
    <row r="593" spans="1:32" x14ac:dyDescent="0.3">
      <c r="A593" s="38" t="s">
        <v>236</v>
      </c>
      <c r="B593" s="38" t="s">
        <v>174</v>
      </c>
      <c r="C593" s="38" t="s">
        <v>182</v>
      </c>
      <c r="D593" s="39" t="s">
        <v>180</v>
      </c>
      <c r="E593" s="39" t="s">
        <v>177</v>
      </c>
      <c r="F593" s="38" t="s">
        <v>136</v>
      </c>
      <c r="G593" s="38" t="s">
        <v>130</v>
      </c>
      <c r="H593" s="44">
        <f>SUM(I593:AF593)</f>
        <v>121500</v>
      </c>
      <c r="I593" s="44">
        <f t="shared" ref="I593:AF593" si="135">IF(AND(ISBLANK(I596) = TRUE,ISBLANK(I595) = TRUE),I594,I595+I596)</f>
        <v>0</v>
      </c>
      <c r="J593" s="44">
        <f t="shared" si="135"/>
        <v>0</v>
      </c>
      <c r="K593" s="44">
        <f t="shared" si="135"/>
        <v>8100</v>
      </c>
      <c r="L593" s="44">
        <f t="shared" si="135"/>
        <v>8100</v>
      </c>
      <c r="M593" s="44">
        <f t="shared" si="135"/>
        <v>8100</v>
      </c>
      <c r="N593" s="44">
        <f t="shared" si="135"/>
        <v>8100</v>
      </c>
      <c r="O593" s="44">
        <f t="shared" si="135"/>
        <v>8100</v>
      </c>
      <c r="P593" s="44">
        <f t="shared" si="135"/>
        <v>8100</v>
      </c>
      <c r="Q593" s="44">
        <f t="shared" si="135"/>
        <v>8100</v>
      </c>
      <c r="R593" s="44">
        <f t="shared" si="135"/>
        <v>8100</v>
      </c>
      <c r="S593" s="44">
        <f t="shared" si="135"/>
        <v>8100</v>
      </c>
      <c r="T593" s="44">
        <f t="shared" si="135"/>
        <v>16200</v>
      </c>
      <c r="U593" s="44">
        <f t="shared" si="135"/>
        <v>16200</v>
      </c>
      <c r="V593" s="44">
        <f t="shared" si="135"/>
        <v>8100</v>
      </c>
      <c r="W593" s="44">
        <f t="shared" si="135"/>
        <v>8100</v>
      </c>
      <c r="X593" s="44">
        <f t="shared" si="135"/>
        <v>0</v>
      </c>
      <c r="Y593" s="44">
        <f t="shared" si="135"/>
        <v>0</v>
      </c>
      <c r="Z593" s="44">
        <f t="shared" si="135"/>
        <v>0</v>
      </c>
      <c r="AA593" s="44">
        <f t="shared" si="135"/>
        <v>0</v>
      </c>
      <c r="AB593" s="44">
        <f t="shared" si="135"/>
        <v>0</v>
      </c>
      <c r="AC593" s="44">
        <f t="shared" si="135"/>
        <v>0</v>
      </c>
      <c r="AD593" s="44">
        <f t="shared" si="135"/>
        <v>0</v>
      </c>
      <c r="AE593" s="44">
        <f t="shared" si="135"/>
        <v>0</v>
      </c>
      <c r="AF593" s="44">
        <f t="shared" si="135"/>
        <v>0</v>
      </c>
    </row>
    <row r="594" spans="1:32" x14ac:dyDescent="0.3">
      <c r="A594" s="38" t="s">
        <v>236</v>
      </c>
      <c r="B594" s="38" t="s">
        <v>174</v>
      </c>
      <c r="C594" s="38" t="s">
        <v>182</v>
      </c>
      <c r="D594" s="39" t="s">
        <v>180</v>
      </c>
      <c r="E594" s="39" t="s">
        <v>177</v>
      </c>
      <c r="F594" s="38" t="s">
        <v>124</v>
      </c>
      <c r="G594" s="38" t="s">
        <v>130</v>
      </c>
      <c r="H594" s="44">
        <v>121500</v>
      </c>
      <c r="I594" s="44"/>
      <c r="J594" s="44"/>
      <c r="K594" s="44">
        <v>8100</v>
      </c>
      <c r="L594" s="44">
        <v>8100</v>
      </c>
      <c r="M594" s="44">
        <v>8100</v>
      </c>
      <c r="N594" s="44">
        <v>8100</v>
      </c>
      <c r="O594" s="44">
        <v>8100</v>
      </c>
      <c r="P594" s="44">
        <v>8100</v>
      </c>
      <c r="Q594" s="44">
        <v>8100</v>
      </c>
      <c r="R594" s="44">
        <v>8100</v>
      </c>
      <c r="S594" s="44">
        <v>8100</v>
      </c>
      <c r="T594" s="44">
        <v>16200</v>
      </c>
      <c r="U594" s="44">
        <v>16200</v>
      </c>
      <c r="V594" s="44">
        <v>8100</v>
      </c>
      <c r="W594" s="44">
        <v>8100</v>
      </c>
      <c r="X594" s="44"/>
      <c r="Y594" s="44"/>
      <c r="Z594" s="44"/>
      <c r="AA594" s="44"/>
      <c r="AB594" s="44"/>
      <c r="AC594" s="44"/>
      <c r="AD594" s="44"/>
      <c r="AE594" s="44"/>
      <c r="AF594" s="44"/>
    </row>
    <row r="595" spans="1:32" x14ac:dyDescent="0.3">
      <c r="A595" s="38" t="s">
        <v>236</v>
      </c>
      <c r="B595" s="38" t="s">
        <v>174</v>
      </c>
      <c r="C595" s="38" t="s">
        <v>182</v>
      </c>
      <c r="D595" s="39" t="s">
        <v>180</v>
      </c>
      <c r="E595" s="39" t="s">
        <v>177</v>
      </c>
      <c r="F595" s="38" t="s">
        <v>137</v>
      </c>
      <c r="G595" s="38" t="s">
        <v>130</v>
      </c>
      <c r="H595" s="44">
        <f>SUM(I595:AF595)</f>
        <v>0</v>
      </c>
      <c r="I595" s="44"/>
      <c r="J595" s="44"/>
      <c r="K595" s="44"/>
      <c r="L595" s="44"/>
      <c r="M595" s="44"/>
      <c r="N595" s="44"/>
      <c r="O595" s="44"/>
      <c r="P595" s="44"/>
      <c r="Q595" s="44"/>
      <c r="R595" s="44"/>
      <c r="S595" s="44"/>
      <c r="T595" s="44"/>
      <c r="U595" s="44"/>
      <c r="V595" s="44"/>
      <c r="W595" s="44"/>
      <c r="X595" s="44"/>
      <c r="Y595" s="44"/>
      <c r="Z595" s="44"/>
      <c r="AA595" s="44"/>
      <c r="AB595" s="44"/>
      <c r="AC595" s="44"/>
      <c r="AD595" s="44"/>
      <c r="AE595" s="44"/>
      <c r="AF595" s="44"/>
    </row>
    <row r="596" spans="1:32" x14ac:dyDescent="0.3">
      <c r="A596" s="38" t="s">
        <v>236</v>
      </c>
      <c r="B596" s="38" t="s">
        <v>174</v>
      </c>
      <c r="C596" s="38" t="s">
        <v>182</v>
      </c>
      <c r="D596" s="39" t="s">
        <v>180</v>
      </c>
      <c r="E596" s="39" t="s">
        <v>177</v>
      </c>
      <c r="F596" s="38" t="s">
        <v>138</v>
      </c>
      <c r="G596" s="38" t="s">
        <v>130</v>
      </c>
      <c r="H596" s="44">
        <f>SUM(I596:AF596)</f>
        <v>0</v>
      </c>
      <c r="I596" s="44"/>
      <c r="J596" s="44"/>
      <c r="K596" s="44"/>
      <c r="L596" s="44"/>
      <c r="M596" s="44"/>
      <c r="N596" s="44"/>
      <c r="O596" s="44"/>
      <c r="P596" s="44"/>
      <c r="Q596" s="44"/>
      <c r="R596" s="44"/>
      <c r="S596" s="44"/>
      <c r="T596" s="44"/>
      <c r="U596" s="44"/>
      <c r="V596" s="44"/>
      <c r="W596" s="44"/>
      <c r="X596" s="44"/>
      <c r="Y596" s="44"/>
      <c r="Z596" s="44"/>
      <c r="AA596" s="44"/>
      <c r="AB596" s="44"/>
      <c r="AC596" s="44"/>
      <c r="AD596" s="44"/>
      <c r="AE596" s="44"/>
      <c r="AF596" s="44"/>
    </row>
    <row r="597" spans="1:32" x14ac:dyDescent="0.3">
      <c r="A597" s="38" t="s">
        <v>236</v>
      </c>
      <c r="B597" s="38" t="s">
        <v>174</v>
      </c>
      <c r="C597" s="38" t="s">
        <v>182</v>
      </c>
      <c r="D597" s="39" t="s">
        <v>180</v>
      </c>
      <c r="E597" s="39" t="s">
        <v>177</v>
      </c>
      <c r="F597" s="38" t="s">
        <v>139</v>
      </c>
      <c r="G597" s="38" t="s">
        <v>130</v>
      </c>
      <c r="H597" s="44">
        <v>121500</v>
      </c>
      <c r="I597" s="44"/>
      <c r="J597" s="44"/>
      <c r="K597" s="44">
        <v>8100</v>
      </c>
      <c r="L597" s="44">
        <v>8100</v>
      </c>
      <c r="M597" s="44">
        <v>8100</v>
      </c>
      <c r="N597" s="44">
        <v>8100</v>
      </c>
      <c r="O597" s="44">
        <v>8100</v>
      </c>
      <c r="P597" s="44">
        <v>8100</v>
      </c>
      <c r="Q597" s="44">
        <v>8100</v>
      </c>
      <c r="R597" s="44">
        <v>8100</v>
      </c>
      <c r="S597" s="44">
        <v>8100</v>
      </c>
      <c r="T597" s="44">
        <v>16200</v>
      </c>
      <c r="U597" s="44">
        <v>16200</v>
      </c>
      <c r="V597" s="44">
        <v>8100</v>
      </c>
      <c r="W597" s="44">
        <v>8100</v>
      </c>
      <c r="X597" s="44"/>
      <c r="Y597" s="44"/>
      <c r="Z597" s="44"/>
      <c r="AA597" s="44"/>
      <c r="AB597" s="44"/>
      <c r="AC597" s="44"/>
      <c r="AD597" s="44"/>
      <c r="AE597" s="44"/>
      <c r="AF597" s="44"/>
    </row>
    <row r="598" spans="1:32" x14ac:dyDescent="0.3">
      <c r="A598" s="38" t="s">
        <v>236</v>
      </c>
      <c r="B598" s="38" t="s">
        <v>174</v>
      </c>
      <c r="C598" s="38" t="s">
        <v>182</v>
      </c>
      <c r="D598" s="39" t="s">
        <v>180</v>
      </c>
      <c r="E598" s="39" t="s">
        <v>177</v>
      </c>
      <c r="F598" s="38" t="s">
        <v>140</v>
      </c>
      <c r="G598" s="38" t="s">
        <v>130</v>
      </c>
      <c r="H598" s="44"/>
      <c r="I598" s="44">
        <f>I593-(I588+I587)+(I592+I591+I590+I589)</f>
        <v>103723</v>
      </c>
      <c r="J598" s="44">
        <f t="shared" ref="J598:AF598" si="136">I598+J593-J588</f>
        <v>102694</v>
      </c>
      <c r="K598" s="44">
        <f t="shared" si="136"/>
        <v>110194</v>
      </c>
      <c r="L598" s="44">
        <f t="shared" si="136"/>
        <v>113104</v>
      </c>
      <c r="M598" s="44">
        <f t="shared" si="136"/>
        <v>116044</v>
      </c>
      <c r="N598" s="44">
        <f t="shared" si="136"/>
        <v>121559</v>
      </c>
      <c r="O598" s="44">
        <f t="shared" si="136"/>
        <v>128559</v>
      </c>
      <c r="P598" s="44">
        <f t="shared" si="136"/>
        <v>133849</v>
      </c>
      <c r="Q598" s="44">
        <f t="shared" si="136"/>
        <v>140829</v>
      </c>
      <c r="R598" s="44">
        <f t="shared" si="136"/>
        <v>146305</v>
      </c>
      <c r="S598" s="44">
        <f t="shared" si="136"/>
        <v>153351</v>
      </c>
      <c r="T598" s="44">
        <f t="shared" si="136"/>
        <v>169532</v>
      </c>
      <c r="U598" s="44">
        <f t="shared" si="136"/>
        <v>185563</v>
      </c>
      <c r="V598" s="44">
        <f t="shared" si="136"/>
        <v>193650</v>
      </c>
      <c r="W598" s="44">
        <f t="shared" si="136"/>
        <v>201737</v>
      </c>
      <c r="X598" s="44">
        <f t="shared" si="136"/>
        <v>201724</v>
      </c>
      <c r="Y598" s="44">
        <f t="shared" si="136"/>
        <v>201711</v>
      </c>
      <c r="Z598" s="44">
        <f t="shared" si="136"/>
        <v>201698</v>
      </c>
      <c r="AA598" s="44">
        <f t="shared" si="136"/>
        <v>201698</v>
      </c>
      <c r="AB598" s="44">
        <f t="shared" si="136"/>
        <v>201698</v>
      </c>
      <c r="AC598" s="44">
        <f t="shared" si="136"/>
        <v>201698</v>
      </c>
      <c r="AD598" s="44">
        <f t="shared" si="136"/>
        <v>201698</v>
      </c>
      <c r="AE598" s="44">
        <f t="shared" si="136"/>
        <v>201698</v>
      </c>
      <c r="AF598" s="44">
        <f t="shared" si="136"/>
        <v>201698</v>
      </c>
    </row>
    <row r="599" spans="1:32" ht="15" thickBot="1" x14ac:dyDescent="0.35">
      <c r="A599" s="40" t="s">
        <v>236</v>
      </c>
      <c r="B599" s="40" t="s">
        <v>174</v>
      </c>
      <c r="C599" s="40" t="s">
        <v>182</v>
      </c>
      <c r="D599" s="41" t="s">
        <v>180</v>
      </c>
      <c r="E599" s="41" t="s">
        <v>177</v>
      </c>
      <c r="F599" s="40" t="s">
        <v>141</v>
      </c>
      <c r="G599" s="40" t="s">
        <v>130</v>
      </c>
      <c r="H599" s="45"/>
      <c r="I599" s="45">
        <f>I593-I597</f>
        <v>0</v>
      </c>
      <c r="J599" s="45">
        <f t="shared" ref="J599:AF599" si="137">I599+J593-J597</f>
        <v>0</v>
      </c>
      <c r="K599" s="45">
        <f t="shared" si="137"/>
        <v>0</v>
      </c>
      <c r="L599" s="45">
        <f t="shared" si="137"/>
        <v>0</v>
      </c>
      <c r="M599" s="45">
        <f t="shared" si="137"/>
        <v>0</v>
      </c>
      <c r="N599" s="45">
        <f t="shared" si="137"/>
        <v>0</v>
      </c>
      <c r="O599" s="45">
        <f t="shared" si="137"/>
        <v>0</v>
      </c>
      <c r="P599" s="45">
        <f t="shared" si="137"/>
        <v>0</v>
      </c>
      <c r="Q599" s="45">
        <f t="shared" si="137"/>
        <v>0</v>
      </c>
      <c r="R599" s="45">
        <f t="shared" si="137"/>
        <v>0</v>
      </c>
      <c r="S599" s="45">
        <f t="shared" si="137"/>
        <v>0</v>
      </c>
      <c r="T599" s="45">
        <f t="shared" si="137"/>
        <v>0</v>
      </c>
      <c r="U599" s="45">
        <f t="shared" si="137"/>
        <v>0</v>
      </c>
      <c r="V599" s="45">
        <f t="shared" si="137"/>
        <v>0</v>
      </c>
      <c r="W599" s="45">
        <f t="shared" si="137"/>
        <v>0</v>
      </c>
      <c r="X599" s="45">
        <f t="shared" si="137"/>
        <v>0</v>
      </c>
      <c r="Y599" s="45">
        <f t="shared" si="137"/>
        <v>0</v>
      </c>
      <c r="Z599" s="45">
        <f t="shared" si="137"/>
        <v>0</v>
      </c>
      <c r="AA599" s="45">
        <f t="shared" si="137"/>
        <v>0</v>
      </c>
      <c r="AB599" s="45">
        <f t="shared" si="137"/>
        <v>0</v>
      </c>
      <c r="AC599" s="45">
        <f t="shared" si="137"/>
        <v>0</v>
      </c>
      <c r="AD599" s="45">
        <f t="shared" si="137"/>
        <v>0</v>
      </c>
      <c r="AE599" s="45">
        <f t="shared" si="137"/>
        <v>0</v>
      </c>
      <c r="AF599" s="45">
        <f t="shared" si="137"/>
        <v>0</v>
      </c>
    </row>
    <row r="600" spans="1:32" x14ac:dyDescent="0.3">
      <c r="A600" s="38" t="s">
        <v>237</v>
      </c>
      <c r="B600" s="38" t="s">
        <v>174</v>
      </c>
      <c r="C600" s="38" t="s">
        <v>182</v>
      </c>
      <c r="D600" s="39" t="s">
        <v>176</v>
      </c>
      <c r="E600" s="39" t="s">
        <v>195</v>
      </c>
      <c r="F600" s="38" t="s">
        <v>129</v>
      </c>
      <c r="G600" s="38" t="s">
        <v>130</v>
      </c>
      <c r="H600" s="44">
        <v>544</v>
      </c>
      <c r="I600" s="44">
        <v>544</v>
      </c>
      <c r="J600" s="44"/>
      <c r="K600" s="44"/>
      <c r="L600" s="44"/>
      <c r="M600" s="44"/>
      <c r="N600" s="44"/>
      <c r="O600" s="44"/>
      <c r="P600" s="44"/>
      <c r="Q600" s="44"/>
      <c r="R600" s="44"/>
      <c r="S600" s="44"/>
      <c r="T600" s="44"/>
      <c r="U600" s="44"/>
      <c r="V600" s="44"/>
      <c r="W600" s="44"/>
      <c r="X600" s="44"/>
      <c r="Y600" s="44"/>
      <c r="Z600" s="44"/>
      <c r="AA600" s="44"/>
      <c r="AB600" s="44"/>
      <c r="AC600" s="44"/>
      <c r="AD600" s="44"/>
      <c r="AE600" s="44"/>
      <c r="AF600" s="44"/>
    </row>
    <row r="601" spans="1:32" x14ac:dyDescent="0.3">
      <c r="A601" s="38" t="s">
        <v>237</v>
      </c>
      <c r="B601" s="38" t="s">
        <v>174</v>
      </c>
      <c r="C601" s="38" t="s">
        <v>182</v>
      </c>
      <c r="D601" s="39" t="s">
        <v>176</v>
      </c>
      <c r="E601" s="39" t="s">
        <v>195</v>
      </c>
      <c r="F601" s="38" t="s">
        <v>131</v>
      </c>
      <c r="G601" s="38" t="s">
        <v>130</v>
      </c>
      <c r="H601" s="44">
        <v>28749</v>
      </c>
      <c r="I601" s="44">
        <v>60</v>
      </c>
      <c r="J601" s="44">
        <v>2105</v>
      </c>
      <c r="K601" s="44">
        <v>2202</v>
      </c>
      <c r="L601" s="44">
        <v>7851</v>
      </c>
      <c r="M601" s="44">
        <v>4382</v>
      </c>
      <c r="N601" s="44">
        <v>4631</v>
      </c>
      <c r="O601" s="44">
        <v>3831</v>
      </c>
      <c r="P601" s="44">
        <v>709</v>
      </c>
      <c r="Q601" s="44">
        <v>571</v>
      </c>
      <c r="R601" s="44">
        <v>604</v>
      </c>
      <c r="S601" s="44">
        <v>462</v>
      </c>
      <c r="T601" s="44">
        <v>163</v>
      </c>
      <c r="U601" s="44">
        <v>263</v>
      </c>
      <c r="V601" s="44">
        <v>114</v>
      </c>
      <c r="W601" s="44">
        <v>113</v>
      </c>
      <c r="X601" s="44">
        <v>112</v>
      </c>
      <c r="Y601" s="44">
        <v>118</v>
      </c>
      <c r="Z601" s="44">
        <v>122</v>
      </c>
      <c r="AA601" s="44">
        <v>126</v>
      </c>
      <c r="AB601" s="44">
        <v>125</v>
      </c>
      <c r="AC601" s="44">
        <v>71</v>
      </c>
      <c r="AD601" s="44">
        <v>14</v>
      </c>
      <c r="AE601" s="44">
        <v>0</v>
      </c>
      <c r="AF601" s="44">
        <v>0</v>
      </c>
    </row>
    <row r="602" spans="1:32" x14ac:dyDescent="0.3">
      <c r="A602" s="38" t="s">
        <v>237</v>
      </c>
      <c r="B602" s="38" t="s">
        <v>174</v>
      </c>
      <c r="C602" s="38" t="s">
        <v>182</v>
      </c>
      <c r="D602" s="39" t="s">
        <v>176</v>
      </c>
      <c r="E602" s="39" t="s">
        <v>195</v>
      </c>
      <c r="F602" s="38" t="s">
        <v>132</v>
      </c>
      <c r="G602" s="38" t="s">
        <v>130</v>
      </c>
      <c r="H602" s="44">
        <v>0</v>
      </c>
      <c r="I602" s="44">
        <v>0</v>
      </c>
      <c r="J602" s="44"/>
      <c r="K602" s="44"/>
      <c r="L602" s="44"/>
      <c r="M602" s="44"/>
      <c r="N602" s="44"/>
      <c r="O602" s="44"/>
      <c r="P602" s="44"/>
      <c r="Q602" s="44"/>
      <c r="R602" s="44"/>
      <c r="S602" s="44"/>
      <c r="T602" s="44"/>
      <c r="U602" s="44"/>
      <c r="V602" s="44"/>
      <c r="W602" s="44"/>
      <c r="X602" s="44"/>
      <c r="Y602" s="44"/>
      <c r="Z602" s="44"/>
      <c r="AA602" s="44"/>
      <c r="AB602" s="44"/>
      <c r="AC602" s="44"/>
      <c r="AD602" s="44"/>
      <c r="AE602" s="44"/>
      <c r="AF602" s="44"/>
    </row>
    <row r="603" spans="1:32" x14ac:dyDescent="0.3">
      <c r="A603" s="38" t="s">
        <v>237</v>
      </c>
      <c r="B603" s="38" t="s">
        <v>174</v>
      </c>
      <c r="C603" s="38" t="s">
        <v>182</v>
      </c>
      <c r="D603" s="39" t="s">
        <v>176</v>
      </c>
      <c r="E603" s="39" t="s">
        <v>195</v>
      </c>
      <c r="F603" s="38" t="s">
        <v>133</v>
      </c>
      <c r="G603" s="38" t="s">
        <v>130</v>
      </c>
      <c r="H603" s="44">
        <v>0</v>
      </c>
      <c r="I603" s="44">
        <v>0</v>
      </c>
      <c r="J603" s="44"/>
      <c r="K603" s="44"/>
      <c r="L603" s="44"/>
      <c r="M603" s="44"/>
      <c r="N603" s="44"/>
      <c r="O603" s="44"/>
      <c r="P603" s="44"/>
      <c r="Q603" s="44"/>
      <c r="R603" s="44"/>
      <c r="S603" s="44"/>
      <c r="T603" s="44"/>
      <c r="U603" s="44"/>
      <c r="V603" s="44"/>
      <c r="W603" s="44"/>
      <c r="X603" s="44"/>
      <c r="Y603" s="44"/>
      <c r="Z603" s="44"/>
      <c r="AA603" s="44"/>
      <c r="AB603" s="44"/>
      <c r="AC603" s="44"/>
      <c r="AD603" s="44"/>
      <c r="AE603" s="44"/>
      <c r="AF603" s="44"/>
    </row>
    <row r="604" spans="1:32" x14ac:dyDescent="0.3">
      <c r="A604" s="38" t="s">
        <v>237</v>
      </c>
      <c r="B604" s="38" t="s">
        <v>174</v>
      </c>
      <c r="C604" s="38" t="s">
        <v>182</v>
      </c>
      <c r="D604" s="39" t="s">
        <v>176</v>
      </c>
      <c r="E604" s="39" t="s">
        <v>195</v>
      </c>
      <c r="F604" s="38" t="s">
        <v>134</v>
      </c>
      <c r="G604" s="38" t="s">
        <v>130</v>
      </c>
      <c r="H604" s="44">
        <v>10</v>
      </c>
      <c r="I604" s="44">
        <v>10</v>
      </c>
      <c r="J604" s="44"/>
      <c r="K604" s="44"/>
      <c r="L604" s="44"/>
      <c r="M604" s="44"/>
      <c r="N604" s="44"/>
      <c r="O604" s="44"/>
      <c r="P604" s="44"/>
      <c r="Q604" s="44"/>
      <c r="R604" s="44"/>
      <c r="S604" s="44"/>
      <c r="T604" s="44"/>
      <c r="U604" s="44"/>
      <c r="V604" s="44"/>
      <c r="W604" s="44"/>
      <c r="X604" s="44"/>
      <c r="Y604" s="44"/>
      <c r="Z604" s="44"/>
      <c r="AA604" s="44"/>
      <c r="AB604" s="44"/>
      <c r="AC604" s="44"/>
      <c r="AD604" s="44"/>
      <c r="AE604" s="44"/>
      <c r="AF604" s="44"/>
    </row>
    <row r="605" spans="1:32" x14ac:dyDescent="0.3">
      <c r="A605" s="38" t="s">
        <v>237</v>
      </c>
      <c r="B605" s="38" t="s">
        <v>174</v>
      </c>
      <c r="C605" s="38" t="s">
        <v>182</v>
      </c>
      <c r="D605" s="39" t="s">
        <v>176</v>
      </c>
      <c r="E605" s="39" t="s">
        <v>195</v>
      </c>
      <c r="F605" s="38" t="s">
        <v>135</v>
      </c>
      <c r="G605" s="38" t="s">
        <v>130</v>
      </c>
      <c r="H605" s="44"/>
      <c r="I605" s="44"/>
      <c r="J605" s="44"/>
      <c r="K605" s="44"/>
      <c r="L605" s="44"/>
      <c r="M605" s="44"/>
      <c r="N605" s="44"/>
      <c r="O605" s="44"/>
      <c r="P605" s="44"/>
      <c r="Q605" s="44"/>
      <c r="R605" s="44"/>
      <c r="S605" s="44"/>
      <c r="T605" s="44"/>
      <c r="U605" s="44"/>
      <c r="V605" s="44"/>
      <c r="W605" s="44"/>
      <c r="X605" s="44"/>
      <c r="Y605" s="44"/>
      <c r="Z605" s="44"/>
      <c r="AA605" s="44"/>
      <c r="AB605" s="44"/>
      <c r="AC605" s="44"/>
      <c r="AD605" s="44"/>
      <c r="AE605" s="44"/>
      <c r="AF605" s="44"/>
    </row>
    <row r="606" spans="1:32" x14ac:dyDescent="0.3">
      <c r="A606" s="38" t="s">
        <v>237</v>
      </c>
      <c r="B606" s="38" t="s">
        <v>174</v>
      </c>
      <c r="C606" s="38" t="s">
        <v>182</v>
      </c>
      <c r="D606" s="39" t="s">
        <v>176</v>
      </c>
      <c r="E606" s="39" t="s">
        <v>195</v>
      </c>
      <c r="F606" s="38" t="s">
        <v>136</v>
      </c>
      <c r="G606" s="38" t="s">
        <v>130</v>
      </c>
      <c r="H606" s="44">
        <f>SUM(I606:AF606)</f>
        <v>0</v>
      </c>
      <c r="I606" s="44">
        <f t="shared" ref="I606:AF606" si="138">IF(AND(ISBLANK(I609) = TRUE,ISBLANK(I608) = TRUE),I607,I608+I609)</f>
        <v>0</v>
      </c>
      <c r="J606" s="44">
        <f t="shared" si="138"/>
        <v>0</v>
      </c>
      <c r="K606" s="44">
        <f t="shared" si="138"/>
        <v>0</v>
      </c>
      <c r="L606" s="44">
        <f t="shared" si="138"/>
        <v>0</v>
      </c>
      <c r="M606" s="44">
        <f t="shared" si="138"/>
        <v>0</v>
      </c>
      <c r="N606" s="44">
        <f t="shared" si="138"/>
        <v>0</v>
      </c>
      <c r="O606" s="44">
        <f t="shared" si="138"/>
        <v>0</v>
      </c>
      <c r="P606" s="44">
        <f t="shared" si="138"/>
        <v>0</v>
      </c>
      <c r="Q606" s="44">
        <f t="shared" si="138"/>
        <v>0</v>
      </c>
      <c r="R606" s="44">
        <f t="shared" si="138"/>
        <v>0</v>
      </c>
      <c r="S606" s="44">
        <f t="shared" si="138"/>
        <v>0</v>
      </c>
      <c r="T606" s="44">
        <f t="shared" si="138"/>
        <v>0</v>
      </c>
      <c r="U606" s="44">
        <f t="shared" si="138"/>
        <v>0</v>
      </c>
      <c r="V606" s="44">
        <f t="shared" si="138"/>
        <v>0</v>
      </c>
      <c r="W606" s="44">
        <f t="shared" si="138"/>
        <v>0</v>
      </c>
      <c r="X606" s="44">
        <f t="shared" si="138"/>
        <v>0</v>
      </c>
      <c r="Y606" s="44">
        <f t="shared" si="138"/>
        <v>0</v>
      </c>
      <c r="Z606" s="44">
        <f t="shared" si="138"/>
        <v>0</v>
      </c>
      <c r="AA606" s="44">
        <f t="shared" si="138"/>
        <v>0</v>
      </c>
      <c r="AB606" s="44">
        <f t="shared" si="138"/>
        <v>0</v>
      </c>
      <c r="AC606" s="44">
        <f t="shared" si="138"/>
        <v>0</v>
      </c>
      <c r="AD606" s="44">
        <f t="shared" si="138"/>
        <v>0</v>
      </c>
      <c r="AE606" s="44">
        <f t="shared" si="138"/>
        <v>0</v>
      </c>
      <c r="AF606" s="44">
        <f t="shared" si="138"/>
        <v>0</v>
      </c>
    </row>
    <row r="607" spans="1:32" x14ac:dyDescent="0.3">
      <c r="A607" s="38" t="s">
        <v>237</v>
      </c>
      <c r="B607" s="38" t="s">
        <v>174</v>
      </c>
      <c r="C607" s="38" t="s">
        <v>182</v>
      </c>
      <c r="D607" s="39" t="s">
        <v>176</v>
      </c>
      <c r="E607" s="39" t="s">
        <v>195</v>
      </c>
      <c r="F607" s="38" t="s">
        <v>124</v>
      </c>
      <c r="G607" s="38" t="s">
        <v>130</v>
      </c>
      <c r="H607" s="44"/>
      <c r="I607" s="44"/>
      <c r="J607" s="44"/>
      <c r="K607" s="44"/>
      <c r="L607" s="44"/>
      <c r="M607" s="44"/>
      <c r="N607" s="44"/>
      <c r="O607" s="44"/>
      <c r="P607" s="44"/>
      <c r="Q607" s="44"/>
      <c r="R607" s="44"/>
      <c r="S607" s="44"/>
      <c r="T607" s="44"/>
      <c r="U607" s="44"/>
      <c r="V607" s="44"/>
      <c r="W607" s="44"/>
      <c r="X607" s="44"/>
      <c r="Y607" s="44"/>
      <c r="Z607" s="44"/>
      <c r="AA607" s="44"/>
      <c r="AB607" s="44"/>
      <c r="AC607" s="44"/>
      <c r="AD607" s="44"/>
      <c r="AE607" s="44"/>
      <c r="AF607" s="44"/>
    </row>
    <row r="608" spans="1:32" x14ac:dyDescent="0.3">
      <c r="A608" s="38" t="s">
        <v>237</v>
      </c>
      <c r="B608" s="38" t="s">
        <v>174</v>
      </c>
      <c r="C608" s="38" t="s">
        <v>182</v>
      </c>
      <c r="D608" s="39" t="s">
        <v>176</v>
      </c>
      <c r="E608" s="39" t="s">
        <v>195</v>
      </c>
      <c r="F608" s="38" t="s">
        <v>137</v>
      </c>
      <c r="G608" s="38" t="s">
        <v>130</v>
      </c>
      <c r="H608" s="44">
        <f>SUM(I608:AF608)</f>
        <v>0</v>
      </c>
      <c r="I608" s="44"/>
      <c r="J608" s="44"/>
      <c r="K608" s="44"/>
      <c r="L608" s="44"/>
      <c r="M608" s="44"/>
      <c r="N608" s="44"/>
      <c r="O608" s="44"/>
      <c r="P608" s="44"/>
      <c r="Q608" s="44"/>
      <c r="R608" s="44"/>
      <c r="S608" s="44"/>
      <c r="T608" s="44"/>
      <c r="U608" s="44"/>
      <c r="V608" s="44"/>
      <c r="W608" s="44"/>
      <c r="X608" s="44"/>
      <c r="Y608" s="44"/>
      <c r="Z608" s="44"/>
      <c r="AA608" s="44"/>
      <c r="AB608" s="44"/>
      <c r="AC608" s="44"/>
      <c r="AD608" s="44"/>
      <c r="AE608" s="44"/>
      <c r="AF608" s="44"/>
    </row>
    <row r="609" spans="1:32" x14ac:dyDescent="0.3">
      <c r="A609" s="38" t="s">
        <v>237</v>
      </c>
      <c r="B609" s="38" t="s">
        <v>174</v>
      </c>
      <c r="C609" s="38" t="s">
        <v>182</v>
      </c>
      <c r="D609" s="39" t="s">
        <v>176</v>
      </c>
      <c r="E609" s="39" t="s">
        <v>195</v>
      </c>
      <c r="F609" s="38" t="s">
        <v>138</v>
      </c>
      <c r="G609" s="38" t="s">
        <v>130</v>
      </c>
      <c r="H609" s="44">
        <f>SUM(I609:AF609)</f>
        <v>0</v>
      </c>
      <c r="I609" s="44"/>
      <c r="J609" s="44"/>
      <c r="K609" s="44"/>
      <c r="L609" s="44"/>
      <c r="M609" s="44"/>
      <c r="N609" s="44"/>
      <c r="O609" s="44"/>
      <c r="P609" s="44"/>
      <c r="Q609" s="44"/>
      <c r="R609" s="44"/>
      <c r="S609" s="44"/>
      <c r="T609" s="44"/>
      <c r="U609" s="44"/>
      <c r="V609" s="44"/>
      <c r="W609" s="44"/>
      <c r="X609" s="44"/>
      <c r="Y609" s="44"/>
      <c r="Z609" s="44"/>
      <c r="AA609" s="44"/>
      <c r="AB609" s="44"/>
      <c r="AC609" s="44"/>
      <c r="AD609" s="44"/>
      <c r="AE609" s="44"/>
      <c r="AF609" s="44"/>
    </row>
    <row r="610" spans="1:32" x14ac:dyDescent="0.3">
      <c r="A610" s="38" t="s">
        <v>237</v>
      </c>
      <c r="B610" s="38" t="s">
        <v>174</v>
      </c>
      <c r="C610" s="38" t="s">
        <v>182</v>
      </c>
      <c r="D610" s="39" t="s">
        <v>176</v>
      </c>
      <c r="E610" s="39" t="s">
        <v>195</v>
      </c>
      <c r="F610" s="38" t="s">
        <v>139</v>
      </c>
      <c r="G610" s="38" t="s">
        <v>130</v>
      </c>
      <c r="H610" s="44"/>
      <c r="I610" s="44"/>
      <c r="J610" s="44"/>
      <c r="K610" s="44"/>
      <c r="L610" s="44"/>
      <c r="M610" s="44"/>
      <c r="N610" s="44"/>
      <c r="O610" s="44"/>
      <c r="P610" s="44"/>
      <c r="Q610" s="44"/>
      <c r="R610" s="44"/>
      <c r="S610" s="44"/>
      <c r="T610" s="44"/>
      <c r="U610" s="44"/>
      <c r="V610" s="44"/>
      <c r="W610" s="44"/>
      <c r="X610" s="44"/>
      <c r="Y610" s="44"/>
      <c r="Z610" s="44"/>
      <c r="AA610" s="44"/>
      <c r="AB610" s="44"/>
      <c r="AC610" s="44"/>
      <c r="AD610" s="44"/>
      <c r="AE610" s="44"/>
      <c r="AF610" s="44"/>
    </row>
    <row r="611" spans="1:32" x14ac:dyDescent="0.3">
      <c r="A611" s="38" t="s">
        <v>237</v>
      </c>
      <c r="B611" s="38" t="s">
        <v>174</v>
      </c>
      <c r="C611" s="38" t="s">
        <v>182</v>
      </c>
      <c r="D611" s="39" t="s">
        <v>176</v>
      </c>
      <c r="E611" s="39" t="s">
        <v>195</v>
      </c>
      <c r="F611" s="38" t="s">
        <v>140</v>
      </c>
      <c r="G611" s="38" t="s">
        <v>130</v>
      </c>
      <c r="H611" s="44"/>
      <c r="I611" s="44">
        <f>I606-(I601+I600)+(I605+I604+I603+I602)</f>
        <v>-594</v>
      </c>
      <c r="J611" s="44">
        <f t="shared" ref="J611:AF611" si="139">I611+J606-J601</f>
        <v>-2699</v>
      </c>
      <c r="K611" s="44">
        <f t="shared" si="139"/>
        <v>-4901</v>
      </c>
      <c r="L611" s="44">
        <f t="shared" si="139"/>
        <v>-12752</v>
      </c>
      <c r="M611" s="44">
        <f t="shared" si="139"/>
        <v>-17134</v>
      </c>
      <c r="N611" s="44">
        <f t="shared" si="139"/>
        <v>-21765</v>
      </c>
      <c r="O611" s="44">
        <f t="shared" si="139"/>
        <v>-25596</v>
      </c>
      <c r="P611" s="44">
        <f t="shared" si="139"/>
        <v>-26305</v>
      </c>
      <c r="Q611" s="44">
        <f t="shared" si="139"/>
        <v>-26876</v>
      </c>
      <c r="R611" s="44">
        <f t="shared" si="139"/>
        <v>-27480</v>
      </c>
      <c r="S611" s="44">
        <f t="shared" si="139"/>
        <v>-27942</v>
      </c>
      <c r="T611" s="44">
        <f t="shared" si="139"/>
        <v>-28105</v>
      </c>
      <c r="U611" s="44">
        <f t="shared" si="139"/>
        <v>-28368</v>
      </c>
      <c r="V611" s="44">
        <f t="shared" si="139"/>
        <v>-28482</v>
      </c>
      <c r="W611" s="44">
        <f t="shared" si="139"/>
        <v>-28595</v>
      </c>
      <c r="X611" s="44">
        <f t="shared" si="139"/>
        <v>-28707</v>
      </c>
      <c r="Y611" s="44">
        <f t="shared" si="139"/>
        <v>-28825</v>
      </c>
      <c r="Z611" s="44">
        <f t="shared" si="139"/>
        <v>-28947</v>
      </c>
      <c r="AA611" s="44">
        <f t="shared" si="139"/>
        <v>-29073</v>
      </c>
      <c r="AB611" s="44">
        <f t="shared" si="139"/>
        <v>-29198</v>
      </c>
      <c r="AC611" s="44">
        <f t="shared" si="139"/>
        <v>-29269</v>
      </c>
      <c r="AD611" s="44">
        <f t="shared" si="139"/>
        <v>-29283</v>
      </c>
      <c r="AE611" s="44">
        <f t="shared" si="139"/>
        <v>-29283</v>
      </c>
      <c r="AF611" s="44">
        <f t="shared" si="139"/>
        <v>-29283</v>
      </c>
    </row>
    <row r="612" spans="1:32" ht="15" thickBot="1" x14ac:dyDescent="0.35">
      <c r="A612" s="40" t="s">
        <v>237</v>
      </c>
      <c r="B612" s="40" t="s">
        <v>174</v>
      </c>
      <c r="C612" s="40" t="s">
        <v>182</v>
      </c>
      <c r="D612" s="41" t="s">
        <v>176</v>
      </c>
      <c r="E612" s="41" t="s">
        <v>195</v>
      </c>
      <c r="F612" s="40" t="s">
        <v>141</v>
      </c>
      <c r="G612" s="40" t="s">
        <v>130</v>
      </c>
      <c r="H612" s="45"/>
      <c r="I612" s="45">
        <f>I606-I610</f>
        <v>0</v>
      </c>
      <c r="J612" s="45">
        <f t="shared" ref="J612:AF612" si="140">I612+J606-J610</f>
        <v>0</v>
      </c>
      <c r="K612" s="45">
        <f t="shared" si="140"/>
        <v>0</v>
      </c>
      <c r="L612" s="45">
        <f t="shared" si="140"/>
        <v>0</v>
      </c>
      <c r="M612" s="45">
        <f t="shared" si="140"/>
        <v>0</v>
      </c>
      <c r="N612" s="45">
        <f t="shared" si="140"/>
        <v>0</v>
      </c>
      <c r="O612" s="45">
        <f t="shared" si="140"/>
        <v>0</v>
      </c>
      <c r="P612" s="45">
        <f t="shared" si="140"/>
        <v>0</v>
      </c>
      <c r="Q612" s="45">
        <f t="shared" si="140"/>
        <v>0</v>
      </c>
      <c r="R612" s="45">
        <f t="shared" si="140"/>
        <v>0</v>
      </c>
      <c r="S612" s="45">
        <f t="shared" si="140"/>
        <v>0</v>
      </c>
      <c r="T612" s="45">
        <f t="shared" si="140"/>
        <v>0</v>
      </c>
      <c r="U612" s="45">
        <f t="shared" si="140"/>
        <v>0</v>
      </c>
      <c r="V612" s="45">
        <f t="shared" si="140"/>
        <v>0</v>
      </c>
      <c r="W612" s="45">
        <f t="shared" si="140"/>
        <v>0</v>
      </c>
      <c r="X612" s="45">
        <f t="shared" si="140"/>
        <v>0</v>
      </c>
      <c r="Y612" s="45">
        <f t="shared" si="140"/>
        <v>0</v>
      </c>
      <c r="Z612" s="45">
        <f t="shared" si="140"/>
        <v>0</v>
      </c>
      <c r="AA612" s="45">
        <f t="shared" si="140"/>
        <v>0</v>
      </c>
      <c r="AB612" s="45">
        <f t="shared" si="140"/>
        <v>0</v>
      </c>
      <c r="AC612" s="45">
        <f t="shared" si="140"/>
        <v>0</v>
      </c>
      <c r="AD612" s="45">
        <f t="shared" si="140"/>
        <v>0</v>
      </c>
      <c r="AE612" s="45">
        <f t="shared" si="140"/>
        <v>0</v>
      </c>
      <c r="AF612" s="45">
        <f t="shared" si="140"/>
        <v>0</v>
      </c>
    </row>
    <row r="613" spans="1:32" x14ac:dyDescent="0.3">
      <c r="A613" s="38" t="s">
        <v>237</v>
      </c>
      <c r="B613" s="38" t="s">
        <v>174</v>
      </c>
      <c r="C613" s="38" t="s">
        <v>182</v>
      </c>
      <c r="D613" s="39" t="s">
        <v>176</v>
      </c>
      <c r="E613" s="39" t="s">
        <v>177</v>
      </c>
      <c r="F613" s="38" t="s">
        <v>129</v>
      </c>
      <c r="G613" s="38" t="s">
        <v>130</v>
      </c>
      <c r="H613" s="44">
        <v>95452</v>
      </c>
      <c r="I613" s="44">
        <v>95452</v>
      </c>
      <c r="J613" s="44"/>
      <c r="K613" s="44"/>
      <c r="L613" s="44"/>
      <c r="M613" s="44"/>
      <c r="N613" s="44"/>
      <c r="O613" s="44"/>
      <c r="P613" s="44"/>
      <c r="Q613" s="44"/>
      <c r="R613" s="44"/>
      <c r="S613" s="44"/>
      <c r="T613" s="44"/>
      <c r="U613" s="44"/>
      <c r="V613" s="44"/>
      <c r="W613" s="44"/>
      <c r="X613" s="44"/>
      <c r="Y613" s="44"/>
      <c r="Z613" s="44"/>
      <c r="AA613" s="44"/>
      <c r="AB613" s="44"/>
      <c r="AC613" s="44"/>
      <c r="AD613" s="44"/>
      <c r="AE613" s="44"/>
      <c r="AF613" s="44"/>
    </row>
    <row r="614" spans="1:32" x14ac:dyDescent="0.3">
      <c r="A614" s="38" t="s">
        <v>237</v>
      </c>
      <c r="B614" s="38" t="s">
        <v>174</v>
      </c>
      <c r="C614" s="38" t="s">
        <v>182</v>
      </c>
      <c r="D614" s="39" t="s">
        <v>176</v>
      </c>
      <c r="E614" s="39" t="s">
        <v>177</v>
      </c>
      <c r="F614" s="38" t="s">
        <v>131</v>
      </c>
      <c r="G614" s="38" t="s">
        <v>130</v>
      </c>
      <c r="H614" s="44">
        <v>1259382</v>
      </c>
      <c r="I614" s="44">
        <v>55615</v>
      </c>
      <c r="J614" s="44">
        <v>65953</v>
      </c>
      <c r="K614" s="44">
        <v>79233</v>
      </c>
      <c r="L614" s="44">
        <v>46395</v>
      </c>
      <c r="M614" s="44">
        <v>77066</v>
      </c>
      <c r="N614" s="44">
        <v>64393</v>
      </c>
      <c r="O614" s="44">
        <v>64501</v>
      </c>
      <c r="P614" s="44">
        <v>58863</v>
      </c>
      <c r="Q614" s="44">
        <v>51618</v>
      </c>
      <c r="R614" s="44">
        <v>48681</v>
      </c>
      <c r="S614" s="44">
        <v>47525</v>
      </c>
      <c r="T614" s="44">
        <v>46963</v>
      </c>
      <c r="U614" s="44">
        <v>48691</v>
      </c>
      <c r="V614" s="44">
        <v>57340</v>
      </c>
      <c r="W614" s="44">
        <v>56946</v>
      </c>
      <c r="X614" s="44">
        <v>56815</v>
      </c>
      <c r="Y614" s="44">
        <v>56801</v>
      </c>
      <c r="Z614" s="44">
        <v>45513</v>
      </c>
      <c r="AA614" s="44">
        <v>41674</v>
      </c>
      <c r="AB614" s="44">
        <v>40840</v>
      </c>
      <c r="AC614" s="44">
        <v>40925</v>
      </c>
      <c r="AD614" s="44">
        <v>36276</v>
      </c>
      <c r="AE614" s="44">
        <v>35173</v>
      </c>
      <c r="AF614" s="44">
        <v>35582</v>
      </c>
    </row>
    <row r="615" spans="1:32" x14ac:dyDescent="0.3">
      <c r="A615" s="38" t="s">
        <v>237</v>
      </c>
      <c r="B615" s="38" t="s">
        <v>174</v>
      </c>
      <c r="C615" s="38" t="s">
        <v>182</v>
      </c>
      <c r="D615" s="39" t="s">
        <v>176</v>
      </c>
      <c r="E615" s="39" t="s">
        <v>177</v>
      </c>
      <c r="F615" s="38" t="s">
        <v>132</v>
      </c>
      <c r="G615" s="38" t="s">
        <v>130</v>
      </c>
      <c r="H615" s="44">
        <v>58916</v>
      </c>
      <c r="I615" s="44">
        <v>58916</v>
      </c>
      <c r="J615" s="44"/>
      <c r="K615" s="44"/>
      <c r="L615" s="44"/>
      <c r="M615" s="44"/>
      <c r="N615" s="44"/>
      <c r="O615" s="44"/>
      <c r="P615" s="44"/>
      <c r="Q615" s="44"/>
      <c r="R615" s="44"/>
      <c r="S615" s="44"/>
      <c r="T615" s="44"/>
      <c r="U615" s="44"/>
      <c r="V615" s="44"/>
      <c r="W615" s="44"/>
      <c r="X615" s="44"/>
      <c r="Y615" s="44"/>
      <c r="Z615" s="44"/>
      <c r="AA615" s="44"/>
      <c r="AB615" s="44"/>
      <c r="AC615" s="44"/>
      <c r="AD615" s="44"/>
      <c r="AE615" s="44"/>
      <c r="AF615" s="44"/>
    </row>
    <row r="616" spans="1:32" x14ac:dyDescent="0.3">
      <c r="A616" s="38" t="s">
        <v>237</v>
      </c>
      <c r="B616" s="38" t="s">
        <v>174</v>
      </c>
      <c r="C616" s="38" t="s">
        <v>182</v>
      </c>
      <c r="D616" s="39" t="s">
        <v>176</v>
      </c>
      <c r="E616" s="39" t="s">
        <v>177</v>
      </c>
      <c r="F616" s="38" t="s">
        <v>133</v>
      </c>
      <c r="G616" s="38" t="s">
        <v>130</v>
      </c>
      <c r="H616" s="44">
        <v>0</v>
      </c>
      <c r="I616" s="44">
        <v>0</v>
      </c>
      <c r="J616" s="44"/>
      <c r="K616" s="44"/>
      <c r="L616" s="44"/>
      <c r="M616" s="44"/>
      <c r="N616" s="44"/>
      <c r="O616" s="44"/>
      <c r="P616" s="44"/>
      <c r="Q616" s="44"/>
      <c r="R616" s="44"/>
      <c r="S616" s="44"/>
      <c r="T616" s="44"/>
      <c r="U616" s="44"/>
      <c r="V616" s="44"/>
      <c r="W616" s="44"/>
      <c r="X616" s="44"/>
      <c r="Y616" s="44"/>
      <c r="Z616" s="44"/>
      <c r="AA616" s="44"/>
      <c r="AB616" s="44"/>
      <c r="AC616" s="44"/>
      <c r="AD616" s="44"/>
      <c r="AE616" s="44"/>
      <c r="AF616" s="44"/>
    </row>
    <row r="617" spans="1:32" x14ac:dyDescent="0.3">
      <c r="A617" s="38" t="s">
        <v>237</v>
      </c>
      <c r="B617" s="38" t="s">
        <v>174</v>
      </c>
      <c r="C617" s="38" t="s">
        <v>182</v>
      </c>
      <c r="D617" s="39" t="s">
        <v>176</v>
      </c>
      <c r="E617" s="39" t="s">
        <v>177</v>
      </c>
      <c r="F617" s="38" t="s">
        <v>134</v>
      </c>
      <c r="G617" s="38" t="s">
        <v>130</v>
      </c>
      <c r="H617" s="44">
        <v>23</v>
      </c>
      <c r="I617" s="44">
        <v>23</v>
      </c>
      <c r="J617" s="44"/>
      <c r="K617" s="44"/>
      <c r="L617" s="44"/>
      <c r="M617" s="44"/>
      <c r="N617" s="44"/>
      <c r="O617" s="44"/>
      <c r="P617" s="44"/>
      <c r="Q617" s="44"/>
      <c r="R617" s="44"/>
      <c r="S617" s="44"/>
      <c r="T617" s="44"/>
      <c r="U617" s="44"/>
      <c r="V617" s="44"/>
      <c r="W617" s="44"/>
      <c r="X617" s="44"/>
      <c r="Y617" s="44"/>
      <c r="Z617" s="44"/>
      <c r="AA617" s="44"/>
      <c r="AB617" s="44"/>
      <c r="AC617" s="44"/>
      <c r="AD617" s="44"/>
      <c r="AE617" s="44"/>
      <c r="AF617" s="44"/>
    </row>
    <row r="618" spans="1:32" x14ac:dyDescent="0.3">
      <c r="A618" s="38" t="s">
        <v>237</v>
      </c>
      <c r="B618" s="38" t="s">
        <v>174</v>
      </c>
      <c r="C618" s="38" t="s">
        <v>182</v>
      </c>
      <c r="D618" s="39" t="s">
        <v>176</v>
      </c>
      <c r="E618" s="39" t="s">
        <v>177</v>
      </c>
      <c r="F618" s="38" t="s">
        <v>135</v>
      </c>
      <c r="G618" s="38" t="s">
        <v>130</v>
      </c>
      <c r="H618" s="44"/>
      <c r="I618" s="44"/>
      <c r="J618" s="44"/>
      <c r="K618" s="44"/>
      <c r="L618" s="44"/>
      <c r="M618" s="44"/>
      <c r="N618" s="44"/>
      <c r="O618" s="44"/>
      <c r="P618" s="44"/>
      <c r="Q618" s="44"/>
      <c r="R618" s="44"/>
      <c r="S618" s="44"/>
      <c r="T618" s="44"/>
      <c r="U618" s="44"/>
      <c r="V618" s="44"/>
      <c r="W618" s="44"/>
      <c r="X618" s="44"/>
      <c r="Y618" s="44"/>
      <c r="Z618" s="44"/>
      <c r="AA618" s="44"/>
      <c r="AB618" s="44"/>
      <c r="AC618" s="44"/>
      <c r="AD618" s="44"/>
      <c r="AE618" s="44"/>
      <c r="AF618" s="44"/>
    </row>
    <row r="619" spans="1:32" x14ac:dyDescent="0.3">
      <c r="A619" s="38" t="s">
        <v>237</v>
      </c>
      <c r="B619" s="38" t="s">
        <v>174</v>
      </c>
      <c r="C619" s="38" t="s">
        <v>182</v>
      </c>
      <c r="D619" s="39" t="s">
        <v>176</v>
      </c>
      <c r="E619" s="39" t="s">
        <v>177</v>
      </c>
      <c r="F619" s="38" t="s">
        <v>136</v>
      </c>
      <c r="G619" s="38" t="s">
        <v>130</v>
      </c>
      <c r="H619" s="44">
        <f>SUM(I619:AF619)</f>
        <v>10400</v>
      </c>
      <c r="I619" s="44">
        <f t="shared" ref="I619:AF619" si="141">IF(AND(ISBLANK(I622) = TRUE,ISBLANK(I621) = TRUE),I620,I621+I622)</f>
        <v>0</v>
      </c>
      <c r="J619" s="44">
        <f t="shared" si="141"/>
        <v>0</v>
      </c>
      <c r="K619" s="44">
        <f t="shared" si="141"/>
        <v>0</v>
      </c>
      <c r="L619" s="44">
        <f t="shared" si="141"/>
        <v>0</v>
      </c>
      <c r="M619" s="44">
        <f t="shared" si="141"/>
        <v>0</v>
      </c>
      <c r="N619" s="44">
        <f t="shared" si="141"/>
        <v>0</v>
      </c>
      <c r="O619" s="44">
        <f t="shared" si="141"/>
        <v>0</v>
      </c>
      <c r="P619" s="44">
        <f t="shared" si="141"/>
        <v>0</v>
      </c>
      <c r="Q619" s="44">
        <f t="shared" si="141"/>
        <v>0</v>
      </c>
      <c r="R619" s="44">
        <f t="shared" si="141"/>
        <v>0</v>
      </c>
      <c r="S619" s="44">
        <f t="shared" si="141"/>
        <v>0</v>
      </c>
      <c r="T619" s="44">
        <f t="shared" si="141"/>
        <v>0</v>
      </c>
      <c r="U619" s="44">
        <f t="shared" si="141"/>
        <v>0</v>
      </c>
      <c r="V619" s="44">
        <f t="shared" si="141"/>
        <v>0</v>
      </c>
      <c r="W619" s="44">
        <f t="shared" si="141"/>
        <v>0</v>
      </c>
      <c r="X619" s="44">
        <f t="shared" si="141"/>
        <v>10400</v>
      </c>
      <c r="Y619" s="44">
        <f t="shared" si="141"/>
        <v>0</v>
      </c>
      <c r="Z619" s="44">
        <f t="shared" si="141"/>
        <v>0</v>
      </c>
      <c r="AA619" s="44">
        <f t="shared" si="141"/>
        <v>0</v>
      </c>
      <c r="AB619" s="44">
        <f t="shared" si="141"/>
        <v>0</v>
      </c>
      <c r="AC619" s="44">
        <f t="shared" si="141"/>
        <v>0</v>
      </c>
      <c r="AD619" s="44">
        <f t="shared" si="141"/>
        <v>0</v>
      </c>
      <c r="AE619" s="44">
        <f t="shared" si="141"/>
        <v>0</v>
      </c>
      <c r="AF619" s="44">
        <f t="shared" si="141"/>
        <v>0</v>
      </c>
    </row>
    <row r="620" spans="1:32" x14ac:dyDescent="0.3">
      <c r="A620" s="38" t="s">
        <v>237</v>
      </c>
      <c r="B620" s="38" t="s">
        <v>174</v>
      </c>
      <c r="C620" s="38" t="s">
        <v>182</v>
      </c>
      <c r="D620" s="39" t="s">
        <v>176</v>
      </c>
      <c r="E620" s="39" t="s">
        <v>177</v>
      </c>
      <c r="F620" s="38" t="s">
        <v>124</v>
      </c>
      <c r="G620" s="38" t="s">
        <v>130</v>
      </c>
      <c r="H620" s="44">
        <v>10400</v>
      </c>
      <c r="I620" s="44"/>
      <c r="J620" s="44"/>
      <c r="K620" s="44"/>
      <c r="L620" s="44"/>
      <c r="M620" s="44"/>
      <c r="N620" s="44"/>
      <c r="O620" s="44"/>
      <c r="P620" s="44"/>
      <c r="Q620" s="44"/>
      <c r="R620" s="44"/>
      <c r="S620" s="44"/>
      <c r="T620" s="44"/>
      <c r="U620" s="44"/>
      <c r="V620" s="44"/>
      <c r="W620" s="44"/>
      <c r="X620" s="44">
        <v>10400</v>
      </c>
      <c r="Y620" s="44"/>
      <c r="Z620" s="44"/>
      <c r="AA620" s="44"/>
      <c r="AB620" s="44"/>
      <c r="AC620" s="44"/>
      <c r="AD620" s="44"/>
      <c r="AE620" s="44"/>
      <c r="AF620" s="44"/>
    </row>
    <row r="621" spans="1:32" x14ac:dyDescent="0.3">
      <c r="A621" s="38" t="s">
        <v>237</v>
      </c>
      <c r="B621" s="38" t="s">
        <v>174</v>
      </c>
      <c r="C621" s="38" t="s">
        <v>182</v>
      </c>
      <c r="D621" s="39" t="s">
        <v>176</v>
      </c>
      <c r="E621" s="39" t="s">
        <v>177</v>
      </c>
      <c r="F621" s="38" t="s">
        <v>137</v>
      </c>
      <c r="G621" s="38" t="s">
        <v>130</v>
      </c>
      <c r="H621" s="44">
        <f>SUM(I621:AF621)</f>
        <v>0</v>
      </c>
      <c r="I621" s="44"/>
      <c r="J621" s="44"/>
      <c r="K621" s="44"/>
      <c r="L621" s="44"/>
      <c r="M621" s="44"/>
      <c r="N621" s="44"/>
      <c r="O621" s="44"/>
      <c r="P621" s="44"/>
      <c r="Q621" s="44"/>
      <c r="R621" s="44"/>
      <c r="S621" s="44"/>
      <c r="T621" s="44"/>
      <c r="U621" s="44"/>
      <c r="V621" s="44"/>
      <c r="W621" s="44"/>
      <c r="X621" s="44"/>
      <c r="Y621" s="44"/>
      <c r="Z621" s="44"/>
      <c r="AA621" s="44"/>
      <c r="AB621" s="44"/>
      <c r="AC621" s="44"/>
      <c r="AD621" s="44"/>
      <c r="AE621" s="44"/>
      <c r="AF621" s="44"/>
    </row>
    <row r="622" spans="1:32" x14ac:dyDescent="0.3">
      <c r="A622" s="38" t="s">
        <v>237</v>
      </c>
      <c r="B622" s="38" t="s">
        <v>174</v>
      </c>
      <c r="C622" s="38" t="s">
        <v>182</v>
      </c>
      <c r="D622" s="39" t="s">
        <v>176</v>
      </c>
      <c r="E622" s="39" t="s">
        <v>177</v>
      </c>
      <c r="F622" s="38" t="s">
        <v>138</v>
      </c>
      <c r="G622" s="38" t="s">
        <v>130</v>
      </c>
      <c r="H622" s="44">
        <f>SUM(I622:AF622)</f>
        <v>0</v>
      </c>
      <c r="I622" s="44"/>
      <c r="J622" s="44"/>
      <c r="K622" s="44"/>
      <c r="L622" s="44"/>
      <c r="M622" s="44"/>
      <c r="N622" s="44"/>
      <c r="O622" s="44"/>
      <c r="P622" s="44"/>
      <c r="Q622" s="44"/>
      <c r="R622" s="44"/>
      <c r="S622" s="44"/>
      <c r="T622" s="44"/>
      <c r="U622" s="44"/>
      <c r="V622" s="44"/>
      <c r="W622" s="44"/>
      <c r="X622" s="44"/>
      <c r="Y622" s="44"/>
      <c r="Z622" s="44"/>
      <c r="AA622" s="44"/>
      <c r="AB622" s="44"/>
      <c r="AC622" s="44"/>
      <c r="AD622" s="44"/>
      <c r="AE622" s="44"/>
      <c r="AF622" s="44"/>
    </row>
    <row r="623" spans="1:32" x14ac:dyDescent="0.3">
      <c r="A623" s="38" t="s">
        <v>237</v>
      </c>
      <c r="B623" s="38" t="s">
        <v>174</v>
      </c>
      <c r="C623" s="38" t="s">
        <v>182</v>
      </c>
      <c r="D623" s="39" t="s">
        <v>176</v>
      </c>
      <c r="E623" s="39" t="s">
        <v>177</v>
      </c>
      <c r="F623" s="38" t="s">
        <v>139</v>
      </c>
      <c r="G623" s="38" t="s">
        <v>130</v>
      </c>
      <c r="H623" s="44">
        <v>10400</v>
      </c>
      <c r="I623" s="44"/>
      <c r="J623" s="44"/>
      <c r="K623" s="44"/>
      <c r="L623" s="44"/>
      <c r="M623" s="44"/>
      <c r="N623" s="44"/>
      <c r="O623" s="44"/>
      <c r="P623" s="44"/>
      <c r="Q623" s="44"/>
      <c r="R623" s="44"/>
      <c r="S623" s="44"/>
      <c r="T623" s="44"/>
      <c r="U623" s="44"/>
      <c r="V623" s="44"/>
      <c r="W623" s="44"/>
      <c r="X623" s="44">
        <v>10400</v>
      </c>
      <c r="Y623" s="44"/>
      <c r="Z623" s="44"/>
      <c r="AA623" s="44"/>
      <c r="AB623" s="44"/>
      <c r="AC623" s="44"/>
      <c r="AD623" s="44"/>
      <c r="AE623" s="44"/>
      <c r="AF623" s="44"/>
    </row>
    <row r="624" spans="1:32" x14ac:dyDescent="0.3">
      <c r="A624" s="38" t="s">
        <v>237</v>
      </c>
      <c r="B624" s="38" t="s">
        <v>174</v>
      </c>
      <c r="C624" s="38" t="s">
        <v>182</v>
      </c>
      <c r="D624" s="39" t="s">
        <v>176</v>
      </c>
      <c r="E624" s="39" t="s">
        <v>177</v>
      </c>
      <c r="F624" s="38" t="s">
        <v>140</v>
      </c>
      <c r="G624" s="38" t="s">
        <v>130</v>
      </c>
      <c r="H624" s="44"/>
      <c r="I624" s="44">
        <f>I619-(I614+I613)+(I618+I617+I616+I615)</f>
        <v>-92128</v>
      </c>
      <c r="J624" s="44">
        <f t="shared" ref="J624:AF624" si="142">I624+J619-J614</f>
        <v>-158081</v>
      </c>
      <c r="K624" s="44">
        <f t="shared" si="142"/>
        <v>-237314</v>
      </c>
      <c r="L624" s="44">
        <f t="shared" si="142"/>
        <v>-283709</v>
      </c>
      <c r="M624" s="44">
        <f t="shared" si="142"/>
        <v>-360775</v>
      </c>
      <c r="N624" s="44">
        <f t="shared" si="142"/>
        <v>-425168</v>
      </c>
      <c r="O624" s="44">
        <f t="shared" si="142"/>
        <v>-489669</v>
      </c>
      <c r="P624" s="44">
        <f t="shared" si="142"/>
        <v>-548532</v>
      </c>
      <c r="Q624" s="44">
        <f t="shared" si="142"/>
        <v>-600150</v>
      </c>
      <c r="R624" s="44">
        <f t="shared" si="142"/>
        <v>-648831</v>
      </c>
      <c r="S624" s="44">
        <f t="shared" si="142"/>
        <v>-696356</v>
      </c>
      <c r="T624" s="44">
        <f t="shared" si="142"/>
        <v>-743319</v>
      </c>
      <c r="U624" s="44">
        <f t="shared" si="142"/>
        <v>-792010</v>
      </c>
      <c r="V624" s="44">
        <f t="shared" si="142"/>
        <v>-849350</v>
      </c>
      <c r="W624" s="44">
        <f t="shared" si="142"/>
        <v>-906296</v>
      </c>
      <c r="X624" s="44">
        <f t="shared" si="142"/>
        <v>-952711</v>
      </c>
      <c r="Y624" s="44">
        <f t="shared" si="142"/>
        <v>-1009512</v>
      </c>
      <c r="Z624" s="44">
        <f t="shared" si="142"/>
        <v>-1055025</v>
      </c>
      <c r="AA624" s="44">
        <f t="shared" si="142"/>
        <v>-1096699</v>
      </c>
      <c r="AB624" s="44">
        <f t="shared" si="142"/>
        <v>-1137539</v>
      </c>
      <c r="AC624" s="44">
        <f t="shared" si="142"/>
        <v>-1178464</v>
      </c>
      <c r="AD624" s="44">
        <f t="shared" si="142"/>
        <v>-1214740</v>
      </c>
      <c r="AE624" s="44">
        <f t="shared" si="142"/>
        <v>-1249913</v>
      </c>
      <c r="AF624" s="44">
        <f t="shared" si="142"/>
        <v>-1285495</v>
      </c>
    </row>
    <row r="625" spans="1:32" ht="15" thickBot="1" x14ac:dyDescent="0.35">
      <c r="A625" s="40" t="s">
        <v>237</v>
      </c>
      <c r="B625" s="40" t="s">
        <v>174</v>
      </c>
      <c r="C625" s="40" t="s">
        <v>182</v>
      </c>
      <c r="D625" s="41" t="s">
        <v>176</v>
      </c>
      <c r="E625" s="41" t="s">
        <v>177</v>
      </c>
      <c r="F625" s="40" t="s">
        <v>141</v>
      </c>
      <c r="G625" s="40" t="s">
        <v>130</v>
      </c>
      <c r="H625" s="45"/>
      <c r="I625" s="45">
        <f>I619-I623</f>
        <v>0</v>
      </c>
      <c r="J625" s="45">
        <f t="shared" ref="J625:AF625" si="143">I625+J619-J623</f>
        <v>0</v>
      </c>
      <c r="K625" s="45">
        <f t="shared" si="143"/>
        <v>0</v>
      </c>
      <c r="L625" s="45">
        <f t="shared" si="143"/>
        <v>0</v>
      </c>
      <c r="M625" s="45">
        <f t="shared" si="143"/>
        <v>0</v>
      </c>
      <c r="N625" s="45">
        <f t="shared" si="143"/>
        <v>0</v>
      </c>
      <c r="O625" s="45">
        <f t="shared" si="143"/>
        <v>0</v>
      </c>
      <c r="P625" s="45">
        <f t="shared" si="143"/>
        <v>0</v>
      </c>
      <c r="Q625" s="45">
        <f t="shared" si="143"/>
        <v>0</v>
      </c>
      <c r="R625" s="45">
        <f t="shared" si="143"/>
        <v>0</v>
      </c>
      <c r="S625" s="45">
        <f t="shared" si="143"/>
        <v>0</v>
      </c>
      <c r="T625" s="45">
        <f t="shared" si="143"/>
        <v>0</v>
      </c>
      <c r="U625" s="45">
        <f t="shared" si="143"/>
        <v>0</v>
      </c>
      <c r="V625" s="45">
        <f t="shared" si="143"/>
        <v>0</v>
      </c>
      <c r="W625" s="45">
        <f t="shared" si="143"/>
        <v>0</v>
      </c>
      <c r="X625" s="45">
        <f t="shared" si="143"/>
        <v>0</v>
      </c>
      <c r="Y625" s="45">
        <f t="shared" si="143"/>
        <v>0</v>
      </c>
      <c r="Z625" s="45">
        <f t="shared" si="143"/>
        <v>0</v>
      </c>
      <c r="AA625" s="45">
        <f t="shared" si="143"/>
        <v>0</v>
      </c>
      <c r="AB625" s="45">
        <f t="shared" si="143"/>
        <v>0</v>
      </c>
      <c r="AC625" s="45">
        <f t="shared" si="143"/>
        <v>0</v>
      </c>
      <c r="AD625" s="45">
        <f t="shared" si="143"/>
        <v>0</v>
      </c>
      <c r="AE625" s="45">
        <f t="shared" si="143"/>
        <v>0</v>
      </c>
      <c r="AF625" s="45">
        <f t="shared" si="143"/>
        <v>0</v>
      </c>
    </row>
    <row r="626" spans="1:32" x14ac:dyDescent="0.3">
      <c r="A626" s="38" t="s">
        <v>238</v>
      </c>
      <c r="B626" s="38" t="s">
        <v>174</v>
      </c>
      <c r="C626" s="38" t="s">
        <v>239</v>
      </c>
      <c r="D626" s="39" t="s">
        <v>198</v>
      </c>
      <c r="E626" s="39" t="s">
        <v>195</v>
      </c>
      <c r="F626" s="38" t="s">
        <v>129</v>
      </c>
      <c r="G626" s="38" t="s">
        <v>130</v>
      </c>
      <c r="H626" s="44">
        <v>342</v>
      </c>
      <c r="I626" s="44">
        <v>342</v>
      </c>
      <c r="J626" s="44"/>
      <c r="K626" s="44"/>
      <c r="L626" s="44"/>
      <c r="M626" s="44"/>
      <c r="N626" s="44"/>
      <c r="O626" s="44"/>
      <c r="P626" s="44"/>
      <c r="Q626" s="44"/>
      <c r="R626" s="44"/>
      <c r="S626" s="44"/>
      <c r="T626" s="44"/>
      <c r="U626" s="44"/>
      <c r="V626" s="44"/>
      <c r="W626" s="44"/>
      <c r="X626" s="44"/>
      <c r="Y626" s="44"/>
      <c r="Z626" s="44"/>
      <c r="AA626" s="44"/>
      <c r="AB626" s="44"/>
      <c r="AC626" s="44"/>
      <c r="AD626" s="44"/>
      <c r="AE626" s="44"/>
      <c r="AF626" s="44"/>
    </row>
    <row r="627" spans="1:32" x14ac:dyDescent="0.3">
      <c r="A627" s="38" t="s">
        <v>238</v>
      </c>
      <c r="B627" s="38" t="s">
        <v>174</v>
      </c>
      <c r="C627" s="38" t="s">
        <v>239</v>
      </c>
      <c r="D627" s="39" t="s">
        <v>198</v>
      </c>
      <c r="E627" s="39" t="s">
        <v>195</v>
      </c>
      <c r="F627" s="38" t="s">
        <v>131</v>
      </c>
      <c r="G627" s="38" t="s">
        <v>130</v>
      </c>
      <c r="H627" s="44">
        <v>8189</v>
      </c>
      <c r="I627" s="44">
        <v>494</v>
      </c>
      <c r="J627" s="44">
        <v>475</v>
      </c>
      <c r="K627" s="44">
        <v>441</v>
      </c>
      <c r="L627" s="44">
        <v>354</v>
      </c>
      <c r="M627" s="44">
        <v>500</v>
      </c>
      <c r="N627" s="44">
        <v>516</v>
      </c>
      <c r="O627" s="44">
        <v>537</v>
      </c>
      <c r="P627" s="44">
        <v>572</v>
      </c>
      <c r="Q627" s="44">
        <v>639</v>
      </c>
      <c r="R627" s="44">
        <v>717</v>
      </c>
      <c r="S627" s="44">
        <v>548</v>
      </c>
      <c r="T627" s="44">
        <v>534</v>
      </c>
      <c r="U627" s="44">
        <v>392</v>
      </c>
      <c r="V627" s="44">
        <v>273</v>
      </c>
      <c r="W627" s="44">
        <v>264</v>
      </c>
      <c r="X627" s="44">
        <v>263</v>
      </c>
      <c r="Y627" s="44">
        <v>300</v>
      </c>
      <c r="Z627" s="44">
        <v>160</v>
      </c>
      <c r="AA627" s="44">
        <v>98</v>
      </c>
      <c r="AB627" s="44">
        <v>77</v>
      </c>
      <c r="AC627" s="44">
        <v>31</v>
      </c>
      <c r="AD627" s="44">
        <v>4</v>
      </c>
      <c r="AE627" s="44">
        <v>0</v>
      </c>
      <c r="AF627" s="44">
        <v>0</v>
      </c>
    </row>
    <row r="628" spans="1:32" x14ac:dyDescent="0.3">
      <c r="A628" s="38" t="s">
        <v>238</v>
      </c>
      <c r="B628" s="38" t="s">
        <v>174</v>
      </c>
      <c r="C628" s="38" t="s">
        <v>239</v>
      </c>
      <c r="D628" s="39" t="s">
        <v>198</v>
      </c>
      <c r="E628" s="39" t="s">
        <v>195</v>
      </c>
      <c r="F628" s="38" t="s">
        <v>132</v>
      </c>
      <c r="G628" s="38" t="s">
        <v>130</v>
      </c>
      <c r="H628" s="44">
        <v>6350</v>
      </c>
      <c r="I628" s="44">
        <v>6350</v>
      </c>
      <c r="J628" s="44"/>
      <c r="K628" s="44"/>
      <c r="L628" s="44"/>
      <c r="M628" s="44"/>
      <c r="N628" s="44"/>
      <c r="O628" s="44"/>
      <c r="P628" s="44"/>
      <c r="Q628" s="44"/>
      <c r="R628" s="44"/>
      <c r="S628" s="44"/>
      <c r="T628" s="44"/>
      <c r="U628" s="44"/>
      <c r="V628" s="44"/>
      <c r="W628" s="44"/>
      <c r="X628" s="44"/>
      <c r="Y628" s="44"/>
      <c r="Z628" s="44"/>
      <c r="AA628" s="44"/>
      <c r="AB628" s="44"/>
      <c r="AC628" s="44"/>
      <c r="AD628" s="44"/>
      <c r="AE628" s="44"/>
      <c r="AF628" s="44"/>
    </row>
    <row r="629" spans="1:32" x14ac:dyDescent="0.3">
      <c r="A629" s="38" t="s">
        <v>238</v>
      </c>
      <c r="B629" s="38" t="s">
        <v>174</v>
      </c>
      <c r="C629" s="38" t="s">
        <v>239</v>
      </c>
      <c r="D629" s="39" t="s">
        <v>198</v>
      </c>
      <c r="E629" s="39" t="s">
        <v>195</v>
      </c>
      <c r="F629" s="38" t="s">
        <v>133</v>
      </c>
      <c r="G629" s="38" t="s">
        <v>130</v>
      </c>
      <c r="H629" s="44">
        <v>0</v>
      </c>
      <c r="I629" s="44">
        <v>0</v>
      </c>
      <c r="J629" s="44"/>
      <c r="K629" s="44"/>
      <c r="L629" s="44"/>
      <c r="M629" s="44"/>
      <c r="N629" s="44"/>
      <c r="O629" s="44"/>
      <c r="P629" s="44"/>
      <c r="Q629" s="44"/>
      <c r="R629" s="44"/>
      <c r="S629" s="44"/>
      <c r="T629" s="44"/>
      <c r="U629" s="44"/>
      <c r="V629" s="44"/>
      <c r="W629" s="44"/>
      <c r="X629" s="44"/>
      <c r="Y629" s="44"/>
      <c r="Z629" s="44"/>
      <c r="AA629" s="44"/>
      <c r="AB629" s="44"/>
      <c r="AC629" s="44"/>
      <c r="AD629" s="44"/>
      <c r="AE629" s="44"/>
      <c r="AF629" s="44"/>
    </row>
    <row r="630" spans="1:32" x14ac:dyDescent="0.3">
      <c r="A630" s="38" t="s">
        <v>238</v>
      </c>
      <c r="B630" s="38" t="s">
        <v>174</v>
      </c>
      <c r="C630" s="38" t="s">
        <v>239</v>
      </c>
      <c r="D630" s="39" t="s">
        <v>198</v>
      </c>
      <c r="E630" s="39" t="s">
        <v>195</v>
      </c>
      <c r="F630" s="38" t="s">
        <v>134</v>
      </c>
      <c r="G630" s="38" t="s">
        <v>130</v>
      </c>
      <c r="H630" s="44">
        <v>299</v>
      </c>
      <c r="I630" s="44">
        <v>299</v>
      </c>
      <c r="J630" s="44"/>
      <c r="K630" s="44"/>
      <c r="L630" s="44"/>
      <c r="M630" s="44"/>
      <c r="N630" s="44"/>
      <c r="O630" s="44"/>
      <c r="P630" s="44"/>
      <c r="Q630" s="44"/>
      <c r="R630" s="44"/>
      <c r="S630" s="44"/>
      <c r="T630" s="44"/>
      <c r="U630" s="44"/>
      <c r="V630" s="44"/>
      <c r="W630" s="44"/>
      <c r="X630" s="44"/>
      <c r="Y630" s="44"/>
      <c r="Z630" s="44"/>
      <c r="AA630" s="44"/>
      <c r="AB630" s="44"/>
      <c r="AC630" s="44"/>
      <c r="AD630" s="44"/>
      <c r="AE630" s="44"/>
      <c r="AF630" s="44"/>
    </row>
    <row r="631" spans="1:32" x14ac:dyDescent="0.3">
      <c r="A631" s="38" t="s">
        <v>238</v>
      </c>
      <c r="B631" s="38" t="s">
        <v>174</v>
      </c>
      <c r="C631" s="38" t="s">
        <v>239</v>
      </c>
      <c r="D631" s="39" t="s">
        <v>198</v>
      </c>
      <c r="E631" s="39" t="s">
        <v>195</v>
      </c>
      <c r="F631" s="38" t="s">
        <v>135</v>
      </c>
      <c r="G631" s="38" t="s">
        <v>130</v>
      </c>
      <c r="H631" s="44"/>
      <c r="I631" s="44"/>
      <c r="J631" s="44"/>
      <c r="K631" s="44"/>
      <c r="L631" s="44"/>
      <c r="M631" s="44"/>
      <c r="N631" s="44"/>
      <c r="O631" s="44"/>
      <c r="P631" s="44"/>
      <c r="Q631" s="44"/>
      <c r="R631" s="44"/>
      <c r="S631" s="44"/>
      <c r="T631" s="44"/>
      <c r="U631" s="44"/>
      <c r="V631" s="44"/>
      <c r="W631" s="44"/>
      <c r="X631" s="44"/>
      <c r="Y631" s="44"/>
      <c r="Z631" s="44"/>
      <c r="AA631" s="44"/>
      <c r="AB631" s="44"/>
      <c r="AC631" s="44"/>
      <c r="AD631" s="44"/>
      <c r="AE631" s="44"/>
      <c r="AF631" s="44"/>
    </row>
    <row r="632" spans="1:32" x14ac:dyDescent="0.3">
      <c r="A632" s="38" t="s">
        <v>238</v>
      </c>
      <c r="B632" s="38" t="s">
        <v>174</v>
      </c>
      <c r="C632" s="38" t="s">
        <v>239</v>
      </c>
      <c r="D632" s="39" t="s">
        <v>198</v>
      </c>
      <c r="E632" s="39" t="s">
        <v>195</v>
      </c>
      <c r="F632" s="38" t="s">
        <v>136</v>
      </c>
      <c r="G632" s="38" t="s">
        <v>130</v>
      </c>
      <c r="H632" s="44">
        <f>SUM(I632:AF632)</f>
        <v>10000</v>
      </c>
      <c r="I632" s="44">
        <f t="shared" ref="I632:AF632" si="144">IF(AND(ISBLANK(I635) = TRUE,ISBLANK(I634) = TRUE),I633,I634+I635)</f>
        <v>0</v>
      </c>
      <c r="J632" s="44">
        <f t="shared" si="144"/>
        <v>0</v>
      </c>
      <c r="K632" s="44">
        <f t="shared" si="144"/>
        <v>0</v>
      </c>
      <c r="L632" s="44">
        <f t="shared" si="144"/>
        <v>0</v>
      </c>
      <c r="M632" s="44">
        <f t="shared" si="144"/>
        <v>10000</v>
      </c>
      <c r="N632" s="44">
        <f t="shared" si="144"/>
        <v>0</v>
      </c>
      <c r="O632" s="44">
        <f t="shared" si="144"/>
        <v>0</v>
      </c>
      <c r="P632" s="44">
        <f t="shared" si="144"/>
        <v>0</v>
      </c>
      <c r="Q632" s="44">
        <f t="shared" si="144"/>
        <v>0</v>
      </c>
      <c r="R632" s="44">
        <f t="shared" si="144"/>
        <v>0</v>
      </c>
      <c r="S632" s="44">
        <f t="shared" si="144"/>
        <v>0</v>
      </c>
      <c r="T632" s="44">
        <f t="shared" si="144"/>
        <v>0</v>
      </c>
      <c r="U632" s="44">
        <f t="shared" si="144"/>
        <v>0</v>
      </c>
      <c r="V632" s="44">
        <f t="shared" si="144"/>
        <v>0</v>
      </c>
      <c r="W632" s="44">
        <f t="shared" si="144"/>
        <v>0</v>
      </c>
      <c r="X632" s="44">
        <f t="shared" si="144"/>
        <v>0</v>
      </c>
      <c r="Y632" s="44">
        <f t="shared" si="144"/>
        <v>0</v>
      </c>
      <c r="Z632" s="44">
        <f t="shared" si="144"/>
        <v>0</v>
      </c>
      <c r="AA632" s="44">
        <f t="shared" si="144"/>
        <v>0</v>
      </c>
      <c r="AB632" s="44">
        <f t="shared" si="144"/>
        <v>0</v>
      </c>
      <c r="AC632" s="44">
        <f t="shared" si="144"/>
        <v>0</v>
      </c>
      <c r="AD632" s="44">
        <f t="shared" si="144"/>
        <v>0</v>
      </c>
      <c r="AE632" s="44">
        <f t="shared" si="144"/>
        <v>0</v>
      </c>
      <c r="AF632" s="44">
        <f t="shared" si="144"/>
        <v>0</v>
      </c>
    </row>
    <row r="633" spans="1:32" x14ac:dyDescent="0.3">
      <c r="A633" s="38" t="s">
        <v>238</v>
      </c>
      <c r="B633" s="38" t="s">
        <v>174</v>
      </c>
      <c r="C633" s="38" t="s">
        <v>239</v>
      </c>
      <c r="D633" s="39" t="s">
        <v>198</v>
      </c>
      <c r="E633" s="39" t="s">
        <v>195</v>
      </c>
      <c r="F633" s="38" t="s">
        <v>124</v>
      </c>
      <c r="G633" s="38" t="s">
        <v>130</v>
      </c>
      <c r="H633" s="44">
        <v>10000</v>
      </c>
      <c r="I633" s="44"/>
      <c r="J633" s="44"/>
      <c r="K633" s="44"/>
      <c r="L633" s="44"/>
      <c r="M633" s="44">
        <v>10000</v>
      </c>
      <c r="N633" s="44"/>
      <c r="O633" s="44"/>
      <c r="P633" s="44"/>
      <c r="Q633" s="44"/>
      <c r="R633" s="44"/>
      <c r="S633" s="44"/>
      <c r="T633" s="44"/>
      <c r="U633" s="44"/>
      <c r="V633" s="44"/>
      <c r="W633" s="44"/>
      <c r="X633" s="44"/>
      <c r="Y633" s="44"/>
      <c r="Z633" s="44"/>
      <c r="AA633" s="44"/>
      <c r="AB633" s="44"/>
      <c r="AC633" s="44"/>
      <c r="AD633" s="44"/>
      <c r="AE633" s="44"/>
      <c r="AF633" s="44"/>
    </row>
    <row r="634" spans="1:32" x14ac:dyDescent="0.3">
      <c r="A634" s="38" t="s">
        <v>238</v>
      </c>
      <c r="B634" s="38" t="s">
        <v>174</v>
      </c>
      <c r="C634" s="38" t="s">
        <v>239</v>
      </c>
      <c r="D634" s="39" t="s">
        <v>198</v>
      </c>
      <c r="E634" s="39" t="s">
        <v>195</v>
      </c>
      <c r="F634" s="38" t="s">
        <v>137</v>
      </c>
      <c r="G634" s="38" t="s">
        <v>130</v>
      </c>
      <c r="H634" s="44">
        <f>SUM(I634:AF634)</f>
        <v>0</v>
      </c>
      <c r="I634" s="44"/>
      <c r="J634" s="44"/>
      <c r="K634" s="44"/>
      <c r="L634" s="44"/>
      <c r="M634" s="44"/>
      <c r="N634" s="44"/>
      <c r="O634" s="44"/>
      <c r="P634" s="44"/>
      <c r="Q634" s="44"/>
      <c r="R634" s="44"/>
      <c r="S634" s="44"/>
      <c r="T634" s="44"/>
      <c r="U634" s="44"/>
      <c r="V634" s="44"/>
      <c r="W634" s="44"/>
      <c r="X634" s="44"/>
      <c r="Y634" s="44"/>
      <c r="Z634" s="44"/>
      <c r="AA634" s="44"/>
      <c r="AB634" s="44"/>
      <c r="AC634" s="44"/>
      <c r="AD634" s="44"/>
      <c r="AE634" s="44"/>
      <c r="AF634" s="44"/>
    </row>
    <row r="635" spans="1:32" x14ac:dyDescent="0.3">
      <c r="A635" s="38" t="s">
        <v>238</v>
      </c>
      <c r="B635" s="38" t="s">
        <v>174</v>
      </c>
      <c r="C635" s="38" t="s">
        <v>239</v>
      </c>
      <c r="D635" s="39" t="s">
        <v>198</v>
      </c>
      <c r="E635" s="39" t="s">
        <v>195</v>
      </c>
      <c r="F635" s="38" t="s">
        <v>138</v>
      </c>
      <c r="G635" s="38" t="s">
        <v>130</v>
      </c>
      <c r="H635" s="44">
        <f>SUM(I635:AF635)</f>
        <v>0</v>
      </c>
      <c r="I635" s="44"/>
      <c r="J635" s="44"/>
      <c r="K635" s="44"/>
      <c r="L635" s="44"/>
      <c r="M635" s="44"/>
      <c r="N635" s="44"/>
      <c r="O635" s="44"/>
      <c r="P635" s="44"/>
      <c r="Q635" s="44"/>
      <c r="R635" s="44"/>
      <c r="S635" s="44"/>
      <c r="T635" s="44"/>
      <c r="U635" s="44"/>
      <c r="V635" s="44"/>
      <c r="W635" s="44"/>
      <c r="X635" s="44"/>
      <c r="Y635" s="44"/>
      <c r="Z635" s="44"/>
      <c r="AA635" s="44"/>
      <c r="AB635" s="44"/>
      <c r="AC635" s="44"/>
      <c r="AD635" s="44"/>
      <c r="AE635" s="44"/>
      <c r="AF635" s="44"/>
    </row>
    <row r="636" spans="1:32" x14ac:dyDescent="0.3">
      <c r="A636" s="38" t="s">
        <v>238</v>
      </c>
      <c r="B636" s="38" t="s">
        <v>174</v>
      </c>
      <c r="C636" s="38" t="s">
        <v>239</v>
      </c>
      <c r="D636" s="39" t="s">
        <v>198</v>
      </c>
      <c r="E636" s="39" t="s">
        <v>195</v>
      </c>
      <c r="F636" s="38" t="s">
        <v>139</v>
      </c>
      <c r="G636" s="38" t="s">
        <v>130</v>
      </c>
      <c r="H636" s="44">
        <v>10000</v>
      </c>
      <c r="I636" s="44"/>
      <c r="J636" s="44"/>
      <c r="K636" s="44"/>
      <c r="L636" s="44"/>
      <c r="M636" s="44">
        <v>10000</v>
      </c>
      <c r="N636" s="44"/>
      <c r="O636" s="44"/>
      <c r="P636" s="44"/>
      <c r="Q636" s="44"/>
      <c r="R636" s="44"/>
      <c r="S636" s="44"/>
      <c r="T636" s="44"/>
      <c r="U636" s="44"/>
      <c r="V636" s="44"/>
      <c r="W636" s="44"/>
      <c r="X636" s="44"/>
      <c r="Y636" s="44"/>
      <c r="Z636" s="44"/>
      <c r="AA636" s="44"/>
      <c r="AB636" s="44"/>
      <c r="AC636" s="44"/>
      <c r="AD636" s="44"/>
      <c r="AE636" s="44"/>
      <c r="AF636" s="44"/>
    </row>
    <row r="637" spans="1:32" x14ac:dyDescent="0.3">
      <c r="A637" s="38" t="s">
        <v>238</v>
      </c>
      <c r="B637" s="38" t="s">
        <v>174</v>
      </c>
      <c r="C637" s="38" t="s">
        <v>239</v>
      </c>
      <c r="D637" s="39" t="s">
        <v>198</v>
      </c>
      <c r="E637" s="39" t="s">
        <v>195</v>
      </c>
      <c r="F637" s="38" t="s">
        <v>140</v>
      </c>
      <c r="G637" s="38" t="s">
        <v>130</v>
      </c>
      <c r="H637" s="44"/>
      <c r="I637" s="44">
        <f>I632-(I627+I626)+(I631+I630+I629+I628)</f>
        <v>5813</v>
      </c>
      <c r="J637" s="44">
        <f t="shared" ref="J637:AF637" si="145">I637+J632-J627</f>
        <v>5338</v>
      </c>
      <c r="K637" s="44">
        <f t="shared" si="145"/>
        <v>4897</v>
      </c>
      <c r="L637" s="44">
        <f t="shared" si="145"/>
        <v>4543</v>
      </c>
      <c r="M637" s="44">
        <f t="shared" si="145"/>
        <v>14043</v>
      </c>
      <c r="N637" s="44">
        <f t="shared" si="145"/>
        <v>13527</v>
      </c>
      <c r="O637" s="44">
        <f t="shared" si="145"/>
        <v>12990</v>
      </c>
      <c r="P637" s="44">
        <f t="shared" si="145"/>
        <v>12418</v>
      </c>
      <c r="Q637" s="44">
        <f t="shared" si="145"/>
        <v>11779</v>
      </c>
      <c r="R637" s="44">
        <f t="shared" si="145"/>
        <v>11062</v>
      </c>
      <c r="S637" s="44">
        <f t="shared" si="145"/>
        <v>10514</v>
      </c>
      <c r="T637" s="44">
        <f t="shared" si="145"/>
        <v>9980</v>
      </c>
      <c r="U637" s="44">
        <f t="shared" si="145"/>
        <v>9588</v>
      </c>
      <c r="V637" s="44">
        <f t="shared" si="145"/>
        <v>9315</v>
      </c>
      <c r="W637" s="44">
        <f t="shared" si="145"/>
        <v>9051</v>
      </c>
      <c r="X637" s="44">
        <f t="shared" si="145"/>
        <v>8788</v>
      </c>
      <c r="Y637" s="44">
        <f t="shared" si="145"/>
        <v>8488</v>
      </c>
      <c r="Z637" s="44">
        <f t="shared" si="145"/>
        <v>8328</v>
      </c>
      <c r="AA637" s="44">
        <f t="shared" si="145"/>
        <v>8230</v>
      </c>
      <c r="AB637" s="44">
        <f t="shared" si="145"/>
        <v>8153</v>
      </c>
      <c r="AC637" s="44">
        <f t="shared" si="145"/>
        <v>8122</v>
      </c>
      <c r="AD637" s="44">
        <f t="shared" si="145"/>
        <v>8118</v>
      </c>
      <c r="AE637" s="44">
        <f t="shared" si="145"/>
        <v>8118</v>
      </c>
      <c r="AF637" s="44">
        <f t="shared" si="145"/>
        <v>8118</v>
      </c>
    </row>
    <row r="638" spans="1:32" ht="15" thickBot="1" x14ac:dyDescent="0.35">
      <c r="A638" s="40" t="s">
        <v>238</v>
      </c>
      <c r="B638" s="40" t="s">
        <v>174</v>
      </c>
      <c r="C638" s="40" t="s">
        <v>239</v>
      </c>
      <c r="D638" s="41" t="s">
        <v>198</v>
      </c>
      <c r="E638" s="41" t="s">
        <v>195</v>
      </c>
      <c r="F638" s="40" t="s">
        <v>141</v>
      </c>
      <c r="G638" s="40" t="s">
        <v>130</v>
      </c>
      <c r="H638" s="45"/>
      <c r="I638" s="45">
        <f>I632-I636</f>
        <v>0</v>
      </c>
      <c r="J638" s="45">
        <f t="shared" ref="J638:AF638" si="146">I638+J632-J636</f>
        <v>0</v>
      </c>
      <c r="K638" s="45">
        <f t="shared" si="146"/>
        <v>0</v>
      </c>
      <c r="L638" s="45">
        <f t="shared" si="146"/>
        <v>0</v>
      </c>
      <c r="M638" s="45">
        <f t="shared" si="146"/>
        <v>0</v>
      </c>
      <c r="N638" s="45">
        <f t="shared" si="146"/>
        <v>0</v>
      </c>
      <c r="O638" s="45">
        <f t="shared" si="146"/>
        <v>0</v>
      </c>
      <c r="P638" s="45">
        <f t="shared" si="146"/>
        <v>0</v>
      </c>
      <c r="Q638" s="45">
        <f t="shared" si="146"/>
        <v>0</v>
      </c>
      <c r="R638" s="45">
        <f t="shared" si="146"/>
        <v>0</v>
      </c>
      <c r="S638" s="45">
        <f t="shared" si="146"/>
        <v>0</v>
      </c>
      <c r="T638" s="45">
        <f t="shared" si="146"/>
        <v>0</v>
      </c>
      <c r="U638" s="45">
        <f t="shared" si="146"/>
        <v>0</v>
      </c>
      <c r="V638" s="45">
        <f t="shared" si="146"/>
        <v>0</v>
      </c>
      <c r="W638" s="45">
        <f t="shared" si="146"/>
        <v>0</v>
      </c>
      <c r="X638" s="45">
        <f t="shared" si="146"/>
        <v>0</v>
      </c>
      <c r="Y638" s="45">
        <f t="shared" si="146"/>
        <v>0</v>
      </c>
      <c r="Z638" s="45">
        <f t="shared" si="146"/>
        <v>0</v>
      </c>
      <c r="AA638" s="45">
        <f t="shared" si="146"/>
        <v>0</v>
      </c>
      <c r="AB638" s="45">
        <f t="shared" si="146"/>
        <v>0</v>
      </c>
      <c r="AC638" s="45">
        <f t="shared" si="146"/>
        <v>0</v>
      </c>
      <c r="AD638" s="45">
        <f t="shared" si="146"/>
        <v>0</v>
      </c>
      <c r="AE638" s="45">
        <f t="shared" si="146"/>
        <v>0</v>
      </c>
      <c r="AF638" s="45">
        <f t="shared" si="146"/>
        <v>0</v>
      </c>
    </row>
    <row r="639" spans="1:32" x14ac:dyDescent="0.3">
      <c r="A639" s="38" t="s">
        <v>240</v>
      </c>
      <c r="B639" s="38" t="s">
        <v>174</v>
      </c>
      <c r="C639" s="38" t="s">
        <v>239</v>
      </c>
      <c r="D639" s="39" t="s">
        <v>180</v>
      </c>
      <c r="E639" s="39" t="s">
        <v>195</v>
      </c>
      <c r="F639" s="38" t="s">
        <v>129</v>
      </c>
      <c r="G639" s="38" t="s">
        <v>130</v>
      </c>
      <c r="H639" s="44">
        <v>1044</v>
      </c>
      <c r="I639" s="44">
        <v>1044</v>
      </c>
      <c r="J639" s="44"/>
      <c r="K639" s="44"/>
      <c r="L639" s="44"/>
      <c r="M639" s="44"/>
      <c r="N639" s="44"/>
      <c r="O639" s="44"/>
      <c r="P639" s="44"/>
      <c r="Q639" s="44"/>
      <c r="R639" s="44"/>
      <c r="S639" s="44"/>
      <c r="T639" s="44"/>
      <c r="U639" s="44"/>
      <c r="V639" s="44"/>
      <c r="W639" s="44"/>
      <c r="X639" s="44"/>
      <c r="Y639" s="44"/>
      <c r="Z639" s="44"/>
      <c r="AA639" s="44"/>
      <c r="AB639" s="44"/>
      <c r="AC639" s="44"/>
      <c r="AD639" s="44"/>
      <c r="AE639" s="44"/>
      <c r="AF639" s="44"/>
    </row>
    <row r="640" spans="1:32" x14ac:dyDescent="0.3">
      <c r="A640" s="38" t="s">
        <v>240</v>
      </c>
      <c r="B640" s="38" t="s">
        <v>174</v>
      </c>
      <c r="C640" s="38" t="s">
        <v>239</v>
      </c>
      <c r="D640" s="39" t="s">
        <v>180</v>
      </c>
      <c r="E640" s="39" t="s">
        <v>195</v>
      </c>
      <c r="F640" s="38" t="s">
        <v>131</v>
      </c>
      <c r="G640" s="38" t="s">
        <v>130</v>
      </c>
      <c r="H640" s="44">
        <v>10662</v>
      </c>
      <c r="I640" s="44">
        <v>285</v>
      </c>
      <c r="J640" s="44">
        <v>625</v>
      </c>
      <c r="K640" s="44">
        <v>446</v>
      </c>
      <c r="L640" s="44">
        <v>916</v>
      </c>
      <c r="M640" s="44">
        <v>550</v>
      </c>
      <c r="N640" s="44">
        <v>861</v>
      </c>
      <c r="O640" s="44">
        <v>673</v>
      </c>
      <c r="P640" s="44">
        <v>823</v>
      </c>
      <c r="Q640" s="44">
        <v>774</v>
      </c>
      <c r="R640" s="44">
        <v>775</v>
      </c>
      <c r="S640" s="44">
        <v>373</v>
      </c>
      <c r="T640" s="44">
        <v>367</v>
      </c>
      <c r="U640" s="44">
        <v>578</v>
      </c>
      <c r="V640" s="44">
        <v>283</v>
      </c>
      <c r="W640" s="44">
        <v>403</v>
      </c>
      <c r="X640" s="44">
        <v>253</v>
      </c>
      <c r="Y640" s="44">
        <v>253</v>
      </c>
      <c r="Z640" s="44">
        <v>336</v>
      </c>
      <c r="AA640" s="44">
        <v>218</v>
      </c>
      <c r="AB640" s="44">
        <v>194</v>
      </c>
      <c r="AC640" s="44">
        <v>194</v>
      </c>
      <c r="AD640" s="44">
        <v>168</v>
      </c>
      <c r="AE640" s="44">
        <v>157</v>
      </c>
      <c r="AF640" s="44">
        <v>157</v>
      </c>
    </row>
    <row r="641" spans="1:32" x14ac:dyDescent="0.3">
      <c r="A641" s="38" t="s">
        <v>240</v>
      </c>
      <c r="B641" s="38" t="s">
        <v>174</v>
      </c>
      <c r="C641" s="38" t="s">
        <v>239</v>
      </c>
      <c r="D641" s="39" t="s">
        <v>180</v>
      </c>
      <c r="E641" s="39" t="s">
        <v>195</v>
      </c>
      <c r="F641" s="38" t="s">
        <v>132</v>
      </c>
      <c r="G641" s="38" t="s">
        <v>130</v>
      </c>
      <c r="H641" s="44">
        <v>1536</v>
      </c>
      <c r="I641" s="44">
        <v>1536</v>
      </c>
      <c r="J641" s="44"/>
      <c r="K641" s="44"/>
      <c r="L641" s="44"/>
      <c r="M641" s="44"/>
      <c r="N641" s="44"/>
      <c r="O641" s="44"/>
      <c r="P641" s="44"/>
      <c r="Q641" s="44"/>
      <c r="R641" s="44"/>
      <c r="S641" s="44"/>
      <c r="T641" s="44"/>
      <c r="U641" s="44"/>
      <c r="V641" s="44"/>
      <c r="W641" s="44"/>
      <c r="X641" s="44"/>
      <c r="Y641" s="44"/>
      <c r="Z641" s="44"/>
      <c r="AA641" s="44"/>
      <c r="AB641" s="44"/>
      <c r="AC641" s="44"/>
      <c r="AD641" s="44"/>
      <c r="AE641" s="44"/>
      <c r="AF641" s="44"/>
    </row>
    <row r="642" spans="1:32" x14ac:dyDescent="0.3">
      <c r="A642" s="38" t="s">
        <v>240</v>
      </c>
      <c r="B642" s="38" t="s">
        <v>174</v>
      </c>
      <c r="C642" s="38" t="s">
        <v>239</v>
      </c>
      <c r="D642" s="39" t="s">
        <v>180</v>
      </c>
      <c r="E642" s="39" t="s">
        <v>195</v>
      </c>
      <c r="F642" s="38" t="s">
        <v>133</v>
      </c>
      <c r="G642" s="38" t="s">
        <v>130</v>
      </c>
      <c r="H642" s="44">
        <v>0</v>
      </c>
      <c r="I642" s="44">
        <v>0</v>
      </c>
      <c r="J642" s="44"/>
      <c r="K642" s="44"/>
      <c r="L642" s="44"/>
      <c r="M642" s="44"/>
      <c r="N642" s="44"/>
      <c r="O642" s="44"/>
      <c r="P642" s="44"/>
      <c r="Q642" s="44"/>
      <c r="R642" s="44"/>
      <c r="S642" s="44"/>
      <c r="T642" s="44"/>
      <c r="U642" s="44"/>
      <c r="V642" s="44"/>
      <c r="W642" s="44"/>
      <c r="X642" s="44"/>
      <c r="Y642" s="44"/>
      <c r="Z642" s="44"/>
      <c r="AA642" s="44"/>
      <c r="AB642" s="44"/>
      <c r="AC642" s="44"/>
      <c r="AD642" s="44"/>
      <c r="AE642" s="44"/>
      <c r="AF642" s="44"/>
    </row>
    <row r="643" spans="1:32" x14ac:dyDescent="0.3">
      <c r="A643" s="38" t="s">
        <v>240</v>
      </c>
      <c r="B643" s="38" t="s">
        <v>174</v>
      </c>
      <c r="C643" s="38" t="s">
        <v>239</v>
      </c>
      <c r="D643" s="39" t="s">
        <v>180</v>
      </c>
      <c r="E643" s="39" t="s">
        <v>195</v>
      </c>
      <c r="F643" s="38" t="s">
        <v>134</v>
      </c>
      <c r="G643" s="38" t="s">
        <v>130</v>
      </c>
      <c r="H643" s="44">
        <v>0</v>
      </c>
      <c r="I643" s="44">
        <v>0</v>
      </c>
      <c r="J643" s="44"/>
      <c r="K643" s="44"/>
      <c r="L643" s="44"/>
      <c r="M643" s="44"/>
      <c r="N643" s="44"/>
      <c r="O643" s="44"/>
      <c r="P643" s="44"/>
      <c r="Q643" s="44"/>
      <c r="R643" s="44"/>
      <c r="S643" s="44"/>
      <c r="T643" s="44"/>
      <c r="U643" s="44"/>
      <c r="V643" s="44"/>
      <c r="W643" s="44"/>
      <c r="X643" s="44"/>
      <c r="Y643" s="44"/>
      <c r="Z643" s="44"/>
      <c r="AA643" s="44"/>
      <c r="AB643" s="44"/>
      <c r="AC643" s="44"/>
      <c r="AD643" s="44"/>
      <c r="AE643" s="44"/>
      <c r="AF643" s="44"/>
    </row>
    <row r="644" spans="1:32" x14ac:dyDescent="0.3">
      <c r="A644" s="38" t="s">
        <v>240</v>
      </c>
      <c r="B644" s="38" t="s">
        <v>174</v>
      </c>
      <c r="C644" s="38" t="s">
        <v>239</v>
      </c>
      <c r="D644" s="39" t="s">
        <v>180</v>
      </c>
      <c r="E644" s="39" t="s">
        <v>195</v>
      </c>
      <c r="F644" s="38" t="s">
        <v>135</v>
      </c>
      <c r="G644" s="38" t="s">
        <v>130</v>
      </c>
      <c r="H644" s="44"/>
      <c r="I644" s="44"/>
      <c r="J644" s="44"/>
      <c r="K644" s="44"/>
      <c r="L644" s="44"/>
      <c r="M644" s="44"/>
      <c r="N644" s="44"/>
      <c r="O644" s="44"/>
      <c r="P644" s="44"/>
      <c r="Q644" s="44"/>
      <c r="R644" s="44"/>
      <c r="S644" s="44"/>
      <c r="T644" s="44"/>
      <c r="U644" s="44"/>
      <c r="V644" s="44"/>
      <c r="W644" s="44"/>
      <c r="X644" s="44"/>
      <c r="Y644" s="44"/>
      <c r="Z644" s="44"/>
      <c r="AA644" s="44"/>
      <c r="AB644" s="44"/>
      <c r="AC644" s="44"/>
      <c r="AD644" s="44"/>
      <c r="AE644" s="44"/>
      <c r="AF644" s="44"/>
    </row>
    <row r="645" spans="1:32" x14ac:dyDescent="0.3">
      <c r="A645" s="38" t="s">
        <v>240</v>
      </c>
      <c r="B645" s="38" t="s">
        <v>174</v>
      </c>
      <c r="C645" s="38" t="s">
        <v>239</v>
      </c>
      <c r="D645" s="39" t="s">
        <v>180</v>
      </c>
      <c r="E645" s="39" t="s">
        <v>195</v>
      </c>
      <c r="F645" s="38" t="s">
        <v>136</v>
      </c>
      <c r="G645" s="38" t="s">
        <v>130</v>
      </c>
      <c r="H645" s="44">
        <f>SUM(I645:AF645)</f>
        <v>768</v>
      </c>
      <c r="I645" s="44">
        <f t="shared" ref="I645:AF645" si="147">IF(AND(ISBLANK(I648) = TRUE,ISBLANK(I647) = TRUE),I646,I647+I648)</f>
        <v>0</v>
      </c>
      <c r="J645" s="44">
        <f t="shared" si="147"/>
        <v>0</v>
      </c>
      <c r="K645" s="44">
        <f t="shared" si="147"/>
        <v>0</v>
      </c>
      <c r="L645" s="44">
        <f t="shared" si="147"/>
        <v>0</v>
      </c>
      <c r="M645" s="44">
        <f t="shared" si="147"/>
        <v>0</v>
      </c>
      <c r="N645" s="44">
        <f t="shared" si="147"/>
        <v>0</v>
      </c>
      <c r="O645" s="44">
        <f t="shared" si="147"/>
        <v>0</v>
      </c>
      <c r="P645" s="44">
        <f t="shared" si="147"/>
        <v>0</v>
      </c>
      <c r="Q645" s="44">
        <f t="shared" si="147"/>
        <v>0</v>
      </c>
      <c r="R645" s="44">
        <f t="shared" si="147"/>
        <v>0</v>
      </c>
      <c r="S645" s="44">
        <f t="shared" si="147"/>
        <v>768</v>
      </c>
      <c r="T645" s="44">
        <f t="shared" si="147"/>
        <v>0</v>
      </c>
      <c r="U645" s="44">
        <f t="shared" si="147"/>
        <v>0</v>
      </c>
      <c r="V645" s="44">
        <f t="shared" si="147"/>
        <v>0</v>
      </c>
      <c r="W645" s="44">
        <f t="shared" si="147"/>
        <v>0</v>
      </c>
      <c r="X645" s="44">
        <f t="shared" si="147"/>
        <v>0</v>
      </c>
      <c r="Y645" s="44">
        <f t="shared" si="147"/>
        <v>0</v>
      </c>
      <c r="Z645" s="44">
        <f t="shared" si="147"/>
        <v>0</v>
      </c>
      <c r="AA645" s="44">
        <f t="shared" si="147"/>
        <v>0</v>
      </c>
      <c r="AB645" s="44">
        <f t="shared" si="147"/>
        <v>0</v>
      </c>
      <c r="AC645" s="44">
        <f t="shared" si="147"/>
        <v>0</v>
      </c>
      <c r="AD645" s="44">
        <f t="shared" si="147"/>
        <v>0</v>
      </c>
      <c r="AE645" s="44">
        <f t="shared" si="147"/>
        <v>0</v>
      </c>
      <c r="AF645" s="44">
        <f t="shared" si="147"/>
        <v>0</v>
      </c>
    </row>
    <row r="646" spans="1:32" x14ac:dyDescent="0.3">
      <c r="A646" s="38" t="s">
        <v>240</v>
      </c>
      <c r="B646" s="38" t="s">
        <v>174</v>
      </c>
      <c r="C646" s="38" t="s">
        <v>239</v>
      </c>
      <c r="D646" s="39" t="s">
        <v>180</v>
      </c>
      <c r="E646" s="39" t="s">
        <v>195</v>
      </c>
      <c r="F646" s="38" t="s">
        <v>124</v>
      </c>
      <c r="G646" s="38" t="s">
        <v>130</v>
      </c>
      <c r="H646" s="44">
        <v>768</v>
      </c>
      <c r="I646" s="44"/>
      <c r="J646" s="44"/>
      <c r="K646" s="44"/>
      <c r="L646" s="44"/>
      <c r="M646" s="44"/>
      <c r="N646" s="44"/>
      <c r="O646" s="44"/>
      <c r="P646" s="44"/>
      <c r="Q646" s="44"/>
      <c r="R646" s="44"/>
      <c r="S646" s="44">
        <v>768</v>
      </c>
      <c r="T646" s="44"/>
      <c r="U646" s="44"/>
      <c r="V646" s="44"/>
      <c r="W646" s="44"/>
      <c r="X646" s="44"/>
      <c r="Y646" s="44"/>
      <c r="Z646" s="44"/>
      <c r="AA646" s="44"/>
      <c r="AB646" s="44"/>
      <c r="AC646" s="44"/>
      <c r="AD646" s="44"/>
      <c r="AE646" s="44"/>
      <c r="AF646" s="44"/>
    </row>
    <row r="647" spans="1:32" x14ac:dyDescent="0.3">
      <c r="A647" s="38" t="s">
        <v>240</v>
      </c>
      <c r="B647" s="38" t="s">
        <v>174</v>
      </c>
      <c r="C647" s="38" t="s">
        <v>239</v>
      </c>
      <c r="D647" s="39" t="s">
        <v>180</v>
      </c>
      <c r="E647" s="39" t="s">
        <v>195</v>
      </c>
      <c r="F647" s="38" t="s">
        <v>137</v>
      </c>
      <c r="G647" s="38" t="s">
        <v>130</v>
      </c>
      <c r="H647" s="44">
        <f>SUM(I647:AF647)</f>
        <v>0</v>
      </c>
      <c r="I647" s="44"/>
      <c r="J647" s="44"/>
      <c r="K647" s="44"/>
      <c r="L647" s="44"/>
      <c r="M647" s="44"/>
      <c r="N647" s="44"/>
      <c r="O647" s="44"/>
      <c r="P647" s="44"/>
      <c r="Q647" s="44"/>
      <c r="R647" s="44"/>
      <c r="S647" s="44"/>
      <c r="T647" s="44"/>
      <c r="U647" s="44"/>
      <c r="V647" s="44"/>
      <c r="W647" s="44"/>
      <c r="X647" s="44"/>
      <c r="Y647" s="44"/>
      <c r="Z647" s="44"/>
      <c r="AA647" s="44"/>
      <c r="AB647" s="44"/>
      <c r="AC647" s="44"/>
      <c r="AD647" s="44"/>
      <c r="AE647" s="44"/>
      <c r="AF647" s="44"/>
    </row>
    <row r="648" spans="1:32" x14ac:dyDescent="0.3">
      <c r="A648" s="38" t="s">
        <v>240</v>
      </c>
      <c r="B648" s="38" t="s">
        <v>174</v>
      </c>
      <c r="C648" s="38" t="s">
        <v>239</v>
      </c>
      <c r="D648" s="39" t="s">
        <v>180</v>
      </c>
      <c r="E648" s="39" t="s">
        <v>195</v>
      </c>
      <c r="F648" s="38" t="s">
        <v>138</v>
      </c>
      <c r="G648" s="38" t="s">
        <v>130</v>
      </c>
      <c r="H648" s="44">
        <f>SUM(I648:AF648)</f>
        <v>0</v>
      </c>
      <c r="I648" s="44"/>
      <c r="J648" s="44"/>
      <c r="K648" s="44"/>
      <c r="L648" s="44"/>
      <c r="M648" s="44"/>
      <c r="N648" s="44"/>
      <c r="O648" s="44"/>
      <c r="P648" s="44"/>
      <c r="Q648" s="44"/>
      <c r="R648" s="44"/>
      <c r="S648" s="44"/>
      <c r="T648" s="44"/>
      <c r="U648" s="44"/>
      <c r="V648" s="44"/>
      <c r="W648" s="44"/>
      <c r="X648" s="44"/>
      <c r="Y648" s="44"/>
      <c r="Z648" s="44"/>
      <c r="AA648" s="44"/>
      <c r="AB648" s="44"/>
      <c r="AC648" s="44"/>
      <c r="AD648" s="44"/>
      <c r="AE648" s="44"/>
      <c r="AF648" s="44"/>
    </row>
    <row r="649" spans="1:32" x14ac:dyDescent="0.3">
      <c r="A649" s="38" t="s">
        <v>240</v>
      </c>
      <c r="B649" s="38" t="s">
        <v>174</v>
      </c>
      <c r="C649" s="38" t="s">
        <v>239</v>
      </c>
      <c r="D649" s="39" t="s">
        <v>180</v>
      </c>
      <c r="E649" s="39" t="s">
        <v>195</v>
      </c>
      <c r="F649" s="38" t="s">
        <v>139</v>
      </c>
      <c r="G649" s="38" t="s">
        <v>130</v>
      </c>
      <c r="H649" s="44">
        <v>768</v>
      </c>
      <c r="I649" s="44"/>
      <c r="J649" s="44"/>
      <c r="K649" s="44"/>
      <c r="L649" s="44"/>
      <c r="M649" s="44"/>
      <c r="N649" s="44"/>
      <c r="O649" s="44"/>
      <c r="P649" s="44"/>
      <c r="Q649" s="44"/>
      <c r="R649" s="44"/>
      <c r="S649" s="44">
        <v>768</v>
      </c>
      <c r="T649" s="44"/>
      <c r="U649" s="44"/>
      <c r="V649" s="44"/>
      <c r="W649" s="44"/>
      <c r="X649" s="44"/>
      <c r="Y649" s="44"/>
      <c r="Z649" s="44"/>
      <c r="AA649" s="44"/>
      <c r="AB649" s="44"/>
      <c r="AC649" s="44"/>
      <c r="AD649" s="44"/>
      <c r="AE649" s="44"/>
      <c r="AF649" s="44"/>
    </row>
    <row r="650" spans="1:32" x14ac:dyDescent="0.3">
      <c r="A650" s="38" t="s">
        <v>240</v>
      </c>
      <c r="B650" s="38" t="s">
        <v>174</v>
      </c>
      <c r="C650" s="38" t="s">
        <v>239</v>
      </c>
      <c r="D650" s="39" t="s">
        <v>180</v>
      </c>
      <c r="E650" s="39" t="s">
        <v>195</v>
      </c>
      <c r="F650" s="38" t="s">
        <v>140</v>
      </c>
      <c r="G650" s="38" t="s">
        <v>130</v>
      </c>
      <c r="H650" s="44"/>
      <c r="I650" s="44">
        <f>I645-(I640+I639)+(I644+I643+I642+I641)</f>
        <v>207</v>
      </c>
      <c r="J650" s="44">
        <f t="shared" ref="J650:AF650" si="148">I650+J645-J640</f>
        <v>-418</v>
      </c>
      <c r="K650" s="44">
        <f t="shared" si="148"/>
        <v>-864</v>
      </c>
      <c r="L650" s="44">
        <f t="shared" si="148"/>
        <v>-1780</v>
      </c>
      <c r="M650" s="44">
        <f t="shared" si="148"/>
        <v>-2330</v>
      </c>
      <c r="N650" s="44">
        <f t="shared" si="148"/>
        <v>-3191</v>
      </c>
      <c r="O650" s="44">
        <f t="shared" si="148"/>
        <v>-3864</v>
      </c>
      <c r="P650" s="44">
        <f t="shared" si="148"/>
        <v>-4687</v>
      </c>
      <c r="Q650" s="44">
        <f t="shared" si="148"/>
        <v>-5461</v>
      </c>
      <c r="R650" s="44">
        <f t="shared" si="148"/>
        <v>-6236</v>
      </c>
      <c r="S650" s="44">
        <f t="shared" si="148"/>
        <v>-5841</v>
      </c>
      <c r="T650" s="44">
        <f t="shared" si="148"/>
        <v>-6208</v>
      </c>
      <c r="U650" s="44">
        <f t="shared" si="148"/>
        <v>-6786</v>
      </c>
      <c r="V650" s="44">
        <f t="shared" si="148"/>
        <v>-7069</v>
      </c>
      <c r="W650" s="44">
        <f t="shared" si="148"/>
        <v>-7472</v>
      </c>
      <c r="X650" s="44">
        <f t="shared" si="148"/>
        <v>-7725</v>
      </c>
      <c r="Y650" s="44">
        <f t="shared" si="148"/>
        <v>-7978</v>
      </c>
      <c r="Z650" s="44">
        <f t="shared" si="148"/>
        <v>-8314</v>
      </c>
      <c r="AA650" s="44">
        <f t="shared" si="148"/>
        <v>-8532</v>
      </c>
      <c r="AB650" s="44">
        <f t="shared" si="148"/>
        <v>-8726</v>
      </c>
      <c r="AC650" s="44">
        <f t="shared" si="148"/>
        <v>-8920</v>
      </c>
      <c r="AD650" s="44">
        <f t="shared" si="148"/>
        <v>-9088</v>
      </c>
      <c r="AE650" s="44">
        <f t="shared" si="148"/>
        <v>-9245</v>
      </c>
      <c r="AF650" s="44">
        <f t="shared" si="148"/>
        <v>-9402</v>
      </c>
    </row>
    <row r="651" spans="1:32" ht="15" thickBot="1" x14ac:dyDescent="0.35">
      <c r="A651" s="40" t="s">
        <v>240</v>
      </c>
      <c r="B651" s="40" t="s">
        <v>174</v>
      </c>
      <c r="C651" s="40" t="s">
        <v>239</v>
      </c>
      <c r="D651" s="41" t="s">
        <v>180</v>
      </c>
      <c r="E651" s="41" t="s">
        <v>195</v>
      </c>
      <c r="F651" s="40" t="s">
        <v>141</v>
      </c>
      <c r="G651" s="40" t="s">
        <v>130</v>
      </c>
      <c r="H651" s="45"/>
      <c r="I651" s="45">
        <f>I645-I649</f>
        <v>0</v>
      </c>
      <c r="J651" s="45">
        <f t="shared" ref="J651:AF651" si="149">I651+J645-J649</f>
        <v>0</v>
      </c>
      <c r="K651" s="45">
        <f t="shared" si="149"/>
        <v>0</v>
      </c>
      <c r="L651" s="45">
        <f t="shared" si="149"/>
        <v>0</v>
      </c>
      <c r="M651" s="45">
        <f t="shared" si="149"/>
        <v>0</v>
      </c>
      <c r="N651" s="45">
        <f t="shared" si="149"/>
        <v>0</v>
      </c>
      <c r="O651" s="45">
        <f t="shared" si="149"/>
        <v>0</v>
      </c>
      <c r="P651" s="45">
        <f t="shared" si="149"/>
        <v>0</v>
      </c>
      <c r="Q651" s="45">
        <f t="shared" si="149"/>
        <v>0</v>
      </c>
      <c r="R651" s="45">
        <f t="shared" si="149"/>
        <v>0</v>
      </c>
      <c r="S651" s="45">
        <f t="shared" si="149"/>
        <v>0</v>
      </c>
      <c r="T651" s="45">
        <f t="shared" si="149"/>
        <v>0</v>
      </c>
      <c r="U651" s="45">
        <f t="shared" si="149"/>
        <v>0</v>
      </c>
      <c r="V651" s="45">
        <f t="shared" si="149"/>
        <v>0</v>
      </c>
      <c r="W651" s="45">
        <f t="shared" si="149"/>
        <v>0</v>
      </c>
      <c r="X651" s="45">
        <f t="shared" si="149"/>
        <v>0</v>
      </c>
      <c r="Y651" s="45">
        <f t="shared" si="149"/>
        <v>0</v>
      </c>
      <c r="Z651" s="45">
        <f t="shared" si="149"/>
        <v>0</v>
      </c>
      <c r="AA651" s="45">
        <f t="shared" si="149"/>
        <v>0</v>
      </c>
      <c r="AB651" s="45">
        <f t="shared" si="149"/>
        <v>0</v>
      </c>
      <c r="AC651" s="45">
        <f t="shared" si="149"/>
        <v>0</v>
      </c>
      <c r="AD651" s="45">
        <f t="shared" si="149"/>
        <v>0</v>
      </c>
      <c r="AE651" s="45">
        <f t="shared" si="149"/>
        <v>0</v>
      </c>
      <c r="AF651" s="45">
        <f t="shared" si="149"/>
        <v>0</v>
      </c>
    </row>
    <row r="652" spans="1:32" x14ac:dyDescent="0.3">
      <c r="A652" s="38" t="s">
        <v>240</v>
      </c>
      <c r="B652" s="38" t="s">
        <v>174</v>
      </c>
      <c r="C652" s="38" t="s">
        <v>239</v>
      </c>
      <c r="D652" s="39" t="s">
        <v>180</v>
      </c>
      <c r="E652" s="39" t="s">
        <v>177</v>
      </c>
      <c r="F652" s="38" t="s">
        <v>129</v>
      </c>
      <c r="G652" s="38" t="s">
        <v>130</v>
      </c>
      <c r="H652" s="44">
        <v>25672</v>
      </c>
      <c r="I652" s="44">
        <v>25672</v>
      </c>
      <c r="J652" s="44"/>
      <c r="K652" s="44"/>
      <c r="L652" s="44"/>
      <c r="M652" s="44"/>
      <c r="N652" s="44"/>
      <c r="O652" s="44"/>
      <c r="P652" s="44"/>
      <c r="Q652" s="44"/>
      <c r="R652" s="44"/>
      <c r="S652" s="44"/>
      <c r="T652" s="44"/>
      <c r="U652" s="44"/>
      <c r="V652" s="44"/>
      <c r="W652" s="44"/>
      <c r="X652" s="44"/>
      <c r="Y652" s="44"/>
      <c r="Z652" s="44"/>
      <c r="AA652" s="44"/>
      <c r="AB652" s="44"/>
      <c r="AC652" s="44"/>
      <c r="AD652" s="44"/>
      <c r="AE652" s="44"/>
      <c r="AF652" s="44"/>
    </row>
    <row r="653" spans="1:32" x14ac:dyDescent="0.3">
      <c r="A653" s="38" t="s">
        <v>240</v>
      </c>
      <c r="B653" s="38" t="s">
        <v>174</v>
      </c>
      <c r="C653" s="38" t="s">
        <v>239</v>
      </c>
      <c r="D653" s="39" t="s">
        <v>180</v>
      </c>
      <c r="E653" s="39" t="s">
        <v>177</v>
      </c>
      <c r="F653" s="38" t="s">
        <v>131</v>
      </c>
      <c r="G653" s="38" t="s">
        <v>130</v>
      </c>
      <c r="H653" s="44">
        <v>172647</v>
      </c>
      <c r="I653" s="44">
        <v>40163</v>
      </c>
      <c r="J653" s="44">
        <v>3195</v>
      </c>
      <c r="K653" s="44">
        <v>2638</v>
      </c>
      <c r="L653" s="44">
        <v>2718</v>
      </c>
      <c r="M653" s="44">
        <v>1206</v>
      </c>
      <c r="N653" s="44">
        <v>36397</v>
      </c>
      <c r="O653" s="44">
        <v>677</v>
      </c>
      <c r="P653" s="44">
        <v>706</v>
      </c>
      <c r="Q653" s="44">
        <v>784</v>
      </c>
      <c r="R653" s="44">
        <v>30830</v>
      </c>
      <c r="S653" s="44">
        <v>802</v>
      </c>
      <c r="T653" s="44">
        <v>742</v>
      </c>
      <c r="U653" s="44">
        <v>773</v>
      </c>
      <c r="V653" s="44">
        <v>22961</v>
      </c>
      <c r="W653" s="44">
        <v>910</v>
      </c>
      <c r="X653" s="44">
        <v>909</v>
      </c>
      <c r="Y653" s="44">
        <v>912</v>
      </c>
      <c r="Z653" s="44">
        <v>988</v>
      </c>
      <c r="AA653" s="44">
        <v>20790</v>
      </c>
      <c r="AB653" s="44">
        <v>788</v>
      </c>
      <c r="AC653" s="44">
        <v>720</v>
      </c>
      <c r="AD653" s="44">
        <v>758</v>
      </c>
      <c r="AE653" s="44">
        <v>640</v>
      </c>
      <c r="AF653" s="44">
        <v>640</v>
      </c>
    </row>
    <row r="654" spans="1:32" x14ac:dyDescent="0.3">
      <c r="A654" s="38" t="s">
        <v>240</v>
      </c>
      <c r="B654" s="38" t="s">
        <v>174</v>
      </c>
      <c r="C654" s="38" t="s">
        <v>239</v>
      </c>
      <c r="D654" s="39" t="s">
        <v>180</v>
      </c>
      <c r="E654" s="39" t="s">
        <v>177</v>
      </c>
      <c r="F654" s="38" t="s">
        <v>132</v>
      </c>
      <c r="G654" s="38" t="s">
        <v>130</v>
      </c>
      <c r="H654" s="44">
        <v>2336</v>
      </c>
      <c r="I654" s="44">
        <v>2336</v>
      </c>
      <c r="J654" s="44"/>
      <c r="K654" s="44"/>
      <c r="L654" s="44"/>
      <c r="M654" s="44"/>
      <c r="N654" s="44"/>
      <c r="O654" s="44"/>
      <c r="P654" s="44"/>
      <c r="Q654" s="44"/>
      <c r="R654" s="44"/>
      <c r="S654" s="44"/>
      <c r="T654" s="44"/>
      <c r="U654" s="44"/>
      <c r="V654" s="44"/>
      <c r="W654" s="44"/>
      <c r="X654" s="44"/>
      <c r="Y654" s="44"/>
      <c r="Z654" s="44"/>
      <c r="AA654" s="44"/>
      <c r="AB654" s="44"/>
      <c r="AC654" s="44"/>
      <c r="AD654" s="44"/>
      <c r="AE654" s="44"/>
      <c r="AF654" s="44"/>
    </row>
    <row r="655" spans="1:32" x14ac:dyDescent="0.3">
      <c r="A655" s="38" t="s">
        <v>240</v>
      </c>
      <c r="B655" s="38" t="s">
        <v>174</v>
      </c>
      <c r="C655" s="38" t="s">
        <v>239</v>
      </c>
      <c r="D655" s="39" t="s">
        <v>180</v>
      </c>
      <c r="E655" s="39" t="s">
        <v>177</v>
      </c>
      <c r="F655" s="38" t="s">
        <v>133</v>
      </c>
      <c r="G655" s="38" t="s">
        <v>130</v>
      </c>
      <c r="H655" s="44">
        <v>0</v>
      </c>
      <c r="I655" s="44">
        <v>0</v>
      </c>
      <c r="J655" s="44"/>
      <c r="K655" s="44"/>
      <c r="L655" s="44"/>
      <c r="M655" s="44"/>
      <c r="N655" s="44"/>
      <c r="O655" s="44"/>
      <c r="P655" s="44"/>
      <c r="Q655" s="44"/>
      <c r="R655" s="44"/>
      <c r="S655" s="44"/>
      <c r="T655" s="44"/>
      <c r="U655" s="44"/>
      <c r="V655" s="44"/>
      <c r="W655" s="44"/>
      <c r="X655" s="44"/>
      <c r="Y655" s="44"/>
      <c r="Z655" s="44"/>
      <c r="AA655" s="44"/>
      <c r="AB655" s="44"/>
      <c r="AC655" s="44"/>
      <c r="AD655" s="44"/>
      <c r="AE655" s="44"/>
      <c r="AF655" s="44"/>
    </row>
    <row r="656" spans="1:32" x14ac:dyDescent="0.3">
      <c r="A656" s="38" t="s">
        <v>240</v>
      </c>
      <c r="B656" s="38" t="s">
        <v>174</v>
      </c>
      <c r="C656" s="38" t="s">
        <v>239</v>
      </c>
      <c r="D656" s="39" t="s">
        <v>180</v>
      </c>
      <c r="E656" s="39" t="s">
        <v>177</v>
      </c>
      <c r="F656" s="38" t="s">
        <v>134</v>
      </c>
      <c r="G656" s="38" t="s">
        <v>130</v>
      </c>
      <c r="H656" s="44">
        <v>857</v>
      </c>
      <c r="I656" s="44">
        <v>857</v>
      </c>
      <c r="J656" s="44"/>
      <c r="K656" s="44"/>
      <c r="L656" s="44"/>
      <c r="M656" s="44"/>
      <c r="N656" s="44"/>
      <c r="O656" s="44"/>
      <c r="P656" s="44"/>
      <c r="Q656" s="44"/>
      <c r="R656" s="44"/>
      <c r="S656" s="44"/>
      <c r="T656" s="44"/>
      <c r="U656" s="44"/>
      <c r="V656" s="44"/>
      <c r="W656" s="44"/>
      <c r="X656" s="44"/>
      <c r="Y656" s="44"/>
      <c r="Z656" s="44"/>
      <c r="AA656" s="44"/>
      <c r="AB656" s="44"/>
      <c r="AC656" s="44"/>
      <c r="AD656" s="44"/>
      <c r="AE656" s="44"/>
      <c r="AF656" s="44"/>
    </row>
    <row r="657" spans="1:32" x14ac:dyDescent="0.3">
      <c r="A657" s="38" t="s">
        <v>240</v>
      </c>
      <c r="B657" s="38" t="s">
        <v>174</v>
      </c>
      <c r="C657" s="38" t="s">
        <v>239</v>
      </c>
      <c r="D657" s="39" t="s">
        <v>180</v>
      </c>
      <c r="E657" s="39" t="s">
        <v>177</v>
      </c>
      <c r="F657" s="38" t="s">
        <v>135</v>
      </c>
      <c r="G657" s="38" t="s">
        <v>130</v>
      </c>
      <c r="H657" s="44">
        <v>1536</v>
      </c>
      <c r="I657" s="44">
        <v>1536</v>
      </c>
      <c r="J657" s="44"/>
      <c r="K657" s="44"/>
      <c r="L657" s="44"/>
      <c r="M657" s="44"/>
      <c r="N657" s="44"/>
      <c r="O657" s="44"/>
      <c r="P657" s="44"/>
      <c r="Q657" s="44"/>
      <c r="R657" s="44"/>
      <c r="S657" s="44"/>
      <c r="T657" s="44"/>
      <c r="U657" s="44"/>
      <c r="V657" s="44"/>
      <c r="W657" s="44"/>
      <c r="X657" s="44"/>
      <c r="Y657" s="44"/>
      <c r="Z657" s="44"/>
      <c r="AA657" s="44"/>
      <c r="AB657" s="44"/>
      <c r="AC657" s="44"/>
      <c r="AD657" s="44"/>
      <c r="AE657" s="44"/>
      <c r="AF657" s="44"/>
    </row>
    <row r="658" spans="1:32" x14ac:dyDescent="0.3">
      <c r="A658" s="38" t="s">
        <v>240</v>
      </c>
      <c r="B658" s="38" t="s">
        <v>174</v>
      </c>
      <c r="C658" s="38" t="s">
        <v>239</v>
      </c>
      <c r="D658" s="39" t="s">
        <v>180</v>
      </c>
      <c r="E658" s="39" t="s">
        <v>177</v>
      </c>
      <c r="F658" s="38" t="s">
        <v>136</v>
      </c>
      <c r="G658" s="38" t="s">
        <v>130</v>
      </c>
      <c r="H658" s="44">
        <f>SUM(I658:AF658)</f>
        <v>11520</v>
      </c>
      <c r="I658" s="44">
        <f t="shared" ref="I658:AF658" si="150">IF(AND(ISBLANK(I661) = TRUE,ISBLANK(I660) = TRUE),I659,I660+I661)</f>
        <v>0</v>
      </c>
      <c r="J658" s="44">
        <f t="shared" si="150"/>
        <v>768</v>
      </c>
      <c r="K658" s="44">
        <f t="shared" si="150"/>
        <v>0</v>
      </c>
      <c r="L658" s="44">
        <f t="shared" si="150"/>
        <v>768</v>
      </c>
      <c r="M658" s="44">
        <f t="shared" si="150"/>
        <v>768</v>
      </c>
      <c r="N658" s="44">
        <f t="shared" si="150"/>
        <v>768</v>
      </c>
      <c r="O658" s="44">
        <f t="shared" si="150"/>
        <v>768</v>
      </c>
      <c r="P658" s="44">
        <f t="shared" si="150"/>
        <v>768</v>
      </c>
      <c r="Q658" s="44">
        <f t="shared" si="150"/>
        <v>1536</v>
      </c>
      <c r="R658" s="44">
        <f t="shared" si="150"/>
        <v>1536</v>
      </c>
      <c r="S658" s="44">
        <f t="shared" si="150"/>
        <v>1536</v>
      </c>
      <c r="T658" s="44">
        <f t="shared" si="150"/>
        <v>768</v>
      </c>
      <c r="U658" s="44">
        <f t="shared" si="150"/>
        <v>0</v>
      </c>
      <c r="V658" s="44">
        <f t="shared" si="150"/>
        <v>768</v>
      </c>
      <c r="W658" s="44">
        <f t="shared" si="150"/>
        <v>768</v>
      </c>
      <c r="X658" s="44">
        <f t="shared" si="150"/>
        <v>0</v>
      </c>
      <c r="Y658" s="44">
        <f t="shared" si="150"/>
        <v>0</v>
      </c>
      <c r="Z658" s="44">
        <f t="shared" si="150"/>
        <v>0</v>
      </c>
      <c r="AA658" s="44">
        <f t="shared" si="150"/>
        <v>0</v>
      </c>
      <c r="AB658" s="44">
        <f t="shared" si="150"/>
        <v>0</v>
      </c>
      <c r="AC658" s="44">
        <f t="shared" si="150"/>
        <v>0</v>
      </c>
      <c r="AD658" s="44">
        <f t="shared" si="150"/>
        <v>0</v>
      </c>
      <c r="AE658" s="44">
        <f t="shared" si="150"/>
        <v>0</v>
      </c>
      <c r="AF658" s="44">
        <f t="shared" si="150"/>
        <v>0</v>
      </c>
    </row>
    <row r="659" spans="1:32" x14ac:dyDescent="0.3">
      <c r="A659" s="38" t="s">
        <v>240</v>
      </c>
      <c r="B659" s="38" t="s">
        <v>174</v>
      </c>
      <c r="C659" s="38" t="s">
        <v>239</v>
      </c>
      <c r="D659" s="39" t="s">
        <v>180</v>
      </c>
      <c r="E659" s="39" t="s">
        <v>177</v>
      </c>
      <c r="F659" s="38" t="s">
        <v>124</v>
      </c>
      <c r="G659" s="38" t="s">
        <v>130</v>
      </c>
      <c r="H659" s="44">
        <v>11520</v>
      </c>
      <c r="I659" s="44"/>
      <c r="J659" s="44">
        <v>768</v>
      </c>
      <c r="K659" s="44"/>
      <c r="L659" s="44">
        <v>768</v>
      </c>
      <c r="M659" s="44">
        <v>768</v>
      </c>
      <c r="N659" s="44">
        <v>768</v>
      </c>
      <c r="O659" s="44">
        <v>768</v>
      </c>
      <c r="P659" s="44">
        <v>768</v>
      </c>
      <c r="Q659" s="44">
        <v>1536</v>
      </c>
      <c r="R659" s="44">
        <v>1536</v>
      </c>
      <c r="S659" s="44">
        <v>1536</v>
      </c>
      <c r="T659" s="44">
        <v>768</v>
      </c>
      <c r="U659" s="44"/>
      <c r="V659" s="44">
        <v>768</v>
      </c>
      <c r="W659" s="44">
        <v>768</v>
      </c>
      <c r="X659" s="44"/>
      <c r="Y659" s="44"/>
      <c r="Z659" s="44"/>
      <c r="AA659" s="44"/>
      <c r="AB659" s="44"/>
      <c r="AC659" s="44"/>
      <c r="AD659" s="44"/>
      <c r="AE659" s="44"/>
      <c r="AF659" s="44"/>
    </row>
    <row r="660" spans="1:32" x14ac:dyDescent="0.3">
      <c r="A660" s="38" t="s">
        <v>240</v>
      </c>
      <c r="B660" s="38" t="s">
        <v>174</v>
      </c>
      <c r="C660" s="38" t="s">
        <v>239</v>
      </c>
      <c r="D660" s="39" t="s">
        <v>180</v>
      </c>
      <c r="E660" s="39" t="s">
        <v>177</v>
      </c>
      <c r="F660" s="38" t="s">
        <v>137</v>
      </c>
      <c r="G660" s="38" t="s">
        <v>130</v>
      </c>
      <c r="H660" s="44">
        <f>SUM(I660:AF660)</f>
        <v>0</v>
      </c>
      <c r="I660" s="44"/>
      <c r="J660" s="44"/>
      <c r="K660" s="44"/>
      <c r="L660" s="44"/>
      <c r="M660" s="44"/>
      <c r="N660" s="44"/>
      <c r="O660" s="44"/>
      <c r="P660" s="44"/>
      <c r="Q660" s="44"/>
      <c r="R660" s="44"/>
      <c r="S660" s="44"/>
      <c r="T660" s="44"/>
      <c r="U660" s="44"/>
      <c r="V660" s="44"/>
      <c r="W660" s="44"/>
      <c r="X660" s="44"/>
      <c r="Y660" s="44"/>
      <c r="Z660" s="44"/>
      <c r="AA660" s="44"/>
      <c r="AB660" s="44"/>
      <c r="AC660" s="44"/>
      <c r="AD660" s="44"/>
      <c r="AE660" s="44"/>
      <c r="AF660" s="44"/>
    </row>
    <row r="661" spans="1:32" x14ac:dyDescent="0.3">
      <c r="A661" s="38" t="s">
        <v>240</v>
      </c>
      <c r="B661" s="38" t="s">
        <v>174</v>
      </c>
      <c r="C661" s="38" t="s">
        <v>239</v>
      </c>
      <c r="D661" s="39" t="s">
        <v>180</v>
      </c>
      <c r="E661" s="39" t="s">
        <v>177</v>
      </c>
      <c r="F661" s="38" t="s">
        <v>138</v>
      </c>
      <c r="G661" s="38" t="s">
        <v>130</v>
      </c>
      <c r="H661" s="44">
        <f>SUM(I661:AF661)</f>
        <v>0</v>
      </c>
      <c r="I661" s="44"/>
      <c r="J661" s="44"/>
      <c r="K661" s="44"/>
      <c r="L661" s="44"/>
      <c r="M661" s="44"/>
      <c r="N661" s="44"/>
      <c r="O661" s="44"/>
      <c r="P661" s="44"/>
      <c r="Q661" s="44"/>
      <c r="R661" s="44"/>
      <c r="S661" s="44"/>
      <c r="T661" s="44"/>
      <c r="U661" s="44"/>
      <c r="V661" s="44"/>
      <c r="W661" s="44"/>
      <c r="X661" s="44"/>
      <c r="Y661" s="44"/>
      <c r="Z661" s="44"/>
      <c r="AA661" s="44"/>
      <c r="AB661" s="44"/>
      <c r="AC661" s="44"/>
      <c r="AD661" s="44"/>
      <c r="AE661" s="44"/>
      <c r="AF661" s="44"/>
    </row>
    <row r="662" spans="1:32" x14ac:dyDescent="0.3">
      <c r="A662" s="38" t="s">
        <v>240</v>
      </c>
      <c r="B662" s="38" t="s">
        <v>174</v>
      </c>
      <c r="C662" s="38" t="s">
        <v>239</v>
      </c>
      <c r="D662" s="39" t="s">
        <v>180</v>
      </c>
      <c r="E662" s="39" t="s">
        <v>177</v>
      </c>
      <c r="F662" s="38" t="s">
        <v>139</v>
      </c>
      <c r="G662" s="38" t="s">
        <v>130</v>
      </c>
      <c r="H662" s="44">
        <v>11520</v>
      </c>
      <c r="I662" s="44"/>
      <c r="J662" s="44">
        <v>768</v>
      </c>
      <c r="K662" s="44"/>
      <c r="L662" s="44">
        <v>768</v>
      </c>
      <c r="M662" s="44">
        <v>768</v>
      </c>
      <c r="N662" s="44">
        <v>768</v>
      </c>
      <c r="O662" s="44">
        <v>768</v>
      </c>
      <c r="P662" s="44">
        <v>768</v>
      </c>
      <c r="Q662" s="44">
        <v>1536</v>
      </c>
      <c r="R662" s="44">
        <v>1536</v>
      </c>
      <c r="S662" s="44">
        <v>1536</v>
      </c>
      <c r="T662" s="44">
        <v>768</v>
      </c>
      <c r="U662" s="44"/>
      <c r="V662" s="44">
        <v>768</v>
      </c>
      <c r="W662" s="44">
        <v>768</v>
      </c>
      <c r="X662" s="44"/>
      <c r="Y662" s="44"/>
      <c r="Z662" s="44"/>
      <c r="AA662" s="44"/>
      <c r="AB662" s="44"/>
      <c r="AC662" s="44"/>
      <c r="AD662" s="44"/>
      <c r="AE662" s="44"/>
      <c r="AF662" s="44"/>
    </row>
    <row r="663" spans="1:32" x14ac:dyDescent="0.3">
      <c r="A663" s="38" t="s">
        <v>240</v>
      </c>
      <c r="B663" s="38" t="s">
        <v>174</v>
      </c>
      <c r="C663" s="38" t="s">
        <v>239</v>
      </c>
      <c r="D663" s="39" t="s">
        <v>180</v>
      </c>
      <c r="E663" s="39" t="s">
        <v>177</v>
      </c>
      <c r="F663" s="38" t="s">
        <v>140</v>
      </c>
      <c r="G663" s="38" t="s">
        <v>130</v>
      </c>
      <c r="H663" s="44"/>
      <c r="I663" s="44">
        <f>I658-(I653+I652)+(I657+I656+I655+I654)</f>
        <v>-61106</v>
      </c>
      <c r="J663" s="44">
        <f t="shared" ref="J663:AF663" si="151">I663+J658-J653</f>
        <v>-63533</v>
      </c>
      <c r="K663" s="44">
        <f t="shared" si="151"/>
        <v>-66171</v>
      </c>
      <c r="L663" s="44">
        <f t="shared" si="151"/>
        <v>-68121</v>
      </c>
      <c r="M663" s="44">
        <f t="shared" si="151"/>
        <v>-68559</v>
      </c>
      <c r="N663" s="44">
        <f t="shared" si="151"/>
        <v>-104188</v>
      </c>
      <c r="O663" s="44">
        <f t="shared" si="151"/>
        <v>-104097</v>
      </c>
      <c r="P663" s="44">
        <f t="shared" si="151"/>
        <v>-104035</v>
      </c>
      <c r="Q663" s="44">
        <f t="shared" si="151"/>
        <v>-103283</v>
      </c>
      <c r="R663" s="44">
        <f t="shared" si="151"/>
        <v>-132577</v>
      </c>
      <c r="S663" s="44">
        <f t="shared" si="151"/>
        <v>-131843</v>
      </c>
      <c r="T663" s="44">
        <f t="shared" si="151"/>
        <v>-131817</v>
      </c>
      <c r="U663" s="44">
        <f t="shared" si="151"/>
        <v>-132590</v>
      </c>
      <c r="V663" s="44">
        <f t="shared" si="151"/>
        <v>-154783</v>
      </c>
      <c r="W663" s="44">
        <f t="shared" si="151"/>
        <v>-154925</v>
      </c>
      <c r="X663" s="44">
        <f t="shared" si="151"/>
        <v>-155834</v>
      </c>
      <c r="Y663" s="44">
        <f t="shared" si="151"/>
        <v>-156746</v>
      </c>
      <c r="Z663" s="44">
        <f t="shared" si="151"/>
        <v>-157734</v>
      </c>
      <c r="AA663" s="44">
        <f t="shared" si="151"/>
        <v>-178524</v>
      </c>
      <c r="AB663" s="44">
        <f t="shared" si="151"/>
        <v>-179312</v>
      </c>
      <c r="AC663" s="44">
        <f t="shared" si="151"/>
        <v>-180032</v>
      </c>
      <c r="AD663" s="44">
        <f t="shared" si="151"/>
        <v>-180790</v>
      </c>
      <c r="AE663" s="44">
        <f t="shared" si="151"/>
        <v>-181430</v>
      </c>
      <c r="AF663" s="44">
        <f t="shared" si="151"/>
        <v>-182070</v>
      </c>
    </row>
    <row r="664" spans="1:32" ht="15" thickBot="1" x14ac:dyDescent="0.35">
      <c r="A664" s="40" t="s">
        <v>240</v>
      </c>
      <c r="B664" s="40" t="s">
        <v>174</v>
      </c>
      <c r="C664" s="40" t="s">
        <v>239</v>
      </c>
      <c r="D664" s="41" t="s">
        <v>180</v>
      </c>
      <c r="E664" s="41" t="s">
        <v>177</v>
      </c>
      <c r="F664" s="40" t="s">
        <v>141</v>
      </c>
      <c r="G664" s="40" t="s">
        <v>130</v>
      </c>
      <c r="H664" s="45"/>
      <c r="I664" s="45">
        <f>I658-I662</f>
        <v>0</v>
      </c>
      <c r="J664" s="45">
        <f t="shared" ref="J664:AF664" si="152">I664+J658-J662</f>
        <v>0</v>
      </c>
      <c r="K664" s="45">
        <f t="shared" si="152"/>
        <v>0</v>
      </c>
      <c r="L664" s="45">
        <f t="shared" si="152"/>
        <v>0</v>
      </c>
      <c r="M664" s="45">
        <f t="shared" si="152"/>
        <v>0</v>
      </c>
      <c r="N664" s="45">
        <f t="shared" si="152"/>
        <v>0</v>
      </c>
      <c r="O664" s="45">
        <f t="shared" si="152"/>
        <v>0</v>
      </c>
      <c r="P664" s="45">
        <f t="shared" si="152"/>
        <v>0</v>
      </c>
      <c r="Q664" s="45">
        <f t="shared" si="152"/>
        <v>0</v>
      </c>
      <c r="R664" s="45">
        <f t="shared" si="152"/>
        <v>0</v>
      </c>
      <c r="S664" s="45">
        <f t="shared" si="152"/>
        <v>0</v>
      </c>
      <c r="T664" s="45">
        <f t="shared" si="152"/>
        <v>0</v>
      </c>
      <c r="U664" s="45">
        <f t="shared" si="152"/>
        <v>0</v>
      </c>
      <c r="V664" s="45">
        <f t="shared" si="152"/>
        <v>0</v>
      </c>
      <c r="W664" s="45">
        <f t="shared" si="152"/>
        <v>0</v>
      </c>
      <c r="X664" s="45">
        <f t="shared" si="152"/>
        <v>0</v>
      </c>
      <c r="Y664" s="45">
        <f t="shared" si="152"/>
        <v>0</v>
      </c>
      <c r="Z664" s="45">
        <f t="shared" si="152"/>
        <v>0</v>
      </c>
      <c r="AA664" s="45">
        <f t="shared" si="152"/>
        <v>0</v>
      </c>
      <c r="AB664" s="45">
        <f t="shared" si="152"/>
        <v>0</v>
      </c>
      <c r="AC664" s="45">
        <f t="shared" si="152"/>
        <v>0</v>
      </c>
      <c r="AD664" s="45">
        <f t="shared" si="152"/>
        <v>0</v>
      </c>
      <c r="AE664" s="45">
        <f t="shared" si="152"/>
        <v>0</v>
      </c>
      <c r="AF664" s="45">
        <f t="shared" si="152"/>
        <v>0</v>
      </c>
    </row>
    <row r="665" spans="1:32" x14ac:dyDescent="0.3">
      <c r="A665" s="38" t="s">
        <v>241</v>
      </c>
      <c r="B665" s="38" t="s">
        <v>174</v>
      </c>
      <c r="C665" s="38" t="s">
        <v>242</v>
      </c>
      <c r="D665" s="39" t="s">
        <v>183</v>
      </c>
      <c r="E665" s="39" t="s">
        <v>195</v>
      </c>
      <c r="F665" s="38" t="s">
        <v>129</v>
      </c>
      <c r="G665" s="38" t="s">
        <v>130</v>
      </c>
      <c r="H665" s="44">
        <v>1812</v>
      </c>
      <c r="I665" s="44">
        <v>1812</v>
      </c>
      <c r="J665" s="44"/>
      <c r="K665" s="44"/>
      <c r="L665" s="44"/>
      <c r="M665" s="44"/>
      <c r="N665" s="44"/>
      <c r="O665" s="44"/>
      <c r="P665" s="44"/>
      <c r="Q665" s="44"/>
      <c r="R665" s="44"/>
      <c r="S665" s="44"/>
      <c r="T665" s="44"/>
      <c r="U665" s="44"/>
      <c r="V665" s="44"/>
      <c r="W665" s="44"/>
      <c r="X665" s="44"/>
      <c r="Y665" s="44"/>
      <c r="Z665" s="44"/>
      <c r="AA665" s="44"/>
      <c r="AB665" s="44"/>
      <c r="AC665" s="44"/>
      <c r="AD665" s="44"/>
      <c r="AE665" s="44"/>
      <c r="AF665" s="44"/>
    </row>
    <row r="666" spans="1:32" x14ac:dyDescent="0.3">
      <c r="A666" s="38" t="s">
        <v>241</v>
      </c>
      <c r="B666" s="38" t="s">
        <v>174</v>
      </c>
      <c r="C666" s="38" t="s">
        <v>242</v>
      </c>
      <c r="D666" s="39" t="s">
        <v>183</v>
      </c>
      <c r="E666" s="39" t="s">
        <v>195</v>
      </c>
      <c r="F666" s="38" t="s">
        <v>131</v>
      </c>
      <c r="G666" s="38" t="s">
        <v>130</v>
      </c>
      <c r="H666" s="44">
        <v>10224</v>
      </c>
      <c r="I666" s="44">
        <v>1157</v>
      </c>
      <c r="J666" s="44">
        <v>603</v>
      </c>
      <c r="K666" s="44">
        <v>535</v>
      </c>
      <c r="L666" s="44">
        <v>549</v>
      </c>
      <c r="M666" s="44">
        <v>560</v>
      </c>
      <c r="N666" s="44">
        <v>550</v>
      </c>
      <c r="O666" s="44">
        <v>547</v>
      </c>
      <c r="P666" s="44">
        <v>480</v>
      </c>
      <c r="Q666" s="44">
        <v>450</v>
      </c>
      <c r="R666" s="44">
        <v>465</v>
      </c>
      <c r="S666" s="44">
        <v>464</v>
      </c>
      <c r="T666" s="44">
        <v>464</v>
      </c>
      <c r="U666" s="44">
        <v>451</v>
      </c>
      <c r="V666" s="44">
        <v>373</v>
      </c>
      <c r="W666" s="44">
        <v>373</v>
      </c>
      <c r="X666" s="44">
        <v>372</v>
      </c>
      <c r="Y666" s="44">
        <v>372</v>
      </c>
      <c r="Z666" s="44">
        <v>347</v>
      </c>
      <c r="AA666" s="44">
        <v>339</v>
      </c>
      <c r="AB666" s="44">
        <v>339</v>
      </c>
      <c r="AC666" s="44">
        <v>338</v>
      </c>
      <c r="AD666" s="44">
        <v>96</v>
      </c>
      <c r="AE666" s="44">
        <v>0</v>
      </c>
      <c r="AF666" s="44">
        <v>0</v>
      </c>
    </row>
    <row r="667" spans="1:32" x14ac:dyDescent="0.3">
      <c r="A667" s="38" t="s">
        <v>241</v>
      </c>
      <c r="B667" s="38" t="s">
        <v>174</v>
      </c>
      <c r="C667" s="38" t="s">
        <v>242</v>
      </c>
      <c r="D667" s="39" t="s">
        <v>183</v>
      </c>
      <c r="E667" s="39" t="s">
        <v>195</v>
      </c>
      <c r="F667" s="38" t="s">
        <v>132</v>
      </c>
      <c r="G667" s="38" t="s">
        <v>130</v>
      </c>
      <c r="H667" s="44">
        <v>22500</v>
      </c>
      <c r="I667" s="44">
        <v>22500</v>
      </c>
      <c r="J667" s="44"/>
      <c r="K667" s="44"/>
      <c r="L667" s="44"/>
      <c r="M667" s="44"/>
      <c r="N667" s="44"/>
      <c r="O667" s="44"/>
      <c r="P667" s="44"/>
      <c r="Q667" s="44"/>
      <c r="R667" s="44"/>
      <c r="S667" s="44"/>
      <c r="T667" s="44"/>
      <c r="U667" s="44"/>
      <c r="V667" s="44"/>
      <c r="W667" s="44"/>
      <c r="X667" s="44"/>
      <c r="Y667" s="44"/>
      <c r="Z667" s="44"/>
      <c r="AA667" s="44"/>
      <c r="AB667" s="44"/>
      <c r="AC667" s="44"/>
      <c r="AD667" s="44"/>
      <c r="AE667" s="44"/>
      <c r="AF667" s="44"/>
    </row>
    <row r="668" spans="1:32" x14ac:dyDescent="0.3">
      <c r="A668" s="38" t="s">
        <v>241</v>
      </c>
      <c r="B668" s="38" t="s">
        <v>174</v>
      </c>
      <c r="C668" s="38" t="s">
        <v>242</v>
      </c>
      <c r="D668" s="39" t="s">
        <v>183</v>
      </c>
      <c r="E668" s="39" t="s">
        <v>195</v>
      </c>
      <c r="F668" s="38" t="s">
        <v>133</v>
      </c>
      <c r="G668" s="38" t="s">
        <v>130</v>
      </c>
      <c r="H668" s="44">
        <v>0</v>
      </c>
      <c r="I668" s="44">
        <v>0</v>
      </c>
      <c r="J668" s="44"/>
      <c r="K668" s="44"/>
      <c r="L668" s="44"/>
      <c r="M668" s="44"/>
      <c r="N668" s="44"/>
      <c r="O668" s="44"/>
      <c r="P668" s="44"/>
      <c r="Q668" s="44"/>
      <c r="R668" s="44"/>
      <c r="S668" s="44"/>
      <c r="T668" s="44"/>
      <c r="U668" s="44"/>
      <c r="V668" s="44"/>
      <c r="W668" s="44"/>
      <c r="X668" s="44"/>
      <c r="Y668" s="44"/>
      <c r="Z668" s="44"/>
      <c r="AA668" s="44"/>
      <c r="AB668" s="44"/>
      <c r="AC668" s="44"/>
      <c r="AD668" s="44"/>
      <c r="AE668" s="44"/>
      <c r="AF668" s="44"/>
    </row>
    <row r="669" spans="1:32" x14ac:dyDescent="0.3">
      <c r="A669" s="38" t="s">
        <v>241</v>
      </c>
      <c r="B669" s="38" t="s">
        <v>174</v>
      </c>
      <c r="C669" s="38" t="s">
        <v>242</v>
      </c>
      <c r="D669" s="39" t="s">
        <v>183</v>
      </c>
      <c r="E669" s="39" t="s">
        <v>195</v>
      </c>
      <c r="F669" s="38" t="s">
        <v>134</v>
      </c>
      <c r="G669" s="38" t="s">
        <v>130</v>
      </c>
      <c r="H669" s="44">
        <v>3860</v>
      </c>
      <c r="I669" s="44">
        <v>3860</v>
      </c>
      <c r="J669" s="44"/>
      <c r="K669" s="44"/>
      <c r="L669" s="44"/>
      <c r="M669" s="44"/>
      <c r="N669" s="44"/>
      <c r="O669" s="44"/>
      <c r="P669" s="44"/>
      <c r="Q669" s="44"/>
      <c r="R669" s="44"/>
      <c r="S669" s="44"/>
      <c r="T669" s="44"/>
      <c r="U669" s="44"/>
      <c r="V669" s="44"/>
      <c r="W669" s="44"/>
      <c r="X669" s="44"/>
      <c r="Y669" s="44"/>
      <c r="Z669" s="44"/>
      <c r="AA669" s="44"/>
      <c r="AB669" s="44"/>
      <c r="AC669" s="44"/>
      <c r="AD669" s="44"/>
      <c r="AE669" s="44"/>
      <c r="AF669" s="44"/>
    </row>
    <row r="670" spans="1:32" x14ac:dyDescent="0.3">
      <c r="A670" s="38" t="s">
        <v>241</v>
      </c>
      <c r="B670" s="38" t="s">
        <v>174</v>
      </c>
      <c r="C670" s="38" t="s">
        <v>242</v>
      </c>
      <c r="D670" s="39" t="s">
        <v>183</v>
      </c>
      <c r="E670" s="39" t="s">
        <v>195</v>
      </c>
      <c r="F670" s="38" t="s">
        <v>135</v>
      </c>
      <c r="G670" s="38" t="s">
        <v>130</v>
      </c>
      <c r="H670" s="44"/>
      <c r="I670" s="44"/>
      <c r="J670" s="44"/>
      <c r="K670" s="44"/>
      <c r="L670" s="44"/>
      <c r="M670" s="44"/>
      <c r="N670" s="44"/>
      <c r="O670" s="44"/>
      <c r="P670" s="44"/>
      <c r="Q670" s="44"/>
      <c r="R670" s="44"/>
      <c r="S670" s="44"/>
      <c r="T670" s="44"/>
      <c r="U670" s="44"/>
      <c r="V670" s="44"/>
      <c r="W670" s="44"/>
      <c r="X670" s="44"/>
      <c r="Y670" s="44"/>
      <c r="Z670" s="44"/>
      <c r="AA670" s="44"/>
      <c r="AB670" s="44"/>
      <c r="AC670" s="44"/>
      <c r="AD670" s="44"/>
      <c r="AE670" s="44"/>
      <c r="AF670" s="44"/>
    </row>
    <row r="671" spans="1:32" x14ac:dyDescent="0.3">
      <c r="A671" s="38" t="s">
        <v>241</v>
      </c>
      <c r="B671" s="38" t="s">
        <v>174</v>
      </c>
      <c r="C671" s="38" t="s">
        <v>242</v>
      </c>
      <c r="D671" s="39" t="s">
        <v>183</v>
      </c>
      <c r="E671" s="39" t="s">
        <v>195</v>
      </c>
      <c r="F671" s="38" t="s">
        <v>136</v>
      </c>
      <c r="G671" s="38" t="s">
        <v>130</v>
      </c>
      <c r="H671" s="44">
        <f>SUM(I671:AF671)</f>
        <v>28800</v>
      </c>
      <c r="I671" s="44">
        <f t="shared" ref="I671:AF671" si="153">IF(AND(ISBLANK(I674) = TRUE,ISBLANK(I673) = TRUE),I672,I673+I674)</f>
        <v>0</v>
      </c>
      <c r="J671" s="44">
        <f t="shared" si="153"/>
        <v>0</v>
      </c>
      <c r="K671" s="44">
        <f t="shared" si="153"/>
        <v>0</v>
      </c>
      <c r="L671" s="44">
        <f t="shared" si="153"/>
        <v>0</v>
      </c>
      <c r="M671" s="44">
        <f t="shared" si="153"/>
        <v>7200</v>
      </c>
      <c r="N671" s="44">
        <f t="shared" si="153"/>
        <v>0</v>
      </c>
      <c r="O671" s="44">
        <f t="shared" si="153"/>
        <v>7200</v>
      </c>
      <c r="P671" s="44">
        <f t="shared" si="153"/>
        <v>0</v>
      </c>
      <c r="Q671" s="44">
        <f t="shared" si="153"/>
        <v>0</v>
      </c>
      <c r="R671" s="44">
        <f t="shared" si="153"/>
        <v>7200</v>
      </c>
      <c r="S671" s="44">
        <f t="shared" si="153"/>
        <v>0</v>
      </c>
      <c r="T671" s="44">
        <f t="shared" si="153"/>
        <v>0</v>
      </c>
      <c r="U671" s="44">
        <f t="shared" si="153"/>
        <v>7200</v>
      </c>
      <c r="V671" s="44">
        <f t="shared" si="153"/>
        <v>0</v>
      </c>
      <c r="W671" s="44">
        <f t="shared" si="153"/>
        <v>0</v>
      </c>
      <c r="X671" s="44">
        <f t="shared" si="153"/>
        <v>0</v>
      </c>
      <c r="Y671" s="44">
        <f t="shared" si="153"/>
        <v>0</v>
      </c>
      <c r="Z671" s="44">
        <f t="shared" si="153"/>
        <v>0</v>
      </c>
      <c r="AA671" s="44">
        <f t="shared" si="153"/>
        <v>0</v>
      </c>
      <c r="AB671" s="44">
        <f t="shared" si="153"/>
        <v>0</v>
      </c>
      <c r="AC671" s="44">
        <f t="shared" si="153"/>
        <v>0</v>
      </c>
      <c r="AD671" s="44">
        <f t="shared" si="153"/>
        <v>0</v>
      </c>
      <c r="AE671" s="44">
        <f t="shared" si="153"/>
        <v>0</v>
      </c>
      <c r="AF671" s="44">
        <f t="shared" si="153"/>
        <v>0</v>
      </c>
    </row>
    <row r="672" spans="1:32" x14ac:dyDescent="0.3">
      <c r="A672" s="38" t="s">
        <v>241</v>
      </c>
      <c r="B672" s="38" t="s">
        <v>174</v>
      </c>
      <c r="C672" s="38" t="s">
        <v>242</v>
      </c>
      <c r="D672" s="39" t="s">
        <v>183</v>
      </c>
      <c r="E672" s="39" t="s">
        <v>195</v>
      </c>
      <c r="F672" s="38" t="s">
        <v>124</v>
      </c>
      <c r="G672" s="38" t="s">
        <v>130</v>
      </c>
      <c r="H672" s="44">
        <v>28800</v>
      </c>
      <c r="I672" s="44"/>
      <c r="J672" s="44"/>
      <c r="K672" s="44"/>
      <c r="L672" s="44"/>
      <c r="M672" s="44">
        <v>7200</v>
      </c>
      <c r="N672" s="44"/>
      <c r="O672" s="44">
        <v>7200</v>
      </c>
      <c r="P672" s="44"/>
      <c r="Q672" s="44"/>
      <c r="R672" s="44">
        <v>7200</v>
      </c>
      <c r="S672" s="44"/>
      <c r="T672" s="44"/>
      <c r="U672" s="44">
        <v>7200</v>
      </c>
      <c r="V672" s="44"/>
      <c r="W672" s="44"/>
      <c r="X672" s="44"/>
      <c r="Y672" s="44"/>
      <c r="Z672" s="44"/>
      <c r="AA672" s="44"/>
      <c r="AB672" s="44"/>
      <c r="AC672" s="44"/>
      <c r="AD672" s="44"/>
      <c r="AE672" s="44"/>
      <c r="AF672" s="44"/>
    </row>
    <row r="673" spans="1:32" x14ac:dyDescent="0.3">
      <c r="A673" s="38" t="s">
        <v>241</v>
      </c>
      <c r="B673" s="38" t="s">
        <v>174</v>
      </c>
      <c r="C673" s="38" t="s">
        <v>242</v>
      </c>
      <c r="D673" s="39" t="s">
        <v>183</v>
      </c>
      <c r="E673" s="39" t="s">
        <v>195</v>
      </c>
      <c r="F673" s="38" t="s">
        <v>137</v>
      </c>
      <c r="G673" s="38" t="s">
        <v>130</v>
      </c>
      <c r="H673" s="44">
        <f>SUM(I673:AF673)</f>
        <v>0</v>
      </c>
      <c r="I673" s="44"/>
      <c r="J673" s="44"/>
      <c r="K673" s="44"/>
      <c r="L673" s="44"/>
      <c r="M673" s="44"/>
      <c r="N673" s="44"/>
      <c r="O673" s="44"/>
      <c r="P673" s="44"/>
      <c r="Q673" s="44"/>
      <c r="R673" s="44"/>
      <c r="S673" s="44"/>
      <c r="T673" s="44"/>
      <c r="U673" s="44"/>
      <c r="V673" s="44"/>
      <c r="W673" s="44"/>
      <c r="X673" s="44"/>
      <c r="Y673" s="44"/>
      <c r="Z673" s="44"/>
      <c r="AA673" s="44"/>
      <c r="AB673" s="44"/>
      <c r="AC673" s="44"/>
      <c r="AD673" s="44"/>
      <c r="AE673" s="44"/>
      <c r="AF673" s="44"/>
    </row>
    <row r="674" spans="1:32" x14ac:dyDescent="0.3">
      <c r="A674" s="38" t="s">
        <v>241</v>
      </c>
      <c r="B674" s="38" t="s">
        <v>174</v>
      </c>
      <c r="C674" s="38" t="s">
        <v>242</v>
      </c>
      <c r="D674" s="39" t="s">
        <v>183</v>
      </c>
      <c r="E674" s="39" t="s">
        <v>195</v>
      </c>
      <c r="F674" s="38" t="s">
        <v>138</v>
      </c>
      <c r="G674" s="38" t="s">
        <v>130</v>
      </c>
      <c r="H674" s="44">
        <f>SUM(I674:AF674)</f>
        <v>0</v>
      </c>
      <c r="I674" s="44"/>
      <c r="J674" s="44"/>
      <c r="K674" s="44"/>
      <c r="L674" s="44"/>
      <c r="M674" s="44"/>
      <c r="N674" s="44"/>
      <c r="O674" s="44"/>
      <c r="P674" s="44"/>
      <c r="Q674" s="44"/>
      <c r="R674" s="44"/>
      <c r="S674" s="44"/>
      <c r="T674" s="44"/>
      <c r="U674" s="44"/>
      <c r="V674" s="44"/>
      <c r="W674" s="44"/>
      <c r="X674" s="44"/>
      <c r="Y674" s="44"/>
      <c r="Z674" s="44"/>
      <c r="AA674" s="44"/>
      <c r="AB674" s="44"/>
      <c r="AC674" s="44"/>
      <c r="AD674" s="44"/>
      <c r="AE674" s="44"/>
      <c r="AF674" s="44"/>
    </row>
    <row r="675" spans="1:32" x14ac:dyDescent="0.3">
      <c r="A675" s="38" t="s">
        <v>241</v>
      </c>
      <c r="B675" s="38" t="s">
        <v>174</v>
      </c>
      <c r="C675" s="38" t="s">
        <v>242</v>
      </c>
      <c r="D675" s="39" t="s">
        <v>183</v>
      </c>
      <c r="E675" s="39" t="s">
        <v>195</v>
      </c>
      <c r="F675" s="38" t="s">
        <v>139</v>
      </c>
      <c r="G675" s="38" t="s">
        <v>130</v>
      </c>
      <c r="H675" s="44">
        <v>28800</v>
      </c>
      <c r="I675" s="44"/>
      <c r="J675" s="44"/>
      <c r="K675" s="44"/>
      <c r="L675" s="44"/>
      <c r="M675" s="44">
        <v>7200</v>
      </c>
      <c r="N675" s="44"/>
      <c r="O675" s="44">
        <v>7200</v>
      </c>
      <c r="P675" s="44"/>
      <c r="Q675" s="44"/>
      <c r="R675" s="44">
        <v>7200</v>
      </c>
      <c r="S675" s="44"/>
      <c r="T675" s="44"/>
      <c r="U675" s="44">
        <v>7200</v>
      </c>
      <c r="V675" s="44"/>
      <c r="W675" s="44"/>
      <c r="X675" s="44"/>
      <c r="Y675" s="44"/>
      <c r="Z675" s="44"/>
      <c r="AA675" s="44"/>
      <c r="AB675" s="44"/>
      <c r="AC675" s="44"/>
      <c r="AD675" s="44"/>
      <c r="AE675" s="44"/>
      <c r="AF675" s="44"/>
    </row>
    <row r="676" spans="1:32" x14ac:dyDescent="0.3">
      <c r="A676" s="38" t="s">
        <v>241</v>
      </c>
      <c r="B676" s="38" t="s">
        <v>174</v>
      </c>
      <c r="C676" s="38" t="s">
        <v>242</v>
      </c>
      <c r="D676" s="39" t="s">
        <v>183</v>
      </c>
      <c r="E676" s="39" t="s">
        <v>195</v>
      </c>
      <c r="F676" s="38" t="s">
        <v>140</v>
      </c>
      <c r="G676" s="38" t="s">
        <v>130</v>
      </c>
      <c r="H676" s="44"/>
      <c r="I676" s="44">
        <f>I671-(I666+I665)+(I670+I669+I668+I667)</f>
        <v>23391</v>
      </c>
      <c r="J676" s="44">
        <f t="shared" ref="J676:AF676" si="154">I676+J671-J666</f>
        <v>22788</v>
      </c>
      <c r="K676" s="44">
        <f t="shared" si="154"/>
        <v>22253</v>
      </c>
      <c r="L676" s="44">
        <f t="shared" si="154"/>
        <v>21704</v>
      </c>
      <c r="M676" s="44">
        <f t="shared" si="154"/>
        <v>28344</v>
      </c>
      <c r="N676" s="44">
        <f t="shared" si="154"/>
        <v>27794</v>
      </c>
      <c r="O676" s="44">
        <f t="shared" si="154"/>
        <v>34447</v>
      </c>
      <c r="P676" s="44">
        <f t="shared" si="154"/>
        <v>33967</v>
      </c>
      <c r="Q676" s="44">
        <f t="shared" si="154"/>
        <v>33517</v>
      </c>
      <c r="R676" s="44">
        <f t="shared" si="154"/>
        <v>40252</v>
      </c>
      <c r="S676" s="44">
        <f t="shared" si="154"/>
        <v>39788</v>
      </c>
      <c r="T676" s="44">
        <f t="shared" si="154"/>
        <v>39324</v>
      </c>
      <c r="U676" s="44">
        <f t="shared" si="154"/>
        <v>46073</v>
      </c>
      <c r="V676" s="44">
        <f t="shared" si="154"/>
        <v>45700</v>
      </c>
      <c r="W676" s="44">
        <f t="shared" si="154"/>
        <v>45327</v>
      </c>
      <c r="X676" s="44">
        <f t="shared" si="154"/>
        <v>44955</v>
      </c>
      <c r="Y676" s="44">
        <f t="shared" si="154"/>
        <v>44583</v>
      </c>
      <c r="Z676" s="44">
        <f t="shared" si="154"/>
        <v>44236</v>
      </c>
      <c r="AA676" s="44">
        <f t="shared" si="154"/>
        <v>43897</v>
      </c>
      <c r="AB676" s="44">
        <f t="shared" si="154"/>
        <v>43558</v>
      </c>
      <c r="AC676" s="44">
        <f t="shared" si="154"/>
        <v>43220</v>
      </c>
      <c r="AD676" s="44">
        <f t="shared" si="154"/>
        <v>43124</v>
      </c>
      <c r="AE676" s="44">
        <f t="shared" si="154"/>
        <v>43124</v>
      </c>
      <c r="AF676" s="44">
        <f t="shared" si="154"/>
        <v>43124</v>
      </c>
    </row>
    <row r="677" spans="1:32" ht="15" thickBot="1" x14ac:dyDescent="0.35">
      <c r="A677" s="40" t="s">
        <v>241</v>
      </c>
      <c r="B677" s="40" t="s">
        <v>174</v>
      </c>
      <c r="C677" s="40" t="s">
        <v>242</v>
      </c>
      <c r="D677" s="41" t="s">
        <v>183</v>
      </c>
      <c r="E677" s="41" t="s">
        <v>195</v>
      </c>
      <c r="F677" s="40" t="s">
        <v>141</v>
      </c>
      <c r="G677" s="40" t="s">
        <v>130</v>
      </c>
      <c r="H677" s="45"/>
      <c r="I677" s="45">
        <f>I671-I675</f>
        <v>0</v>
      </c>
      <c r="J677" s="45">
        <f t="shared" ref="J677:AF677" si="155">I677+J671-J675</f>
        <v>0</v>
      </c>
      <c r="K677" s="45">
        <f t="shared" si="155"/>
        <v>0</v>
      </c>
      <c r="L677" s="45">
        <f t="shared" si="155"/>
        <v>0</v>
      </c>
      <c r="M677" s="45">
        <f t="shared" si="155"/>
        <v>0</v>
      </c>
      <c r="N677" s="45">
        <f t="shared" si="155"/>
        <v>0</v>
      </c>
      <c r="O677" s="45">
        <f t="shared" si="155"/>
        <v>0</v>
      </c>
      <c r="P677" s="45">
        <f t="shared" si="155"/>
        <v>0</v>
      </c>
      <c r="Q677" s="45">
        <f t="shared" si="155"/>
        <v>0</v>
      </c>
      <c r="R677" s="45">
        <f t="shared" si="155"/>
        <v>0</v>
      </c>
      <c r="S677" s="45">
        <f t="shared" si="155"/>
        <v>0</v>
      </c>
      <c r="T677" s="45">
        <f t="shared" si="155"/>
        <v>0</v>
      </c>
      <c r="U677" s="45">
        <f t="shared" si="155"/>
        <v>0</v>
      </c>
      <c r="V677" s="45">
        <f t="shared" si="155"/>
        <v>0</v>
      </c>
      <c r="W677" s="45">
        <f t="shared" si="155"/>
        <v>0</v>
      </c>
      <c r="X677" s="45">
        <f t="shared" si="155"/>
        <v>0</v>
      </c>
      <c r="Y677" s="45">
        <f t="shared" si="155"/>
        <v>0</v>
      </c>
      <c r="Z677" s="45">
        <f t="shared" si="155"/>
        <v>0</v>
      </c>
      <c r="AA677" s="45">
        <f t="shared" si="155"/>
        <v>0</v>
      </c>
      <c r="AB677" s="45">
        <f t="shared" si="155"/>
        <v>0</v>
      </c>
      <c r="AC677" s="45">
        <f t="shared" si="155"/>
        <v>0</v>
      </c>
      <c r="AD677" s="45">
        <f t="shared" si="155"/>
        <v>0</v>
      </c>
      <c r="AE677" s="45">
        <f t="shared" si="155"/>
        <v>0</v>
      </c>
      <c r="AF677" s="45">
        <f t="shared" si="155"/>
        <v>0</v>
      </c>
    </row>
    <row r="678" spans="1:32" x14ac:dyDescent="0.3">
      <c r="A678" s="38" t="s">
        <v>241</v>
      </c>
      <c r="B678" s="38" t="s">
        <v>174</v>
      </c>
      <c r="C678" s="38" t="s">
        <v>242</v>
      </c>
      <c r="D678" s="39" t="s">
        <v>183</v>
      </c>
      <c r="E678" s="39" t="s">
        <v>177</v>
      </c>
      <c r="F678" s="38" t="s">
        <v>129</v>
      </c>
      <c r="G678" s="38" t="s">
        <v>130</v>
      </c>
      <c r="H678" s="44">
        <v>17974</v>
      </c>
      <c r="I678" s="44">
        <v>17974</v>
      </c>
      <c r="J678" s="44"/>
      <c r="K678" s="44"/>
      <c r="L678" s="44"/>
      <c r="M678" s="44"/>
      <c r="N678" s="44"/>
      <c r="O678" s="44"/>
      <c r="P678" s="44"/>
      <c r="Q678" s="44"/>
      <c r="R678" s="44"/>
      <c r="S678" s="44"/>
      <c r="T678" s="44"/>
      <c r="U678" s="44"/>
      <c r="V678" s="44"/>
      <c r="W678" s="44"/>
      <c r="X678" s="44"/>
      <c r="Y678" s="44"/>
      <c r="Z678" s="44"/>
      <c r="AA678" s="44"/>
      <c r="AB678" s="44"/>
      <c r="AC678" s="44"/>
      <c r="AD678" s="44"/>
      <c r="AE678" s="44"/>
      <c r="AF678" s="44"/>
    </row>
    <row r="679" spans="1:32" x14ac:dyDescent="0.3">
      <c r="A679" s="38" t="s">
        <v>241</v>
      </c>
      <c r="B679" s="38" t="s">
        <v>174</v>
      </c>
      <c r="C679" s="38" t="s">
        <v>242</v>
      </c>
      <c r="D679" s="39" t="s">
        <v>183</v>
      </c>
      <c r="E679" s="39" t="s">
        <v>177</v>
      </c>
      <c r="F679" s="38" t="s">
        <v>131</v>
      </c>
      <c r="G679" s="38" t="s">
        <v>130</v>
      </c>
      <c r="H679" s="44">
        <v>318737</v>
      </c>
      <c r="I679" s="44">
        <v>18303</v>
      </c>
      <c r="J679" s="44">
        <v>16549</v>
      </c>
      <c r="K679" s="44">
        <v>17881</v>
      </c>
      <c r="L679" s="44">
        <v>13567</v>
      </c>
      <c r="M679" s="44">
        <v>15827</v>
      </c>
      <c r="N679" s="44">
        <v>16043</v>
      </c>
      <c r="O679" s="44">
        <v>15955</v>
      </c>
      <c r="P679" s="44">
        <v>16167</v>
      </c>
      <c r="Q679" s="44">
        <v>15493</v>
      </c>
      <c r="R679" s="44">
        <v>15254</v>
      </c>
      <c r="S679" s="44">
        <v>15251</v>
      </c>
      <c r="T679" s="44">
        <v>15294</v>
      </c>
      <c r="U679" s="44">
        <v>14729</v>
      </c>
      <c r="V679" s="44">
        <v>11255</v>
      </c>
      <c r="W679" s="44">
        <v>11249</v>
      </c>
      <c r="X679" s="44">
        <v>11320</v>
      </c>
      <c r="Y679" s="44">
        <v>11357</v>
      </c>
      <c r="Z679" s="44">
        <v>11135</v>
      </c>
      <c r="AA679" s="44">
        <v>11061</v>
      </c>
      <c r="AB679" s="44">
        <v>10729</v>
      </c>
      <c r="AC679" s="44">
        <v>10607</v>
      </c>
      <c r="AD679" s="44">
        <v>8467</v>
      </c>
      <c r="AE679" s="44">
        <v>7620</v>
      </c>
      <c r="AF679" s="44">
        <v>7624</v>
      </c>
    </row>
    <row r="680" spans="1:32" x14ac:dyDescent="0.3">
      <c r="A680" s="38" t="s">
        <v>241</v>
      </c>
      <c r="B680" s="38" t="s">
        <v>174</v>
      </c>
      <c r="C680" s="38" t="s">
        <v>242</v>
      </c>
      <c r="D680" s="39" t="s">
        <v>183</v>
      </c>
      <c r="E680" s="39" t="s">
        <v>177</v>
      </c>
      <c r="F680" s="38" t="s">
        <v>132</v>
      </c>
      <c r="G680" s="38" t="s">
        <v>130</v>
      </c>
      <c r="H680" s="44">
        <v>29880</v>
      </c>
      <c r="I680" s="44">
        <v>29880</v>
      </c>
      <c r="J680" s="44"/>
      <c r="K680" s="44"/>
      <c r="L680" s="44"/>
      <c r="M680" s="44"/>
      <c r="N680" s="44"/>
      <c r="O680" s="44"/>
      <c r="P680" s="44"/>
      <c r="Q680" s="44"/>
      <c r="R680" s="44"/>
      <c r="S680" s="44"/>
      <c r="T680" s="44"/>
      <c r="U680" s="44"/>
      <c r="V680" s="44"/>
      <c r="W680" s="44"/>
      <c r="X680" s="44"/>
      <c r="Y680" s="44"/>
      <c r="Z680" s="44"/>
      <c r="AA680" s="44"/>
      <c r="AB680" s="44"/>
      <c r="AC680" s="44"/>
      <c r="AD680" s="44"/>
      <c r="AE680" s="44"/>
      <c r="AF680" s="44"/>
    </row>
    <row r="681" spans="1:32" x14ac:dyDescent="0.3">
      <c r="A681" s="38" t="s">
        <v>241</v>
      </c>
      <c r="B681" s="38" t="s">
        <v>174</v>
      </c>
      <c r="C681" s="38" t="s">
        <v>242</v>
      </c>
      <c r="D681" s="39" t="s">
        <v>183</v>
      </c>
      <c r="E681" s="39" t="s">
        <v>177</v>
      </c>
      <c r="F681" s="38" t="s">
        <v>133</v>
      </c>
      <c r="G681" s="38" t="s">
        <v>130</v>
      </c>
      <c r="H681" s="44">
        <v>0</v>
      </c>
      <c r="I681" s="44">
        <v>0</v>
      </c>
      <c r="J681" s="44"/>
      <c r="K681" s="44"/>
      <c r="L681" s="44"/>
      <c r="M681" s="44"/>
      <c r="N681" s="44"/>
      <c r="O681" s="44"/>
      <c r="P681" s="44"/>
      <c r="Q681" s="44"/>
      <c r="R681" s="44"/>
      <c r="S681" s="44"/>
      <c r="T681" s="44"/>
      <c r="U681" s="44"/>
      <c r="V681" s="44"/>
      <c r="W681" s="44"/>
      <c r="X681" s="44"/>
      <c r="Y681" s="44"/>
      <c r="Z681" s="44"/>
      <c r="AA681" s="44"/>
      <c r="AB681" s="44"/>
      <c r="AC681" s="44"/>
      <c r="AD681" s="44"/>
      <c r="AE681" s="44"/>
      <c r="AF681" s="44"/>
    </row>
    <row r="682" spans="1:32" x14ac:dyDescent="0.3">
      <c r="A682" s="38" t="s">
        <v>241</v>
      </c>
      <c r="B682" s="38" t="s">
        <v>174</v>
      </c>
      <c r="C682" s="38" t="s">
        <v>242</v>
      </c>
      <c r="D682" s="39" t="s">
        <v>183</v>
      </c>
      <c r="E682" s="39" t="s">
        <v>177</v>
      </c>
      <c r="F682" s="38" t="s">
        <v>134</v>
      </c>
      <c r="G682" s="38" t="s">
        <v>130</v>
      </c>
      <c r="H682" s="44">
        <v>6630</v>
      </c>
      <c r="I682" s="44">
        <v>6630</v>
      </c>
      <c r="J682" s="44"/>
      <c r="K682" s="44"/>
      <c r="L682" s="44"/>
      <c r="M682" s="44"/>
      <c r="N682" s="44"/>
      <c r="O682" s="44"/>
      <c r="P682" s="44"/>
      <c r="Q682" s="44"/>
      <c r="R682" s="44"/>
      <c r="S682" s="44"/>
      <c r="T682" s="44"/>
      <c r="U682" s="44"/>
      <c r="V682" s="44"/>
      <c r="W682" s="44"/>
      <c r="X682" s="44"/>
      <c r="Y682" s="44"/>
      <c r="Z682" s="44"/>
      <c r="AA682" s="44"/>
      <c r="AB682" s="44"/>
      <c r="AC682" s="44"/>
      <c r="AD682" s="44"/>
      <c r="AE682" s="44"/>
      <c r="AF682" s="44"/>
    </row>
    <row r="683" spans="1:32" x14ac:dyDescent="0.3">
      <c r="A683" s="38" t="s">
        <v>241</v>
      </c>
      <c r="B683" s="38" t="s">
        <v>174</v>
      </c>
      <c r="C683" s="38" t="s">
        <v>242</v>
      </c>
      <c r="D683" s="39" t="s">
        <v>183</v>
      </c>
      <c r="E683" s="39" t="s">
        <v>177</v>
      </c>
      <c r="F683" s="38" t="s">
        <v>135</v>
      </c>
      <c r="G683" s="38" t="s">
        <v>130</v>
      </c>
      <c r="H683" s="44">
        <v>21600</v>
      </c>
      <c r="I683" s="44">
        <v>21600</v>
      </c>
      <c r="J683" s="44"/>
      <c r="K683" s="44"/>
      <c r="L683" s="44"/>
      <c r="M683" s="44"/>
      <c r="N683" s="44"/>
      <c r="O683" s="44"/>
      <c r="P683" s="44"/>
      <c r="Q683" s="44"/>
      <c r="R683" s="44"/>
      <c r="S683" s="44"/>
      <c r="T683" s="44"/>
      <c r="U683" s="44"/>
      <c r="V683" s="44"/>
      <c r="W683" s="44"/>
      <c r="X683" s="44"/>
      <c r="Y683" s="44"/>
      <c r="Z683" s="44"/>
      <c r="AA683" s="44"/>
      <c r="AB683" s="44"/>
      <c r="AC683" s="44"/>
      <c r="AD683" s="44"/>
      <c r="AE683" s="44"/>
      <c r="AF683" s="44"/>
    </row>
    <row r="684" spans="1:32" x14ac:dyDescent="0.3">
      <c r="A684" s="38" t="s">
        <v>241</v>
      </c>
      <c r="B684" s="38" t="s">
        <v>174</v>
      </c>
      <c r="C684" s="38" t="s">
        <v>242</v>
      </c>
      <c r="D684" s="39" t="s">
        <v>183</v>
      </c>
      <c r="E684" s="39" t="s">
        <v>177</v>
      </c>
      <c r="F684" s="38" t="s">
        <v>136</v>
      </c>
      <c r="G684" s="38" t="s">
        <v>130</v>
      </c>
      <c r="H684" s="44">
        <f>SUM(I684:AF684)</f>
        <v>418600</v>
      </c>
      <c r="I684" s="44">
        <f t="shared" ref="I684:AF684" si="156">IF(AND(ISBLANK(I687) = TRUE,ISBLANK(I686) = TRUE),I685,I686+I687)</f>
        <v>0</v>
      </c>
      <c r="J684" s="44">
        <f t="shared" si="156"/>
        <v>0</v>
      </c>
      <c r="K684" s="44">
        <f t="shared" si="156"/>
        <v>0</v>
      </c>
      <c r="L684" s="44">
        <f t="shared" si="156"/>
        <v>28800</v>
      </c>
      <c r="M684" s="44">
        <f t="shared" si="156"/>
        <v>21600</v>
      </c>
      <c r="N684" s="44">
        <f t="shared" si="156"/>
        <v>0</v>
      </c>
      <c r="O684" s="44">
        <f t="shared" si="156"/>
        <v>0</v>
      </c>
      <c r="P684" s="44">
        <f t="shared" si="156"/>
        <v>21600</v>
      </c>
      <c r="Q684" s="44">
        <f t="shared" si="156"/>
        <v>0</v>
      </c>
      <c r="R684" s="44">
        <f t="shared" si="156"/>
        <v>0</v>
      </c>
      <c r="S684" s="44">
        <f t="shared" si="156"/>
        <v>21600</v>
      </c>
      <c r="T684" s="44">
        <f t="shared" si="156"/>
        <v>0</v>
      </c>
      <c r="U684" s="44">
        <f t="shared" si="156"/>
        <v>0</v>
      </c>
      <c r="V684" s="44">
        <f t="shared" si="156"/>
        <v>0</v>
      </c>
      <c r="W684" s="44">
        <f t="shared" si="156"/>
        <v>325000</v>
      </c>
      <c r="X684" s="44">
        <f t="shared" si="156"/>
        <v>0</v>
      </c>
      <c r="Y684" s="44">
        <f t="shared" si="156"/>
        <v>0</v>
      </c>
      <c r="Z684" s="44">
        <f t="shared" si="156"/>
        <v>0</v>
      </c>
      <c r="AA684" s="44">
        <f t="shared" si="156"/>
        <v>0</v>
      </c>
      <c r="AB684" s="44">
        <f t="shared" si="156"/>
        <v>0</v>
      </c>
      <c r="AC684" s="44">
        <f t="shared" si="156"/>
        <v>0</v>
      </c>
      <c r="AD684" s="44">
        <f t="shared" si="156"/>
        <v>0</v>
      </c>
      <c r="AE684" s="44">
        <f t="shared" si="156"/>
        <v>0</v>
      </c>
      <c r="AF684" s="44">
        <f t="shared" si="156"/>
        <v>0</v>
      </c>
    </row>
    <row r="685" spans="1:32" x14ac:dyDescent="0.3">
      <c r="A685" s="38" t="s">
        <v>241</v>
      </c>
      <c r="B685" s="38" t="s">
        <v>174</v>
      </c>
      <c r="C685" s="38" t="s">
        <v>242</v>
      </c>
      <c r="D685" s="39" t="s">
        <v>183</v>
      </c>
      <c r="E685" s="39" t="s">
        <v>177</v>
      </c>
      <c r="F685" s="38" t="s">
        <v>124</v>
      </c>
      <c r="G685" s="38" t="s">
        <v>130</v>
      </c>
      <c r="H685" s="44">
        <v>418600</v>
      </c>
      <c r="I685" s="44"/>
      <c r="J685" s="44"/>
      <c r="K685" s="44"/>
      <c r="L685" s="44">
        <v>28800</v>
      </c>
      <c r="M685" s="44">
        <v>21600</v>
      </c>
      <c r="N685" s="44"/>
      <c r="O685" s="44"/>
      <c r="P685" s="44">
        <v>21600</v>
      </c>
      <c r="Q685" s="44"/>
      <c r="R685" s="44"/>
      <c r="S685" s="44">
        <v>21600</v>
      </c>
      <c r="T685" s="44"/>
      <c r="U685" s="44"/>
      <c r="V685" s="44"/>
      <c r="W685" s="44">
        <v>325000</v>
      </c>
      <c r="X685" s="44"/>
      <c r="Y685" s="44"/>
      <c r="Z685" s="44"/>
      <c r="AA685" s="44"/>
      <c r="AB685" s="44"/>
      <c r="AC685" s="44"/>
      <c r="AD685" s="44"/>
      <c r="AE685" s="44"/>
      <c r="AF685" s="44"/>
    </row>
    <row r="686" spans="1:32" x14ac:dyDescent="0.3">
      <c r="A686" s="38" t="s">
        <v>241</v>
      </c>
      <c r="B686" s="38" t="s">
        <v>174</v>
      </c>
      <c r="C686" s="38" t="s">
        <v>242</v>
      </c>
      <c r="D686" s="39" t="s">
        <v>183</v>
      </c>
      <c r="E686" s="39" t="s">
        <v>177</v>
      </c>
      <c r="F686" s="38" t="s">
        <v>137</v>
      </c>
      <c r="G686" s="38" t="s">
        <v>130</v>
      </c>
      <c r="H686" s="44">
        <f>SUM(I686:AF686)</f>
        <v>0</v>
      </c>
      <c r="I686" s="44"/>
      <c r="J686" s="44"/>
      <c r="K686" s="44"/>
      <c r="L686" s="44"/>
      <c r="M686" s="44"/>
      <c r="N686" s="44"/>
      <c r="O686" s="44"/>
      <c r="P686" s="44"/>
      <c r="Q686" s="44"/>
      <c r="R686" s="44"/>
      <c r="S686" s="44"/>
      <c r="T686" s="44"/>
      <c r="U686" s="44"/>
      <c r="V686" s="44"/>
      <c r="W686" s="44"/>
      <c r="X686" s="44"/>
      <c r="Y686" s="44"/>
      <c r="Z686" s="44"/>
      <c r="AA686" s="44"/>
      <c r="AB686" s="44"/>
      <c r="AC686" s="44"/>
      <c r="AD686" s="44"/>
      <c r="AE686" s="44"/>
      <c r="AF686" s="44"/>
    </row>
    <row r="687" spans="1:32" x14ac:dyDescent="0.3">
      <c r="A687" s="38" t="s">
        <v>241</v>
      </c>
      <c r="B687" s="38" t="s">
        <v>174</v>
      </c>
      <c r="C687" s="38" t="s">
        <v>242</v>
      </c>
      <c r="D687" s="39" t="s">
        <v>183</v>
      </c>
      <c r="E687" s="39" t="s">
        <v>177</v>
      </c>
      <c r="F687" s="38" t="s">
        <v>138</v>
      </c>
      <c r="G687" s="38" t="s">
        <v>130</v>
      </c>
      <c r="H687" s="44">
        <f>SUM(I687:AF687)</f>
        <v>0</v>
      </c>
      <c r="I687" s="44"/>
      <c r="J687" s="44"/>
      <c r="K687" s="44"/>
      <c r="L687" s="44"/>
      <c r="M687" s="44"/>
      <c r="N687" s="44"/>
      <c r="O687" s="44"/>
      <c r="P687" s="44"/>
      <c r="Q687" s="44"/>
      <c r="R687" s="44"/>
      <c r="S687" s="44"/>
      <c r="T687" s="44"/>
      <c r="U687" s="44"/>
      <c r="V687" s="44"/>
      <c r="W687" s="44"/>
      <c r="X687" s="44"/>
      <c r="Y687" s="44"/>
      <c r="Z687" s="44"/>
      <c r="AA687" s="44"/>
      <c r="AB687" s="44"/>
      <c r="AC687" s="44"/>
      <c r="AD687" s="44"/>
      <c r="AE687" s="44"/>
      <c r="AF687" s="44"/>
    </row>
    <row r="688" spans="1:32" x14ac:dyDescent="0.3">
      <c r="A688" s="38" t="s">
        <v>241</v>
      </c>
      <c r="B688" s="38" t="s">
        <v>174</v>
      </c>
      <c r="C688" s="38" t="s">
        <v>242</v>
      </c>
      <c r="D688" s="39" t="s">
        <v>183</v>
      </c>
      <c r="E688" s="39" t="s">
        <v>177</v>
      </c>
      <c r="F688" s="38" t="s">
        <v>139</v>
      </c>
      <c r="G688" s="38" t="s">
        <v>130</v>
      </c>
      <c r="H688" s="44">
        <v>418600</v>
      </c>
      <c r="I688" s="44"/>
      <c r="J688" s="44"/>
      <c r="K688" s="44"/>
      <c r="L688" s="44">
        <v>28800</v>
      </c>
      <c r="M688" s="44">
        <v>21600</v>
      </c>
      <c r="N688" s="44"/>
      <c r="O688" s="44"/>
      <c r="P688" s="44">
        <v>21600</v>
      </c>
      <c r="Q688" s="44"/>
      <c r="R688" s="44"/>
      <c r="S688" s="44">
        <v>21600</v>
      </c>
      <c r="T688" s="44"/>
      <c r="U688" s="44"/>
      <c r="V688" s="44"/>
      <c r="W688" s="44">
        <v>325000</v>
      </c>
      <c r="X688" s="44"/>
      <c r="Y688" s="44"/>
      <c r="Z688" s="44"/>
      <c r="AA688" s="44"/>
      <c r="AB688" s="44"/>
      <c r="AC688" s="44"/>
      <c r="AD688" s="44"/>
      <c r="AE688" s="44"/>
      <c r="AF688" s="44"/>
    </row>
    <row r="689" spans="1:32" x14ac:dyDescent="0.3">
      <c r="A689" s="38" t="s">
        <v>241</v>
      </c>
      <c r="B689" s="38" t="s">
        <v>174</v>
      </c>
      <c r="C689" s="38" t="s">
        <v>242</v>
      </c>
      <c r="D689" s="39" t="s">
        <v>183</v>
      </c>
      <c r="E689" s="39" t="s">
        <v>177</v>
      </c>
      <c r="F689" s="38" t="s">
        <v>140</v>
      </c>
      <c r="G689" s="38" t="s">
        <v>130</v>
      </c>
      <c r="H689" s="44"/>
      <c r="I689" s="44">
        <f>I684-(I679+I678)+(I683+I682+I681+I680)</f>
        <v>21833</v>
      </c>
      <c r="J689" s="44">
        <f t="shared" ref="J689:AF689" si="157">I689+J684-J679</f>
        <v>5284</v>
      </c>
      <c r="K689" s="44">
        <f t="shared" si="157"/>
        <v>-12597</v>
      </c>
      <c r="L689" s="44">
        <f t="shared" si="157"/>
        <v>2636</v>
      </c>
      <c r="M689" s="44">
        <f t="shared" si="157"/>
        <v>8409</v>
      </c>
      <c r="N689" s="44">
        <f t="shared" si="157"/>
        <v>-7634</v>
      </c>
      <c r="O689" s="44">
        <f t="shared" si="157"/>
        <v>-23589</v>
      </c>
      <c r="P689" s="44">
        <f t="shared" si="157"/>
        <v>-18156</v>
      </c>
      <c r="Q689" s="44">
        <f t="shared" si="157"/>
        <v>-33649</v>
      </c>
      <c r="R689" s="44">
        <f t="shared" si="157"/>
        <v>-48903</v>
      </c>
      <c r="S689" s="44">
        <f t="shared" si="157"/>
        <v>-42554</v>
      </c>
      <c r="T689" s="44">
        <f t="shared" si="157"/>
        <v>-57848</v>
      </c>
      <c r="U689" s="44">
        <f t="shared" si="157"/>
        <v>-72577</v>
      </c>
      <c r="V689" s="44">
        <f t="shared" si="157"/>
        <v>-83832</v>
      </c>
      <c r="W689" s="44">
        <f t="shared" si="157"/>
        <v>229919</v>
      </c>
      <c r="X689" s="44">
        <f t="shared" si="157"/>
        <v>218599</v>
      </c>
      <c r="Y689" s="44">
        <f t="shared" si="157"/>
        <v>207242</v>
      </c>
      <c r="Z689" s="44">
        <f t="shared" si="157"/>
        <v>196107</v>
      </c>
      <c r="AA689" s="44">
        <f t="shared" si="157"/>
        <v>185046</v>
      </c>
      <c r="AB689" s="44">
        <f t="shared" si="157"/>
        <v>174317</v>
      </c>
      <c r="AC689" s="44">
        <f t="shared" si="157"/>
        <v>163710</v>
      </c>
      <c r="AD689" s="44">
        <f t="shared" si="157"/>
        <v>155243</v>
      </c>
      <c r="AE689" s="44">
        <f t="shared" si="157"/>
        <v>147623</v>
      </c>
      <c r="AF689" s="44">
        <f t="shared" si="157"/>
        <v>139999</v>
      </c>
    </row>
    <row r="690" spans="1:32" ht="15" thickBot="1" x14ac:dyDescent="0.35">
      <c r="A690" s="40" t="s">
        <v>241</v>
      </c>
      <c r="B690" s="40" t="s">
        <v>174</v>
      </c>
      <c r="C690" s="40" t="s">
        <v>242</v>
      </c>
      <c r="D690" s="41" t="s">
        <v>183</v>
      </c>
      <c r="E690" s="41" t="s">
        <v>177</v>
      </c>
      <c r="F690" s="40" t="s">
        <v>141</v>
      </c>
      <c r="G690" s="40" t="s">
        <v>130</v>
      </c>
      <c r="H690" s="45"/>
      <c r="I690" s="45">
        <f>I684-I688</f>
        <v>0</v>
      </c>
      <c r="J690" s="45">
        <f t="shared" ref="J690:AF690" si="158">I690+J684-J688</f>
        <v>0</v>
      </c>
      <c r="K690" s="45">
        <f t="shared" si="158"/>
        <v>0</v>
      </c>
      <c r="L690" s="45">
        <f t="shared" si="158"/>
        <v>0</v>
      </c>
      <c r="M690" s="45">
        <f t="shared" si="158"/>
        <v>0</v>
      </c>
      <c r="N690" s="45">
        <f t="shared" si="158"/>
        <v>0</v>
      </c>
      <c r="O690" s="45">
        <f t="shared" si="158"/>
        <v>0</v>
      </c>
      <c r="P690" s="45">
        <f t="shared" si="158"/>
        <v>0</v>
      </c>
      <c r="Q690" s="45">
        <f t="shared" si="158"/>
        <v>0</v>
      </c>
      <c r="R690" s="45">
        <f t="shared" si="158"/>
        <v>0</v>
      </c>
      <c r="S690" s="45">
        <f t="shared" si="158"/>
        <v>0</v>
      </c>
      <c r="T690" s="45">
        <f t="shared" si="158"/>
        <v>0</v>
      </c>
      <c r="U690" s="45">
        <f t="shared" si="158"/>
        <v>0</v>
      </c>
      <c r="V690" s="45">
        <f t="shared" si="158"/>
        <v>0</v>
      </c>
      <c r="W690" s="45">
        <f t="shared" si="158"/>
        <v>0</v>
      </c>
      <c r="X690" s="45">
        <f t="shared" si="158"/>
        <v>0</v>
      </c>
      <c r="Y690" s="45">
        <f t="shared" si="158"/>
        <v>0</v>
      </c>
      <c r="Z690" s="45">
        <f t="shared" si="158"/>
        <v>0</v>
      </c>
      <c r="AA690" s="45">
        <f t="shared" si="158"/>
        <v>0</v>
      </c>
      <c r="AB690" s="45">
        <f t="shared" si="158"/>
        <v>0</v>
      </c>
      <c r="AC690" s="45">
        <f t="shared" si="158"/>
        <v>0</v>
      </c>
      <c r="AD690" s="45">
        <f t="shared" si="158"/>
        <v>0</v>
      </c>
      <c r="AE690" s="45">
        <f t="shared" si="158"/>
        <v>0</v>
      </c>
      <c r="AF690" s="45">
        <f t="shared" si="158"/>
        <v>0</v>
      </c>
    </row>
    <row r="691" spans="1:32" x14ac:dyDescent="0.3">
      <c r="A691" s="38" t="s">
        <v>243</v>
      </c>
      <c r="B691" s="38" t="s">
        <v>174</v>
      </c>
      <c r="C691" s="38" t="s">
        <v>242</v>
      </c>
      <c r="D691" s="39" t="s">
        <v>244</v>
      </c>
      <c r="E691" s="39" t="s">
        <v>195</v>
      </c>
      <c r="F691" s="38" t="s">
        <v>129</v>
      </c>
      <c r="G691" s="38" t="s">
        <v>130</v>
      </c>
      <c r="H691" s="44">
        <v>6966</v>
      </c>
      <c r="I691" s="44">
        <v>6966</v>
      </c>
      <c r="J691" s="44"/>
      <c r="K691" s="44"/>
      <c r="L691" s="44"/>
      <c r="M691" s="44"/>
      <c r="N691" s="44"/>
      <c r="O691" s="44"/>
      <c r="P691" s="44"/>
      <c r="Q691" s="44"/>
      <c r="R691" s="44"/>
      <c r="S691" s="44"/>
      <c r="T691" s="44"/>
      <c r="U691" s="44"/>
      <c r="V691" s="44"/>
      <c r="W691" s="44"/>
      <c r="X691" s="44"/>
      <c r="Y691" s="44"/>
      <c r="Z691" s="44"/>
      <c r="AA691" s="44"/>
      <c r="AB691" s="44"/>
      <c r="AC691" s="44"/>
      <c r="AD691" s="44"/>
      <c r="AE691" s="44"/>
      <c r="AF691" s="44"/>
    </row>
    <row r="692" spans="1:32" x14ac:dyDescent="0.3">
      <c r="A692" s="38" t="s">
        <v>243</v>
      </c>
      <c r="B692" s="38" t="s">
        <v>174</v>
      </c>
      <c r="C692" s="38" t="s">
        <v>242</v>
      </c>
      <c r="D692" s="39" t="s">
        <v>244</v>
      </c>
      <c r="E692" s="39" t="s">
        <v>195</v>
      </c>
      <c r="F692" s="38" t="s">
        <v>131</v>
      </c>
      <c r="G692" s="38" t="s">
        <v>130</v>
      </c>
      <c r="H692" s="44">
        <v>46614</v>
      </c>
      <c r="I692" s="44">
        <v>3865</v>
      </c>
      <c r="J692" s="44">
        <v>3833</v>
      </c>
      <c r="K692" s="44">
        <v>3577</v>
      </c>
      <c r="L692" s="44">
        <v>2872</v>
      </c>
      <c r="M692" s="44">
        <v>3288</v>
      </c>
      <c r="N692" s="44">
        <v>2998</v>
      </c>
      <c r="O692" s="44">
        <v>2998</v>
      </c>
      <c r="P692" s="44">
        <v>3197</v>
      </c>
      <c r="Q692" s="44">
        <v>2651</v>
      </c>
      <c r="R692" s="44">
        <v>2391</v>
      </c>
      <c r="S692" s="44">
        <v>2393</v>
      </c>
      <c r="T692" s="44">
        <v>2391</v>
      </c>
      <c r="U692" s="44">
        <v>2219</v>
      </c>
      <c r="V692" s="44">
        <v>947</v>
      </c>
      <c r="W692" s="44">
        <v>946</v>
      </c>
      <c r="X692" s="44">
        <v>946</v>
      </c>
      <c r="Y692" s="44">
        <v>946</v>
      </c>
      <c r="Z692" s="44">
        <v>964</v>
      </c>
      <c r="AA692" s="44">
        <v>972</v>
      </c>
      <c r="AB692" s="44">
        <v>972</v>
      </c>
      <c r="AC692" s="44">
        <v>971</v>
      </c>
      <c r="AD692" s="44">
        <v>277</v>
      </c>
      <c r="AE692" s="44">
        <v>0</v>
      </c>
      <c r="AF692" s="44">
        <v>0</v>
      </c>
    </row>
    <row r="693" spans="1:32" x14ac:dyDescent="0.3">
      <c r="A693" s="38" t="s">
        <v>243</v>
      </c>
      <c r="B693" s="38" t="s">
        <v>174</v>
      </c>
      <c r="C693" s="38" t="s">
        <v>242</v>
      </c>
      <c r="D693" s="39" t="s">
        <v>244</v>
      </c>
      <c r="E693" s="39" t="s">
        <v>195</v>
      </c>
      <c r="F693" s="38" t="s">
        <v>132</v>
      </c>
      <c r="G693" s="38" t="s">
        <v>130</v>
      </c>
      <c r="H693" s="44">
        <v>0</v>
      </c>
      <c r="I693" s="44">
        <v>0</v>
      </c>
      <c r="J693" s="44"/>
      <c r="K693" s="44"/>
      <c r="L693" s="44"/>
      <c r="M693" s="44"/>
      <c r="N693" s="44"/>
      <c r="O693" s="44"/>
      <c r="P693" s="44"/>
      <c r="Q693" s="44"/>
      <c r="R693" s="44"/>
      <c r="S693" s="44"/>
      <c r="T693" s="44"/>
      <c r="U693" s="44"/>
      <c r="V693" s="44"/>
      <c r="W693" s="44"/>
      <c r="X693" s="44"/>
      <c r="Y693" s="44"/>
      <c r="Z693" s="44"/>
      <c r="AA693" s="44"/>
      <c r="AB693" s="44"/>
      <c r="AC693" s="44"/>
      <c r="AD693" s="44"/>
      <c r="AE693" s="44"/>
      <c r="AF693" s="44"/>
    </row>
    <row r="694" spans="1:32" x14ac:dyDescent="0.3">
      <c r="A694" s="38" t="s">
        <v>243</v>
      </c>
      <c r="B694" s="38" t="s">
        <v>174</v>
      </c>
      <c r="C694" s="38" t="s">
        <v>242</v>
      </c>
      <c r="D694" s="39" t="s">
        <v>244</v>
      </c>
      <c r="E694" s="39" t="s">
        <v>195</v>
      </c>
      <c r="F694" s="38" t="s">
        <v>133</v>
      </c>
      <c r="G694" s="38" t="s">
        <v>130</v>
      </c>
      <c r="H694" s="44">
        <v>0</v>
      </c>
      <c r="I694" s="44">
        <v>0</v>
      </c>
      <c r="J694" s="44"/>
      <c r="K694" s="44"/>
      <c r="L694" s="44"/>
      <c r="M694" s="44"/>
      <c r="N694" s="44"/>
      <c r="O694" s="44"/>
      <c r="P694" s="44"/>
      <c r="Q694" s="44"/>
      <c r="R694" s="44"/>
      <c r="S694" s="44"/>
      <c r="T694" s="44"/>
      <c r="U694" s="44"/>
      <c r="V694" s="44"/>
      <c r="W694" s="44"/>
      <c r="X694" s="44"/>
      <c r="Y694" s="44"/>
      <c r="Z694" s="44"/>
      <c r="AA694" s="44"/>
      <c r="AB694" s="44"/>
      <c r="AC694" s="44"/>
      <c r="AD694" s="44"/>
      <c r="AE694" s="44"/>
      <c r="AF694" s="44"/>
    </row>
    <row r="695" spans="1:32" x14ac:dyDescent="0.3">
      <c r="A695" s="38" t="s">
        <v>243</v>
      </c>
      <c r="B695" s="38" t="s">
        <v>174</v>
      </c>
      <c r="C695" s="38" t="s">
        <v>242</v>
      </c>
      <c r="D695" s="39" t="s">
        <v>244</v>
      </c>
      <c r="E695" s="39" t="s">
        <v>195</v>
      </c>
      <c r="F695" s="38" t="s">
        <v>134</v>
      </c>
      <c r="G695" s="38" t="s">
        <v>130</v>
      </c>
      <c r="H695" s="44">
        <v>0</v>
      </c>
      <c r="I695" s="44">
        <v>0</v>
      </c>
      <c r="J695" s="44"/>
      <c r="K695" s="44"/>
      <c r="L695" s="44"/>
      <c r="M695" s="44"/>
      <c r="N695" s="44"/>
      <c r="O695" s="44"/>
      <c r="P695" s="44"/>
      <c r="Q695" s="44"/>
      <c r="R695" s="44"/>
      <c r="S695" s="44"/>
      <c r="T695" s="44"/>
      <c r="U695" s="44"/>
      <c r="V695" s="44"/>
      <c r="W695" s="44"/>
      <c r="X695" s="44"/>
      <c r="Y695" s="44"/>
      <c r="Z695" s="44"/>
      <c r="AA695" s="44"/>
      <c r="AB695" s="44"/>
      <c r="AC695" s="44"/>
      <c r="AD695" s="44"/>
      <c r="AE695" s="44"/>
      <c r="AF695" s="44"/>
    </row>
    <row r="696" spans="1:32" x14ac:dyDescent="0.3">
      <c r="A696" s="38" t="s">
        <v>243</v>
      </c>
      <c r="B696" s="38" t="s">
        <v>174</v>
      </c>
      <c r="C696" s="38" t="s">
        <v>242</v>
      </c>
      <c r="D696" s="39" t="s">
        <v>244</v>
      </c>
      <c r="E696" s="39" t="s">
        <v>195</v>
      </c>
      <c r="F696" s="38" t="s">
        <v>135</v>
      </c>
      <c r="G696" s="38" t="s">
        <v>130</v>
      </c>
      <c r="H696" s="44"/>
      <c r="I696" s="44"/>
      <c r="J696" s="44"/>
      <c r="K696" s="44"/>
      <c r="L696" s="44"/>
      <c r="M696" s="44"/>
      <c r="N696" s="44"/>
      <c r="O696" s="44"/>
      <c r="P696" s="44"/>
      <c r="Q696" s="44"/>
      <c r="R696" s="44"/>
      <c r="S696" s="44"/>
      <c r="T696" s="44"/>
      <c r="U696" s="44"/>
      <c r="V696" s="44"/>
      <c r="W696" s="44"/>
      <c r="X696" s="44"/>
      <c r="Y696" s="44"/>
      <c r="Z696" s="44"/>
      <c r="AA696" s="44"/>
      <c r="AB696" s="44"/>
      <c r="AC696" s="44"/>
      <c r="AD696" s="44"/>
      <c r="AE696" s="44"/>
      <c r="AF696" s="44"/>
    </row>
    <row r="697" spans="1:32" x14ac:dyDescent="0.3">
      <c r="A697" s="38" t="s">
        <v>243</v>
      </c>
      <c r="B697" s="38" t="s">
        <v>174</v>
      </c>
      <c r="C697" s="38" t="s">
        <v>242</v>
      </c>
      <c r="D697" s="39" t="s">
        <v>244</v>
      </c>
      <c r="E697" s="39" t="s">
        <v>195</v>
      </c>
      <c r="F697" s="38" t="s">
        <v>136</v>
      </c>
      <c r="G697" s="38" t="s">
        <v>130</v>
      </c>
      <c r="H697" s="44">
        <f>SUM(I697:AF697)</f>
        <v>0</v>
      </c>
      <c r="I697" s="44">
        <f t="shared" ref="I697:AF697" si="159">IF(AND(ISBLANK(I700) = TRUE,ISBLANK(I699) = TRUE),I698,I699+I700)</f>
        <v>0</v>
      </c>
      <c r="J697" s="44">
        <f t="shared" si="159"/>
        <v>0</v>
      </c>
      <c r="K697" s="44">
        <f t="shared" si="159"/>
        <v>0</v>
      </c>
      <c r="L697" s="44">
        <f t="shared" si="159"/>
        <v>0</v>
      </c>
      <c r="M697" s="44">
        <f t="shared" si="159"/>
        <v>0</v>
      </c>
      <c r="N697" s="44">
        <f t="shared" si="159"/>
        <v>0</v>
      </c>
      <c r="O697" s="44">
        <f t="shared" si="159"/>
        <v>0</v>
      </c>
      <c r="P697" s="44">
        <f t="shared" si="159"/>
        <v>0</v>
      </c>
      <c r="Q697" s="44">
        <f t="shared" si="159"/>
        <v>0</v>
      </c>
      <c r="R697" s="44">
        <f t="shared" si="159"/>
        <v>0</v>
      </c>
      <c r="S697" s="44">
        <f t="shared" si="159"/>
        <v>0</v>
      </c>
      <c r="T697" s="44">
        <f t="shared" si="159"/>
        <v>0</v>
      </c>
      <c r="U697" s="44">
        <f t="shared" si="159"/>
        <v>0</v>
      </c>
      <c r="V697" s="44">
        <f t="shared" si="159"/>
        <v>0</v>
      </c>
      <c r="W697" s="44">
        <f t="shared" si="159"/>
        <v>0</v>
      </c>
      <c r="X697" s="44">
        <f t="shared" si="159"/>
        <v>0</v>
      </c>
      <c r="Y697" s="44">
        <f t="shared" si="159"/>
        <v>0</v>
      </c>
      <c r="Z697" s="44">
        <f t="shared" si="159"/>
        <v>0</v>
      </c>
      <c r="AA697" s="44">
        <f t="shared" si="159"/>
        <v>0</v>
      </c>
      <c r="AB697" s="44">
        <f t="shared" si="159"/>
        <v>0</v>
      </c>
      <c r="AC697" s="44">
        <f t="shared" si="159"/>
        <v>0</v>
      </c>
      <c r="AD697" s="44">
        <f t="shared" si="159"/>
        <v>0</v>
      </c>
      <c r="AE697" s="44">
        <f t="shared" si="159"/>
        <v>0</v>
      </c>
      <c r="AF697" s="44">
        <f t="shared" si="159"/>
        <v>0</v>
      </c>
    </row>
    <row r="698" spans="1:32" x14ac:dyDescent="0.3">
      <c r="A698" s="38" t="s">
        <v>243</v>
      </c>
      <c r="B698" s="38" t="s">
        <v>174</v>
      </c>
      <c r="C698" s="38" t="s">
        <v>242</v>
      </c>
      <c r="D698" s="39" t="s">
        <v>244</v>
      </c>
      <c r="E698" s="39" t="s">
        <v>195</v>
      </c>
      <c r="F698" s="38" t="s">
        <v>124</v>
      </c>
      <c r="G698" s="38" t="s">
        <v>130</v>
      </c>
      <c r="H698" s="44"/>
      <c r="I698" s="44"/>
      <c r="J698" s="44"/>
      <c r="K698" s="44"/>
      <c r="L698" s="44"/>
      <c r="M698" s="44"/>
      <c r="N698" s="44"/>
      <c r="O698" s="44"/>
      <c r="P698" s="44"/>
      <c r="Q698" s="44"/>
      <c r="R698" s="44"/>
      <c r="S698" s="44"/>
      <c r="T698" s="44"/>
      <c r="U698" s="44"/>
      <c r="V698" s="44"/>
      <c r="W698" s="44"/>
      <c r="X698" s="44"/>
      <c r="Y698" s="44"/>
      <c r="Z698" s="44"/>
      <c r="AA698" s="44"/>
      <c r="AB698" s="44"/>
      <c r="AC698" s="44"/>
      <c r="AD698" s="44"/>
      <c r="AE698" s="44"/>
      <c r="AF698" s="44"/>
    </row>
    <row r="699" spans="1:32" x14ac:dyDescent="0.3">
      <c r="A699" s="38" t="s">
        <v>243</v>
      </c>
      <c r="B699" s="38" t="s">
        <v>174</v>
      </c>
      <c r="C699" s="38" t="s">
        <v>242</v>
      </c>
      <c r="D699" s="39" t="s">
        <v>244</v>
      </c>
      <c r="E699" s="39" t="s">
        <v>195</v>
      </c>
      <c r="F699" s="38" t="s">
        <v>137</v>
      </c>
      <c r="G699" s="38" t="s">
        <v>130</v>
      </c>
      <c r="H699" s="44">
        <f>SUM(I699:AF699)</f>
        <v>0</v>
      </c>
      <c r="I699" s="44"/>
      <c r="J699" s="44"/>
      <c r="K699" s="44"/>
      <c r="L699" s="44"/>
      <c r="M699" s="44"/>
      <c r="N699" s="44"/>
      <c r="O699" s="44"/>
      <c r="P699" s="44"/>
      <c r="Q699" s="44"/>
      <c r="R699" s="44"/>
      <c r="S699" s="44"/>
      <c r="T699" s="44"/>
      <c r="U699" s="44"/>
      <c r="V699" s="44"/>
      <c r="W699" s="44"/>
      <c r="X699" s="44"/>
      <c r="Y699" s="44"/>
      <c r="Z699" s="44"/>
      <c r="AA699" s="44"/>
      <c r="AB699" s="44"/>
      <c r="AC699" s="44"/>
      <c r="AD699" s="44"/>
      <c r="AE699" s="44"/>
      <c r="AF699" s="44"/>
    </row>
    <row r="700" spans="1:32" x14ac:dyDescent="0.3">
      <c r="A700" s="38" t="s">
        <v>243</v>
      </c>
      <c r="B700" s="38" t="s">
        <v>174</v>
      </c>
      <c r="C700" s="38" t="s">
        <v>242</v>
      </c>
      <c r="D700" s="39" t="s">
        <v>244</v>
      </c>
      <c r="E700" s="39" t="s">
        <v>195</v>
      </c>
      <c r="F700" s="38" t="s">
        <v>138</v>
      </c>
      <c r="G700" s="38" t="s">
        <v>130</v>
      </c>
      <c r="H700" s="44">
        <f>SUM(I700:AF700)</f>
        <v>0</v>
      </c>
      <c r="I700" s="44"/>
      <c r="J700" s="44"/>
      <c r="K700" s="44"/>
      <c r="L700" s="44"/>
      <c r="M700" s="44"/>
      <c r="N700" s="44"/>
      <c r="O700" s="44"/>
      <c r="P700" s="44"/>
      <c r="Q700" s="44"/>
      <c r="R700" s="44"/>
      <c r="S700" s="44"/>
      <c r="T700" s="44"/>
      <c r="U700" s="44"/>
      <c r="V700" s="44"/>
      <c r="W700" s="44"/>
      <c r="X700" s="44"/>
      <c r="Y700" s="44"/>
      <c r="Z700" s="44"/>
      <c r="AA700" s="44"/>
      <c r="AB700" s="44"/>
      <c r="AC700" s="44"/>
      <c r="AD700" s="44"/>
      <c r="AE700" s="44"/>
      <c r="AF700" s="44"/>
    </row>
    <row r="701" spans="1:32" x14ac:dyDescent="0.3">
      <c r="A701" s="38" t="s">
        <v>243</v>
      </c>
      <c r="B701" s="38" t="s">
        <v>174</v>
      </c>
      <c r="C701" s="38" t="s">
        <v>242</v>
      </c>
      <c r="D701" s="39" t="s">
        <v>244</v>
      </c>
      <c r="E701" s="39" t="s">
        <v>195</v>
      </c>
      <c r="F701" s="38" t="s">
        <v>139</v>
      </c>
      <c r="G701" s="38" t="s">
        <v>130</v>
      </c>
      <c r="H701" s="44"/>
      <c r="I701" s="44"/>
      <c r="J701" s="44"/>
      <c r="K701" s="44"/>
      <c r="L701" s="44"/>
      <c r="M701" s="44"/>
      <c r="N701" s="44"/>
      <c r="O701" s="44"/>
      <c r="P701" s="44"/>
      <c r="Q701" s="44"/>
      <c r="R701" s="44"/>
      <c r="S701" s="44"/>
      <c r="T701" s="44"/>
      <c r="U701" s="44"/>
      <c r="V701" s="44"/>
      <c r="W701" s="44"/>
      <c r="X701" s="44"/>
      <c r="Y701" s="44"/>
      <c r="Z701" s="44"/>
      <c r="AA701" s="44"/>
      <c r="AB701" s="44"/>
      <c r="AC701" s="44"/>
      <c r="AD701" s="44"/>
      <c r="AE701" s="44"/>
      <c r="AF701" s="44"/>
    </row>
    <row r="702" spans="1:32" x14ac:dyDescent="0.3">
      <c r="A702" s="38" t="s">
        <v>243</v>
      </c>
      <c r="B702" s="38" t="s">
        <v>174</v>
      </c>
      <c r="C702" s="38" t="s">
        <v>242</v>
      </c>
      <c r="D702" s="39" t="s">
        <v>244</v>
      </c>
      <c r="E702" s="39" t="s">
        <v>195</v>
      </c>
      <c r="F702" s="38" t="s">
        <v>140</v>
      </c>
      <c r="G702" s="38" t="s">
        <v>130</v>
      </c>
      <c r="H702" s="44"/>
      <c r="I702" s="44">
        <f>I697-(I692+I691)+(I696+I695+I694+I693)</f>
        <v>-10831</v>
      </c>
      <c r="J702" s="44">
        <f t="shared" ref="J702:AF702" si="160">I702+J697-J692</f>
        <v>-14664</v>
      </c>
      <c r="K702" s="44">
        <f t="shared" si="160"/>
        <v>-18241</v>
      </c>
      <c r="L702" s="44">
        <f t="shared" si="160"/>
        <v>-21113</v>
      </c>
      <c r="M702" s="44">
        <f t="shared" si="160"/>
        <v>-24401</v>
      </c>
      <c r="N702" s="44">
        <f t="shared" si="160"/>
        <v>-27399</v>
      </c>
      <c r="O702" s="44">
        <f t="shared" si="160"/>
        <v>-30397</v>
      </c>
      <c r="P702" s="44">
        <f t="shared" si="160"/>
        <v>-33594</v>
      </c>
      <c r="Q702" s="44">
        <f t="shared" si="160"/>
        <v>-36245</v>
      </c>
      <c r="R702" s="44">
        <f t="shared" si="160"/>
        <v>-38636</v>
      </c>
      <c r="S702" s="44">
        <f t="shared" si="160"/>
        <v>-41029</v>
      </c>
      <c r="T702" s="44">
        <f t="shared" si="160"/>
        <v>-43420</v>
      </c>
      <c r="U702" s="44">
        <f t="shared" si="160"/>
        <v>-45639</v>
      </c>
      <c r="V702" s="44">
        <f t="shared" si="160"/>
        <v>-46586</v>
      </c>
      <c r="W702" s="44">
        <f t="shared" si="160"/>
        <v>-47532</v>
      </c>
      <c r="X702" s="44">
        <f t="shared" si="160"/>
        <v>-48478</v>
      </c>
      <c r="Y702" s="44">
        <f t="shared" si="160"/>
        <v>-49424</v>
      </c>
      <c r="Z702" s="44">
        <f t="shared" si="160"/>
        <v>-50388</v>
      </c>
      <c r="AA702" s="44">
        <f t="shared" si="160"/>
        <v>-51360</v>
      </c>
      <c r="AB702" s="44">
        <f t="shared" si="160"/>
        <v>-52332</v>
      </c>
      <c r="AC702" s="44">
        <f t="shared" si="160"/>
        <v>-53303</v>
      </c>
      <c r="AD702" s="44">
        <f t="shared" si="160"/>
        <v>-53580</v>
      </c>
      <c r="AE702" s="44">
        <f t="shared" si="160"/>
        <v>-53580</v>
      </c>
      <c r="AF702" s="44">
        <f t="shared" si="160"/>
        <v>-53580</v>
      </c>
    </row>
    <row r="703" spans="1:32" ht="15" thickBot="1" x14ac:dyDescent="0.35">
      <c r="A703" s="40" t="s">
        <v>243</v>
      </c>
      <c r="B703" s="40" t="s">
        <v>174</v>
      </c>
      <c r="C703" s="40" t="s">
        <v>242</v>
      </c>
      <c r="D703" s="41" t="s">
        <v>244</v>
      </c>
      <c r="E703" s="41" t="s">
        <v>195</v>
      </c>
      <c r="F703" s="40" t="s">
        <v>141</v>
      </c>
      <c r="G703" s="40" t="s">
        <v>130</v>
      </c>
      <c r="H703" s="45"/>
      <c r="I703" s="45">
        <f>I697-I701</f>
        <v>0</v>
      </c>
      <c r="J703" s="45">
        <f t="shared" ref="J703:AF703" si="161">I703+J697-J701</f>
        <v>0</v>
      </c>
      <c r="K703" s="45">
        <f t="shared" si="161"/>
        <v>0</v>
      </c>
      <c r="L703" s="45">
        <f t="shared" si="161"/>
        <v>0</v>
      </c>
      <c r="M703" s="45">
        <f t="shared" si="161"/>
        <v>0</v>
      </c>
      <c r="N703" s="45">
        <f t="shared" si="161"/>
        <v>0</v>
      </c>
      <c r="O703" s="45">
        <f t="shared" si="161"/>
        <v>0</v>
      </c>
      <c r="P703" s="45">
        <f t="shared" si="161"/>
        <v>0</v>
      </c>
      <c r="Q703" s="45">
        <f t="shared" si="161"/>
        <v>0</v>
      </c>
      <c r="R703" s="45">
        <f t="shared" si="161"/>
        <v>0</v>
      </c>
      <c r="S703" s="45">
        <f t="shared" si="161"/>
        <v>0</v>
      </c>
      <c r="T703" s="45">
        <f t="shared" si="161"/>
        <v>0</v>
      </c>
      <c r="U703" s="45">
        <f t="shared" si="161"/>
        <v>0</v>
      </c>
      <c r="V703" s="45">
        <f t="shared" si="161"/>
        <v>0</v>
      </c>
      <c r="W703" s="45">
        <f t="shared" si="161"/>
        <v>0</v>
      </c>
      <c r="X703" s="45">
        <f t="shared" si="161"/>
        <v>0</v>
      </c>
      <c r="Y703" s="45">
        <f t="shared" si="161"/>
        <v>0</v>
      </c>
      <c r="Z703" s="45">
        <f t="shared" si="161"/>
        <v>0</v>
      </c>
      <c r="AA703" s="45">
        <f t="shared" si="161"/>
        <v>0</v>
      </c>
      <c r="AB703" s="45">
        <f t="shared" si="161"/>
        <v>0</v>
      </c>
      <c r="AC703" s="45">
        <f t="shared" si="161"/>
        <v>0</v>
      </c>
      <c r="AD703" s="45">
        <f t="shared" si="161"/>
        <v>0</v>
      </c>
      <c r="AE703" s="45">
        <f t="shared" si="161"/>
        <v>0</v>
      </c>
      <c r="AF703" s="45">
        <f t="shared" si="161"/>
        <v>0</v>
      </c>
    </row>
    <row r="704" spans="1:32" x14ac:dyDescent="0.3">
      <c r="A704" s="38" t="s">
        <v>243</v>
      </c>
      <c r="B704" s="38" t="s">
        <v>174</v>
      </c>
      <c r="C704" s="38" t="s">
        <v>242</v>
      </c>
      <c r="D704" s="39" t="s">
        <v>244</v>
      </c>
      <c r="E704" s="39" t="s">
        <v>177</v>
      </c>
      <c r="F704" s="38" t="s">
        <v>129</v>
      </c>
      <c r="G704" s="38" t="s">
        <v>130</v>
      </c>
      <c r="H704" s="44">
        <v>11069</v>
      </c>
      <c r="I704" s="44">
        <v>11069</v>
      </c>
      <c r="J704" s="44"/>
      <c r="K704" s="44"/>
      <c r="L704" s="44"/>
      <c r="M704" s="44"/>
      <c r="N704" s="44"/>
      <c r="O704" s="44"/>
      <c r="P704" s="44"/>
      <c r="Q704" s="44"/>
      <c r="R704" s="44"/>
      <c r="S704" s="44"/>
      <c r="T704" s="44"/>
      <c r="U704" s="44"/>
      <c r="V704" s="44"/>
      <c r="W704" s="44"/>
      <c r="X704" s="44"/>
      <c r="Y704" s="44"/>
      <c r="Z704" s="44"/>
      <c r="AA704" s="44"/>
      <c r="AB704" s="44"/>
      <c r="AC704" s="44"/>
      <c r="AD704" s="44"/>
      <c r="AE704" s="44"/>
      <c r="AF704" s="44"/>
    </row>
    <row r="705" spans="1:32" x14ac:dyDescent="0.3">
      <c r="A705" s="38" t="s">
        <v>243</v>
      </c>
      <c r="B705" s="38" t="s">
        <v>174</v>
      </c>
      <c r="C705" s="38" t="s">
        <v>242</v>
      </c>
      <c r="D705" s="39" t="s">
        <v>244</v>
      </c>
      <c r="E705" s="39" t="s">
        <v>177</v>
      </c>
      <c r="F705" s="38" t="s">
        <v>131</v>
      </c>
      <c r="G705" s="38" t="s">
        <v>130</v>
      </c>
      <c r="H705" s="44">
        <v>75014</v>
      </c>
      <c r="I705" s="44">
        <v>1584</v>
      </c>
      <c r="J705" s="44">
        <v>4961</v>
      </c>
      <c r="K705" s="44">
        <v>4641</v>
      </c>
      <c r="L705" s="44">
        <v>8446</v>
      </c>
      <c r="M705" s="44">
        <v>6096</v>
      </c>
      <c r="N705" s="44">
        <v>8729</v>
      </c>
      <c r="O705" s="44">
        <v>5721</v>
      </c>
      <c r="P705" s="44">
        <v>3099</v>
      </c>
      <c r="Q705" s="44">
        <v>2211</v>
      </c>
      <c r="R705" s="44">
        <v>1648</v>
      </c>
      <c r="S705" s="44">
        <v>4654</v>
      </c>
      <c r="T705" s="44">
        <v>4089</v>
      </c>
      <c r="U705" s="44">
        <v>3156</v>
      </c>
      <c r="V705" s="44">
        <v>2221</v>
      </c>
      <c r="W705" s="44">
        <v>3362</v>
      </c>
      <c r="X705" s="44">
        <v>2071</v>
      </c>
      <c r="Y705" s="44">
        <v>2472</v>
      </c>
      <c r="Z705" s="44">
        <v>1240</v>
      </c>
      <c r="AA705" s="44">
        <v>1838</v>
      </c>
      <c r="AB705" s="44">
        <v>1031</v>
      </c>
      <c r="AC705" s="44">
        <v>946</v>
      </c>
      <c r="AD705" s="44">
        <v>490</v>
      </c>
      <c r="AE705" s="44">
        <v>179</v>
      </c>
      <c r="AF705" s="44">
        <v>129</v>
      </c>
    </row>
    <row r="706" spans="1:32" x14ac:dyDescent="0.3">
      <c r="A706" s="38" t="s">
        <v>243</v>
      </c>
      <c r="B706" s="38" t="s">
        <v>174</v>
      </c>
      <c r="C706" s="38" t="s">
        <v>242</v>
      </c>
      <c r="D706" s="39" t="s">
        <v>244</v>
      </c>
      <c r="E706" s="39" t="s">
        <v>177</v>
      </c>
      <c r="F706" s="38" t="s">
        <v>132</v>
      </c>
      <c r="G706" s="38" t="s">
        <v>130</v>
      </c>
      <c r="H706" s="44">
        <v>0</v>
      </c>
      <c r="I706" s="44">
        <v>0</v>
      </c>
      <c r="J706" s="44"/>
      <c r="K706" s="44"/>
      <c r="L706" s="44"/>
      <c r="M706" s="44"/>
      <c r="N706" s="44"/>
      <c r="O706" s="44"/>
      <c r="P706" s="44"/>
      <c r="Q706" s="44"/>
      <c r="R706" s="44"/>
      <c r="S706" s="44"/>
      <c r="T706" s="44"/>
      <c r="U706" s="44"/>
      <c r="V706" s="44"/>
      <c r="W706" s="44"/>
      <c r="X706" s="44"/>
      <c r="Y706" s="44"/>
      <c r="Z706" s="44"/>
      <c r="AA706" s="44"/>
      <c r="AB706" s="44"/>
      <c r="AC706" s="44"/>
      <c r="AD706" s="44"/>
      <c r="AE706" s="44"/>
      <c r="AF706" s="44"/>
    </row>
    <row r="707" spans="1:32" x14ac:dyDescent="0.3">
      <c r="A707" s="38" t="s">
        <v>243</v>
      </c>
      <c r="B707" s="38" t="s">
        <v>174</v>
      </c>
      <c r="C707" s="38" t="s">
        <v>242</v>
      </c>
      <c r="D707" s="39" t="s">
        <v>244</v>
      </c>
      <c r="E707" s="39" t="s">
        <v>177</v>
      </c>
      <c r="F707" s="38" t="s">
        <v>133</v>
      </c>
      <c r="G707" s="38" t="s">
        <v>130</v>
      </c>
      <c r="H707" s="44">
        <v>0</v>
      </c>
      <c r="I707" s="44">
        <v>0</v>
      </c>
      <c r="J707" s="44"/>
      <c r="K707" s="44"/>
      <c r="L707" s="44"/>
      <c r="M707" s="44"/>
      <c r="N707" s="44"/>
      <c r="O707" s="44"/>
      <c r="P707" s="44"/>
      <c r="Q707" s="44"/>
      <c r="R707" s="44"/>
      <c r="S707" s="44"/>
      <c r="T707" s="44"/>
      <c r="U707" s="44"/>
      <c r="V707" s="44"/>
      <c r="W707" s="44"/>
      <c r="X707" s="44"/>
      <c r="Y707" s="44"/>
      <c r="Z707" s="44"/>
      <c r="AA707" s="44"/>
      <c r="AB707" s="44"/>
      <c r="AC707" s="44"/>
      <c r="AD707" s="44"/>
      <c r="AE707" s="44"/>
      <c r="AF707" s="44"/>
    </row>
    <row r="708" spans="1:32" x14ac:dyDescent="0.3">
      <c r="A708" s="38" t="s">
        <v>243</v>
      </c>
      <c r="B708" s="38" t="s">
        <v>174</v>
      </c>
      <c r="C708" s="38" t="s">
        <v>242</v>
      </c>
      <c r="D708" s="39" t="s">
        <v>244</v>
      </c>
      <c r="E708" s="39" t="s">
        <v>177</v>
      </c>
      <c r="F708" s="38" t="s">
        <v>134</v>
      </c>
      <c r="G708" s="38" t="s">
        <v>130</v>
      </c>
      <c r="H708" s="44">
        <v>10</v>
      </c>
      <c r="I708" s="44">
        <v>10</v>
      </c>
      <c r="J708" s="44"/>
      <c r="K708" s="44"/>
      <c r="L708" s="44"/>
      <c r="M708" s="44"/>
      <c r="N708" s="44"/>
      <c r="O708" s="44"/>
      <c r="P708" s="44"/>
      <c r="Q708" s="44"/>
      <c r="R708" s="44"/>
      <c r="S708" s="44"/>
      <c r="T708" s="44"/>
      <c r="U708" s="44"/>
      <c r="V708" s="44"/>
      <c r="W708" s="44"/>
      <c r="X708" s="44"/>
      <c r="Y708" s="44"/>
      <c r="Z708" s="44"/>
      <c r="AA708" s="44"/>
      <c r="AB708" s="44"/>
      <c r="AC708" s="44"/>
      <c r="AD708" s="44"/>
      <c r="AE708" s="44"/>
      <c r="AF708" s="44"/>
    </row>
    <row r="709" spans="1:32" x14ac:dyDescent="0.3">
      <c r="A709" s="38" t="s">
        <v>243</v>
      </c>
      <c r="B709" s="38" t="s">
        <v>174</v>
      </c>
      <c r="C709" s="38" t="s">
        <v>242</v>
      </c>
      <c r="D709" s="39" t="s">
        <v>244</v>
      </c>
      <c r="E709" s="39" t="s">
        <v>177</v>
      </c>
      <c r="F709" s="38" t="s">
        <v>135</v>
      </c>
      <c r="G709" s="38" t="s">
        <v>130</v>
      </c>
      <c r="H709" s="44"/>
      <c r="I709" s="44"/>
      <c r="J709" s="44"/>
      <c r="K709" s="44"/>
      <c r="L709" s="44"/>
      <c r="M709" s="44"/>
      <c r="N709" s="44"/>
      <c r="O709" s="44"/>
      <c r="P709" s="44"/>
      <c r="Q709" s="44"/>
      <c r="R709" s="44"/>
      <c r="S709" s="44"/>
      <c r="T709" s="44"/>
      <c r="U709" s="44"/>
      <c r="V709" s="44"/>
      <c r="W709" s="44"/>
      <c r="X709" s="44"/>
      <c r="Y709" s="44"/>
      <c r="Z709" s="44"/>
      <c r="AA709" s="44"/>
      <c r="AB709" s="44"/>
      <c r="AC709" s="44"/>
      <c r="AD709" s="44"/>
      <c r="AE709" s="44"/>
      <c r="AF709" s="44"/>
    </row>
    <row r="710" spans="1:32" x14ac:dyDescent="0.3">
      <c r="A710" s="38" t="s">
        <v>243</v>
      </c>
      <c r="B710" s="38" t="s">
        <v>174</v>
      </c>
      <c r="C710" s="38" t="s">
        <v>242</v>
      </c>
      <c r="D710" s="39" t="s">
        <v>244</v>
      </c>
      <c r="E710" s="39" t="s">
        <v>177</v>
      </c>
      <c r="F710" s="38" t="s">
        <v>136</v>
      </c>
      <c r="G710" s="38" t="s">
        <v>130</v>
      </c>
      <c r="H710" s="44">
        <f>SUM(I710:AF710)</f>
        <v>0</v>
      </c>
      <c r="I710" s="44">
        <f t="shared" ref="I710:AF710" si="162">IF(AND(ISBLANK(I713) = TRUE,ISBLANK(I712) = TRUE),I711,I712+I713)</f>
        <v>0</v>
      </c>
      <c r="J710" s="44">
        <f t="shared" si="162"/>
        <v>0</v>
      </c>
      <c r="K710" s="44">
        <f t="shared" si="162"/>
        <v>0</v>
      </c>
      <c r="L710" s="44">
        <f t="shared" si="162"/>
        <v>0</v>
      </c>
      <c r="M710" s="44">
        <f t="shared" si="162"/>
        <v>0</v>
      </c>
      <c r="N710" s="44">
        <f t="shared" si="162"/>
        <v>0</v>
      </c>
      <c r="O710" s="44">
        <f t="shared" si="162"/>
        <v>0</v>
      </c>
      <c r="P710" s="44">
        <f t="shared" si="162"/>
        <v>0</v>
      </c>
      <c r="Q710" s="44">
        <f t="shared" si="162"/>
        <v>0</v>
      </c>
      <c r="R710" s="44">
        <f t="shared" si="162"/>
        <v>0</v>
      </c>
      <c r="S710" s="44">
        <f t="shared" si="162"/>
        <v>0</v>
      </c>
      <c r="T710" s="44">
        <f t="shared" si="162"/>
        <v>0</v>
      </c>
      <c r="U710" s="44">
        <f t="shared" si="162"/>
        <v>0</v>
      </c>
      <c r="V710" s="44">
        <f t="shared" si="162"/>
        <v>0</v>
      </c>
      <c r="W710" s="44">
        <f t="shared" si="162"/>
        <v>0</v>
      </c>
      <c r="X710" s="44">
        <f t="shared" si="162"/>
        <v>0</v>
      </c>
      <c r="Y710" s="44">
        <f t="shared" si="162"/>
        <v>0</v>
      </c>
      <c r="Z710" s="44">
        <f t="shared" si="162"/>
        <v>0</v>
      </c>
      <c r="AA710" s="44">
        <f t="shared" si="162"/>
        <v>0</v>
      </c>
      <c r="AB710" s="44">
        <f t="shared" si="162"/>
        <v>0</v>
      </c>
      <c r="AC710" s="44">
        <f t="shared" si="162"/>
        <v>0</v>
      </c>
      <c r="AD710" s="44">
        <f t="shared" si="162"/>
        <v>0</v>
      </c>
      <c r="AE710" s="44">
        <f t="shared" si="162"/>
        <v>0</v>
      </c>
      <c r="AF710" s="44">
        <f t="shared" si="162"/>
        <v>0</v>
      </c>
    </row>
    <row r="711" spans="1:32" x14ac:dyDescent="0.3">
      <c r="A711" s="38" t="s">
        <v>243</v>
      </c>
      <c r="B711" s="38" t="s">
        <v>174</v>
      </c>
      <c r="C711" s="38" t="s">
        <v>242</v>
      </c>
      <c r="D711" s="39" t="s">
        <v>244</v>
      </c>
      <c r="E711" s="39" t="s">
        <v>177</v>
      </c>
      <c r="F711" s="38" t="s">
        <v>124</v>
      </c>
      <c r="G711" s="38" t="s">
        <v>130</v>
      </c>
      <c r="H711" s="44"/>
      <c r="I711" s="44"/>
      <c r="J711" s="44"/>
      <c r="K711" s="44"/>
      <c r="L711" s="44"/>
      <c r="M711" s="44"/>
      <c r="N711" s="44"/>
      <c r="O711" s="44"/>
      <c r="P711" s="44"/>
      <c r="Q711" s="44"/>
      <c r="R711" s="44"/>
      <c r="S711" s="44"/>
      <c r="T711" s="44"/>
      <c r="U711" s="44"/>
      <c r="V711" s="44"/>
      <c r="W711" s="44"/>
      <c r="X711" s="44"/>
      <c r="Y711" s="44"/>
      <c r="Z711" s="44"/>
      <c r="AA711" s="44"/>
      <c r="AB711" s="44"/>
      <c r="AC711" s="44"/>
      <c r="AD711" s="44"/>
      <c r="AE711" s="44"/>
      <c r="AF711" s="44"/>
    </row>
    <row r="712" spans="1:32" x14ac:dyDescent="0.3">
      <c r="A712" s="38" t="s">
        <v>243</v>
      </c>
      <c r="B712" s="38" t="s">
        <v>174</v>
      </c>
      <c r="C712" s="38" t="s">
        <v>242</v>
      </c>
      <c r="D712" s="39" t="s">
        <v>244</v>
      </c>
      <c r="E712" s="39" t="s">
        <v>177</v>
      </c>
      <c r="F712" s="38" t="s">
        <v>137</v>
      </c>
      <c r="G712" s="38" t="s">
        <v>130</v>
      </c>
      <c r="H712" s="44">
        <f>SUM(I712:AF712)</f>
        <v>0</v>
      </c>
      <c r="I712" s="44"/>
      <c r="J712" s="44"/>
      <c r="K712" s="44"/>
      <c r="L712" s="44"/>
      <c r="M712" s="44"/>
      <c r="N712" s="44"/>
      <c r="O712" s="44"/>
      <c r="P712" s="44"/>
      <c r="Q712" s="44"/>
      <c r="R712" s="44"/>
      <c r="S712" s="44"/>
      <c r="T712" s="44"/>
      <c r="U712" s="44"/>
      <c r="V712" s="44"/>
      <c r="W712" s="44"/>
      <c r="X712" s="44"/>
      <c r="Y712" s="44"/>
      <c r="Z712" s="44"/>
      <c r="AA712" s="44"/>
      <c r="AB712" s="44"/>
      <c r="AC712" s="44"/>
      <c r="AD712" s="44"/>
      <c r="AE712" s="44"/>
      <c r="AF712" s="44"/>
    </row>
    <row r="713" spans="1:32" x14ac:dyDescent="0.3">
      <c r="A713" s="38" t="s">
        <v>243</v>
      </c>
      <c r="B713" s="38" t="s">
        <v>174</v>
      </c>
      <c r="C713" s="38" t="s">
        <v>242</v>
      </c>
      <c r="D713" s="39" t="s">
        <v>244</v>
      </c>
      <c r="E713" s="39" t="s">
        <v>177</v>
      </c>
      <c r="F713" s="38" t="s">
        <v>138</v>
      </c>
      <c r="G713" s="38" t="s">
        <v>130</v>
      </c>
      <c r="H713" s="44">
        <f>SUM(I713:AF713)</f>
        <v>0</v>
      </c>
      <c r="I713" s="44"/>
      <c r="J713" s="44"/>
      <c r="K713" s="44"/>
      <c r="L713" s="44"/>
      <c r="M713" s="44"/>
      <c r="N713" s="44"/>
      <c r="O713" s="44"/>
      <c r="P713" s="44"/>
      <c r="Q713" s="44"/>
      <c r="R713" s="44"/>
      <c r="S713" s="44"/>
      <c r="T713" s="44"/>
      <c r="U713" s="44"/>
      <c r="V713" s="44"/>
      <c r="W713" s="44"/>
      <c r="X713" s="44"/>
      <c r="Y713" s="44"/>
      <c r="Z713" s="44"/>
      <c r="AA713" s="44"/>
      <c r="AB713" s="44"/>
      <c r="AC713" s="44"/>
      <c r="AD713" s="44"/>
      <c r="AE713" s="44"/>
      <c r="AF713" s="44"/>
    </row>
    <row r="714" spans="1:32" x14ac:dyDescent="0.3">
      <c r="A714" s="38" t="s">
        <v>243</v>
      </c>
      <c r="B714" s="38" t="s">
        <v>174</v>
      </c>
      <c r="C714" s="38" t="s">
        <v>242</v>
      </c>
      <c r="D714" s="39" t="s">
        <v>244</v>
      </c>
      <c r="E714" s="39" t="s">
        <v>177</v>
      </c>
      <c r="F714" s="38" t="s">
        <v>139</v>
      </c>
      <c r="G714" s="38" t="s">
        <v>130</v>
      </c>
      <c r="H714" s="44"/>
      <c r="I714" s="44"/>
      <c r="J714" s="44"/>
      <c r="K714" s="44"/>
      <c r="L714" s="44"/>
      <c r="M714" s="44"/>
      <c r="N714" s="44"/>
      <c r="O714" s="44"/>
      <c r="P714" s="44"/>
      <c r="Q714" s="44"/>
      <c r="R714" s="44"/>
      <c r="S714" s="44"/>
      <c r="T714" s="44"/>
      <c r="U714" s="44"/>
      <c r="V714" s="44"/>
      <c r="W714" s="44"/>
      <c r="X714" s="44"/>
      <c r="Y714" s="44"/>
      <c r="Z714" s="44"/>
      <c r="AA714" s="44"/>
      <c r="AB714" s="44"/>
      <c r="AC714" s="44"/>
      <c r="AD714" s="44"/>
      <c r="AE714" s="44"/>
      <c r="AF714" s="44"/>
    </row>
    <row r="715" spans="1:32" x14ac:dyDescent="0.3">
      <c r="A715" s="38" t="s">
        <v>243</v>
      </c>
      <c r="B715" s="38" t="s">
        <v>174</v>
      </c>
      <c r="C715" s="38" t="s">
        <v>242</v>
      </c>
      <c r="D715" s="39" t="s">
        <v>244</v>
      </c>
      <c r="E715" s="39" t="s">
        <v>177</v>
      </c>
      <c r="F715" s="38" t="s">
        <v>140</v>
      </c>
      <c r="G715" s="38" t="s">
        <v>130</v>
      </c>
      <c r="H715" s="44"/>
      <c r="I715" s="44">
        <f>I710-(I705+I704)+(I709+I708+I707+I706)</f>
        <v>-12643</v>
      </c>
      <c r="J715" s="44">
        <f t="shared" ref="J715:AF715" si="163">I715+J710-J705</f>
        <v>-17604</v>
      </c>
      <c r="K715" s="44">
        <f t="shared" si="163"/>
        <v>-22245</v>
      </c>
      <c r="L715" s="44">
        <f t="shared" si="163"/>
        <v>-30691</v>
      </c>
      <c r="M715" s="44">
        <f t="shared" si="163"/>
        <v>-36787</v>
      </c>
      <c r="N715" s="44">
        <f t="shared" si="163"/>
        <v>-45516</v>
      </c>
      <c r="O715" s="44">
        <f t="shared" si="163"/>
        <v>-51237</v>
      </c>
      <c r="P715" s="44">
        <f t="shared" si="163"/>
        <v>-54336</v>
      </c>
      <c r="Q715" s="44">
        <f t="shared" si="163"/>
        <v>-56547</v>
      </c>
      <c r="R715" s="44">
        <f t="shared" si="163"/>
        <v>-58195</v>
      </c>
      <c r="S715" s="44">
        <f t="shared" si="163"/>
        <v>-62849</v>
      </c>
      <c r="T715" s="44">
        <f t="shared" si="163"/>
        <v>-66938</v>
      </c>
      <c r="U715" s="44">
        <f t="shared" si="163"/>
        <v>-70094</v>
      </c>
      <c r="V715" s="44">
        <f t="shared" si="163"/>
        <v>-72315</v>
      </c>
      <c r="W715" s="44">
        <f t="shared" si="163"/>
        <v>-75677</v>
      </c>
      <c r="X715" s="44">
        <f t="shared" si="163"/>
        <v>-77748</v>
      </c>
      <c r="Y715" s="44">
        <f t="shared" si="163"/>
        <v>-80220</v>
      </c>
      <c r="Z715" s="44">
        <f t="shared" si="163"/>
        <v>-81460</v>
      </c>
      <c r="AA715" s="44">
        <f t="shared" si="163"/>
        <v>-83298</v>
      </c>
      <c r="AB715" s="44">
        <f t="shared" si="163"/>
        <v>-84329</v>
      </c>
      <c r="AC715" s="44">
        <f t="shared" si="163"/>
        <v>-85275</v>
      </c>
      <c r="AD715" s="44">
        <f t="shared" si="163"/>
        <v>-85765</v>
      </c>
      <c r="AE715" s="44">
        <f t="shared" si="163"/>
        <v>-85944</v>
      </c>
      <c r="AF715" s="44">
        <f t="shared" si="163"/>
        <v>-86073</v>
      </c>
    </row>
    <row r="716" spans="1:32" ht="15" thickBot="1" x14ac:dyDescent="0.35">
      <c r="A716" s="40" t="s">
        <v>243</v>
      </c>
      <c r="B716" s="40" t="s">
        <v>174</v>
      </c>
      <c r="C716" s="40" t="s">
        <v>242</v>
      </c>
      <c r="D716" s="41" t="s">
        <v>244</v>
      </c>
      <c r="E716" s="41" t="s">
        <v>177</v>
      </c>
      <c r="F716" s="40" t="s">
        <v>141</v>
      </c>
      <c r="G716" s="40" t="s">
        <v>130</v>
      </c>
      <c r="H716" s="45"/>
      <c r="I716" s="45">
        <f>I710-I714</f>
        <v>0</v>
      </c>
      <c r="J716" s="45">
        <f t="shared" ref="J716:AF716" si="164">I716+J710-J714</f>
        <v>0</v>
      </c>
      <c r="K716" s="45">
        <f t="shared" si="164"/>
        <v>0</v>
      </c>
      <c r="L716" s="45">
        <f t="shared" si="164"/>
        <v>0</v>
      </c>
      <c r="M716" s="45">
        <f t="shared" si="164"/>
        <v>0</v>
      </c>
      <c r="N716" s="45">
        <f t="shared" si="164"/>
        <v>0</v>
      </c>
      <c r="O716" s="45">
        <f t="shared" si="164"/>
        <v>0</v>
      </c>
      <c r="P716" s="45">
        <f t="shared" si="164"/>
        <v>0</v>
      </c>
      <c r="Q716" s="45">
        <f t="shared" si="164"/>
        <v>0</v>
      </c>
      <c r="R716" s="45">
        <f t="shared" si="164"/>
        <v>0</v>
      </c>
      <c r="S716" s="45">
        <f t="shared" si="164"/>
        <v>0</v>
      </c>
      <c r="T716" s="45">
        <f t="shared" si="164"/>
        <v>0</v>
      </c>
      <c r="U716" s="45">
        <f t="shared" si="164"/>
        <v>0</v>
      </c>
      <c r="V716" s="45">
        <f t="shared" si="164"/>
        <v>0</v>
      </c>
      <c r="W716" s="45">
        <f t="shared" si="164"/>
        <v>0</v>
      </c>
      <c r="X716" s="45">
        <f t="shared" si="164"/>
        <v>0</v>
      </c>
      <c r="Y716" s="45">
        <f t="shared" si="164"/>
        <v>0</v>
      </c>
      <c r="Z716" s="45">
        <f t="shared" si="164"/>
        <v>0</v>
      </c>
      <c r="AA716" s="45">
        <f t="shared" si="164"/>
        <v>0</v>
      </c>
      <c r="AB716" s="45">
        <f t="shared" si="164"/>
        <v>0</v>
      </c>
      <c r="AC716" s="45">
        <f t="shared" si="164"/>
        <v>0</v>
      </c>
      <c r="AD716" s="45">
        <f t="shared" si="164"/>
        <v>0</v>
      </c>
      <c r="AE716" s="45">
        <f t="shared" si="164"/>
        <v>0</v>
      </c>
      <c r="AF716" s="45">
        <f t="shared" si="164"/>
        <v>0</v>
      </c>
    </row>
    <row r="717" spans="1:32" x14ac:dyDescent="0.3">
      <c r="A717" s="38" t="s">
        <v>245</v>
      </c>
      <c r="B717" s="38" t="s">
        <v>174</v>
      </c>
      <c r="C717" s="38" t="s">
        <v>246</v>
      </c>
      <c r="D717" s="39" t="s">
        <v>198</v>
      </c>
      <c r="E717" s="39" t="s">
        <v>177</v>
      </c>
      <c r="F717" s="38" t="s">
        <v>129</v>
      </c>
      <c r="G717" s="38" t="s">
        <v>130</v>
      </c>
      <c r="H717" s="44">
        <v>4</v>
      </c>
      <c r="I717" s="44">
        <v>4</v>
      </c>
      <c r="J717" s="44"/>
      <c r="K717" s="44"/>
      <c r="L717" s="44"/>
      <c r="M717" s="44"/>
      <c r="N717" s="44"/>
      <c r="O717" s="44"/>
      <c r="P717" s="44"/>
      <c r="Q717" s="44"/>
      <c r="R717" s="44"/>
      <c r="S717" s="44"/>
      <c r="T717" s="44"/>
      <c r="U717" s="44"/>
      <c r="V717" s="44"/>
      <c r="W717" s="44"/>
      <c r="X717" s="44"/>
      <c r="Y717" s="44"/>
      <c r="Z717" s="44"/>
      <c r="AA717" s="44"/>
      <c r="AB717" s="44"/>
      <c r="AC717" s="44"/>
      <c r="AD717" s="44"/>
      <c r="AE717" s="44"/>
      <c r="AF717" s="44"/>
    </row>
    <row r="718" spans="1:32" x14ac:dyDescent="0.3">
      <c r="A718" s="38" t="s">
        <v>245</v>
      </c>
      <c r="B718" s="38" t="s">
        <v>174</v>
      </c>
      <c r="C718" s="38" t="s">
        <v>246</v>
      </c>
      <c r="D718" s="39" t="s">
        <v>198</v>
      </c>
      <c r="E718" s="39" t="s">
        <v>177</v>
      </c>
      <c r="F718" s="38" t="s">
        <v>131</v>
      </c>
      <c r="G718" s="38" t="s">
        <v>130</v>
      </c>
      <c r="H718" s="44">
        <v>37</v>
      </c>
      <c r="I718" s="44">
        <v>1</v>
      </c>
      <c r="J718" s="44">
        <v>1</v>
      </c>
      <c r="K718" s="44">
        <v>1</v>
      </c>
      <c r="L718" s="44">
        <v>1</v>
      </c>
      <c r="M718" s="44">
        <v>1</v>
      </c>
      <c r="N718" s="44">
        <v>1</v>
      </c>
      <c r="O718" s="44">
        <v>2</v>
      </c>
      <c r="P718" s="44">
        <v>3</v>
      </c>
      <c r="Q718" s="44">
        <v>7</v>
      </c>
      <c r="R718" s="44">
        <v>7</v>
      </c>
      <c r="S718" s="44">
        <v>5</v>
      </c>
      <c r="T718" s="44">
        <v>3</v>
      </c>
      <c r="U718" s="44">
        <v>2</v>
      </c>
      <c r="V718" s="44">
        <v>2</v>
      </c>
      <c r="W718" s="44">
        <v>0</v>
      </c>
      <c r="X718" s="44">
        <v>0</v>
      </c>
      <c r="Y718" s="44">
        <v>0</v>
      </c>
      <c r="Z718" s="44">
        <v>0</v>
      </c>
      <c r="AA718" s="44">
        <v>0</v>
      </c>
      <c r="AB718" s="44">
        <v>0</v>
      </c>
      <c r="AC718" s="44">
        <v>0</v>
      </c>
      <c r="AD718" s="44">
        <v>0</v>
      </c>
      <c r="AE718" s="44">
        <v>0</v>
      </c>
      <c r="AF718" s="44">
        <v>0</v>
      </c>
    </row>
    <row r="719" spans="1:32" x14ac:dyDescent="0.3">
      <c r="A719" s="38" t="s">
        <v>245</v>
      </c>
      <c r="B719" s="38" t="s">
        <v>174</v>
      </c>
      <c r="C719" s="38" t="s">
        <v>246</v>
      </c>
      <c r="D719" s="39" t="s">
        <v>198</v>
      </c>
      <c r="E719" s="39" t="s">
        <v>177</v>
      </c>
      <c r="F719" s="38" t="s">
        <v>132</v>
      </c>
      <c r="G719" s="38" t="s">
        <v>130</v>
      </c>
      <c r="H719" s="44">
        <v>0</v>
      </c>
      <c r="I719" s="44">
        <v>0</v>
      </c>
      <c r="J719" s="44"/>
      <c r="K719" s="44"/>
      <c r="L719" s="44"/>
      <c r="M719" s="44"/>
      <c r="N719" s="44"/>
      <c r="O719" s="44"/>
      <c r="P719" s="44"/>
      <c r="Q719" s="44"/>
      <c r="R719" s="44"/>
      <c r="S719" s="44"/>
      <c r="T719" s="44"/>
      <c r="U719" s="44"/>
      <c r="V719" s="44"/>
      <c r="W719" s="44"/>
      <c r="X719" s="44"/>
      <c r="Y719" s="44"/>
      <c r="Z719" s="44"/>
      <c r="AA719" s="44"/>
      <c r="AB719" s="44"/>
      <c r="AC719" s="44"/>
      <c r="AD719" s="44"/>
      <c r="AE719" s="44"/>
      <c r="AF719" s="44"/>
    </row>
    <row r="720" spans="1:32" x14ac:dyDescent="0.3">
      <c r="A720" s="38" t="s">
        <v>245</v>
      </c>
      <c r="B720" s="38" t="s">
        <v>174</v>
      </c>
      <c r="C720" s="38" t="s">
        <v>246</v>
      </c>
      <c r="D720" s="39" t="s">
        <v>198</v>
      </c>
      <c r="E720" s="39" t="s">
        <v>177</v>
      </c>
      <c r="F720" s="38" t="s">
        <v>133</v>
      </c>
      <c r="G720" s="38" t="s">
        <v>130</v>
      </c>
      <c r="H720" s="44">
        <v>0</v>
      </c>
      <c r="I720" s="44">
        <v>0</v>
      </c>
      <c r="J720" s="44"/>
      <c r="K720" s="44"/>
      <c r="L720" s="44"/>
      <c r="M720" s="44"/>
      <c r="N720" s="44"/>
      <c r="O720" s="44"/>
      <c r="P720" s="44"/>
      <c r="Q720" s="44"/>
      <c r="R720" s="44"/>
      <c r="S720" s="44"/>
      <c r="T720" s="44"/>
      <c r="U720" s="44"/>
      <c r="V720" s="44"/>
      <c r="W720" s="44"/>
      <c r="X720" s="44"/>
      <c r="Y720" s="44"/>
      <c r="Z720" s="44"/>
      <c r="AA720" s="44"/>
      <c r="AB720" s="44"/>
      <c r="AC720" s="44"/>
      <c r="AD720" s="44"/>
      <c r="AE720" s="44"/>
      <c r="AF720" s="44"/>
    </row>
    <row r="721" spans="1:32" x14ac:dyDescent="0.3">
      <c r="A721" s="38" t="s">
        <v>245</v>
      </c>
      <c r="B721" s="38" t="s">
        <v>174</v>
      </c>
      <c r="C721" s="38" t="s">
        <v>246</v>
      </c>
      <c r="D721" s="39" t="s">
        <v>198</v>
      </c>
      <c r="E721" s="39" t="s">
        <v>177</v>
      </c>
      <c r="F721" s="38" t="s">
        <v>134</v>
      </c>
      <c r="G721" s="38" t="s">
        <v>130</v>
      </c>
      <c r="H721" s="44">
        <v>345</v>
      </c>
      <c r="I721" s="44">
        <v>345</v>
      </c>
      <c r="J721" s="44"/>
      <c r="K721" s="44"/>
      <c r="L721" s="44"/>
      <c r="M721" s="44"/>
      <c r="N721" s="44"/>
      <c r="O721" s="44"/>
      <c r="P721" s="44"/>
      <c r="Q721" s="44"/>
      <c r="R721" s="44"/>
      <c r="S721" s="44"/>
      <c r="T721" s="44"/>
      <c r="U721" s="44"/>
      <c r="V721" s="44"/>
      <c r="W721" s="44"/>
      <c r="X721" s="44"/>
      <c r="Y721" s="44"/>
      <c r="Z721" s="44"/>
      <c r="AA721" s="44"/>
      <c r="AB721" s="44"/>
      <c r="AC721" s="44"/>
      <c r="AD721" s="44"/>
      <c r="AE721" s="44"/>
      <c r="AF721" s="44"/>
    </row>
    <row r="722" spans="1:32" x14ac:dyDescent="0.3">
      <c r="A722" s="38" t="s">
        <v>245</v>
      </c>
      <c r="B722" s="38" t="s">
        <v>174</v>
      </c>
      <c r="C722" s="38" t="s">
        <v>246</v>
      </c>
      <c r="D722" s="39" t="s">
        <v>198</v>
      </c>
      <c r="E722" s="39" t="s">
        <v>177</v>
      </c>
      <c r="F722" s="38" t="s">
        <v>135</v>
      </c>
      <c r="G722" s="38" t="s">
        <v>130</v>
      </c>
      <c r="H722" s="44"/>
      <c r="I722" s="44"/>
      <c r="J722" s="44"/>
      <c r="K722" s="44"/>
      <c r="L722" s="44"/>
      <c r="M722" s="44"/>
      <c r="N722" s="44"/>
      <c r="O722" s="44"/>
      <c r="P722" s="44"/>
      <c r="Q722" s="44"/>
      <c r="R722" s="44"/>
      <c r="S722" s="44"/>
      <c r="T722" s="44"/>
      <c r="U722" s="44"/>
      <c r="V722" s="44"/>
      <c r="W722" s="44"/>
      <c r="X722" s="44"/>
      <c r="Y722" s="44"/>
      <c r="Z722" s="44"/>
      <c r="AA722" s="44"/>
      <c r="AB722" s="44"/>
      <c r="AC722" s="44"/>
      <c r="AD722" s="44"/>
      <c r="AE722" s="44"/>
      <c r="AF722" s="44"/>
    </row>
    <row r="723" spans="1:32" x14ac:dyDescent="0.3">
      <c r="A723" s="38" t="s">
        <v>245</v>
      </c>
      <c r="B723" s="38" t="s">
        <v>174</v>
      </c>
      <c r="C723" s="38" t="s">
        <v>246</v>
      </c>
      <c r="D723" s="39" t="s">
        <v>198</v>
      </c>
      <c r="E723" s="39" t="s">
        <v>177</v>
      </c>
      <c r="F723" s="38" t="s">
        <v>136</v>
      </c>
      <c r="G723" s="38" t="s">
        <v>130</v>
      </c>
      <c r="H723" s="44">
        <f>SUM(I723:AF723)</f>
        <v>0</v>
      </c>
      <c r="I723" s="44">
        <f t="shared" ref="I723:AF723" si="165">IF(AND(ISBLANK(I726) = TRUE,ISBLANK(I725) = TRUE),I724,I725+I726)</f>
        <v>0</v>
      </c>
      <c r="J723" s="44">
        <f t="shared" si="165"/>
        <v>0</v>
      </c>
      <c r="K723" s="44">
        <f t="shared" si="165"/>
        <v>0</v>
      </c>
      <c r="L723" s="44">
        <f t="shared" si="165"/>
        <v>0</v>
      </c>
      <c r="M723" s="44">
        <f t="shared" si="165"/>
        <v>0</v>
      </c>
      <c r="N723" s="44">
        <f t="shared" si="165"/>
        <v>0</v>
      </c>
      <c r="O723" s="44">
        <f t="shared" si="165"/>
        <v>0</v>
      </c>
      <c r="P723" s="44">
        <f t="shared" si="165"/>
        <v>0</v>
      </c>
      <c r="Q723" s="44">
        <f t="shared" si="165"/>
        <v>0</v>
      </c>
      <c r="R723" s="44">
        <f t="shared" si="165"/>
        <v>0</v>
      </c>
      <c r="S723" s="44">
        <f t="shared" si="165"/>
        <v>0</v>
      </c>
      <c r="T723" s="44">
        <f t="shared" si="165"/>
        <v>0</v>
      </c>
      <c r="U723" s="44">
        <f t="shared" si="165"/>
        <v>0</v>
      </c>
      <c r="V723" s="44">
        <f t="shared" si="165"/>
        <v>0</v>
      </c>
      <c r="W723" s="44">
        <f t="shared" si="165"/>
        <v>0</v>
      </c>
      <c r="X723" s="44">
        <f t="shared" si="165"/>
        <v>0</v>
      </c>
      <c r="Y723" s="44">
        <f t="shared" si="165"/>
        <v>0</v>
      </c>
      <c r="Z723" s="44">
        <f t="shared" si="165"/>
        <v>0</v>
      </c>
      <c r="AA723" s="44">
        <f t="shared" si="165"/>
        <v>0</v>
      </c>
      <c r="AB723" s="44">
        <f t="shared" si="165"/>
        <v>0</v>
      </c>
      <c r="AC723" s="44">
        <f t="shared" si="165"/>
        <v>0</v>
      </c>
      <c r="AD723" s="44">
        <f t="shared" si="165"/>
        <v>0</v>
      </c>
      <c r="AE723" s="44">
        <f t="shared" si="165"/>
        <v>0</v>
      </c>
      <c r="AF723" s="44">
        <f t="shared" si="165"/>
        <v>0</v>
      </c>
    </row>
    <row r="724" spans="1:32" x14ac:dyDescent="0.3">
      <c r="A724" s="38" t="s">
        <v>245</v>
      </c>
      <c r="B724" s="38" t="s">
        <v>174</v>
      </c>
      <c r="C724" s="38" t="s">
        <v>246</v>
      </c>
      <c r="D724" s="39" t="s">
        <v>198</v>
      </c>
      <c r="E724" s="39" t="s">
        <v>177</v>
      </c>
      <c r="F724" s="38" t="s">
        <v>124</v>
      </c>
      <c r="G724" s="38" t="s">
        <v>130</v>
      </c>
      <c r="H724" s="44"/>
      <c r="I724" s="44"/>
      <c r="J724" s="44"/>
      <c r="K724" s="44"/>
      <c r="L724" s="44"/>
      <c r="M724" s="44"/>
      <c r="N724" s="44"/>
      <c r="O724" s="44"/>
      <c r="P724" s="44"/>
      <c r="Q724" s="44"/>
      <c r="R724" s="44"/>
      <c r="S724" s="44"/>
      <c r="T724" s="44"/>
      <c r="U724" s="44"/>
      <c r="V724" s="44"/>
      <c r="W724" s="44"/>
      <c r="X724" s="44"/>
      <c r="Y724" s="44"/>
      <c r="Z724" s="44"/>
      <c r="AA724" s="44"/>
      <c r="AB724" s="44"/>
      <c r="AC724" s="44"/>
      <c r="AD724" s="44"/>
      <c r="AE724" s="44"/>
      <c r="AF724" s="44"/>
    </row>
    <row r="725" spans="1:32" x14ac:dyDescent="0.3">
      <c r="A725" s="38" t="s">
        <v>245</v>
      </c>
      <c r="B725" s="38" t="s">
        <v>174</v>
      </c>
      <c r="C725" s="38" t="s">
        <v>246</v>
      </c>
      <c r="D725" s="39" t="s">
        <v>198</v>
      </c>
      <c r="E725" s="39" t="s">
        <v>177</v>
      </c>
      <c r="F725" s="38" t="s">
        <v>137</v>
      </c>
      <c r="G725" s="38" t="s">
        <v>130</v>
      </c>
      <c r="H725" s="44">
        <f>SUM(I725:AF725)</f>
        <v>0</v>
      </c>
      <c r="I725" s="44"/>
      <c r="J725" s="44"/>
      <c r="K725" s="44"/>
      <c r="L725" s="44"/>
      <c r="M725" s="44"/>
      <c r="N725" s="44"/>
      <c r="O725" s="44"/>
      <c r="P725" s="44"/>
      <c r="Q725" s="44"/>
      <c r="R725" s="44"/>
      <c r="S725" s="44"/>
      <c r="T725" s="44"/>
      <c r="U725" s="44"/>
      <c r="V725" s="44"/>
      <c r="W725" s="44"/>
      <c r="X725" s="44"/>
      <c r="Y725" s="44"/>
      <c r="Z725" s="44"/>
      <c r="AA725" s="44"/>
      <c r="AB725" s="44"/>
      <c r="AC725" s="44"/>
      <c r="AD725" s="44"/>
      <c r="AE725" s="44"/>
      <c r="AF725" s="44"/>
    </row>
    <row r="726" spans="1:32" x14ac:dyDescent="0.3">
      <c r="A726" s="38" t="s">
        <v>245</v>
      </c>
      <c r="B726" s="38" t="s">
        <v>174</v>
      </c>
      <c r="C726" s="38" t="s">
        <v>246</v>
      </c>
      <c r="D726" s="39" t="s">
        <v>198</v>
      </c>
      <c r="E726" s="39" t="s">
        <v>177</v>
      </c>
      <c r="F726" s="38" t="s">
        <v>138</v>
      </c>
      <c r="G726" s="38" t="s">
        <v>130</v>
      </c>
      <c r="H726" s="44">
        <f>SUM(I726:AF726)</f>
        <v>0</v>
      </c>
      <c r="I726" s="44"/>
      <c r="J726" s="44"/>
      <c r="K726" s="44"/>
      <c r="L726" s="44"/>
      <c r="M726" s="44"/>
      <c r="N726" s="44"/>
      <c r="O726" s="44"/>
      <c r="P726" s="44"/>
      <c r="Q726" s="44"/>
      <c r="R726" s="44"/>
      <c r="S726" s="44"/>
      <c r="T726" s="44"/>
      <c r="U726" s="44"/>
      <c r="V726" s="44"/>
      <c r="W726" s="44"/>
      <c r="X726" s="44"/>
      <c r="Y726" s="44"/>
      <c r="Z726" s="44"/>
      <c r="AA726" s="44"/>
      <c r="AB726" s="44"/>
      <c r="AC726" s="44"/>
      <c r="AD726" s="44"/>
      <c r="AE726" s="44"/>
      <c r="AF726" s="44"/>
    </row>
    <row r="727" spans="1:32" x14ac:dyDescent="0.3">
      <c r="A727" s="38" t="s">
        <v>245</v>
      </c>
      <c r="B727" s="38" t="s">
        <v>174</v>
      </c>
      <c r="C727" s="38" t="s">
        <v>246</v>
      </c>
      <c r="D727" s="39" t="s">
        <v>198</v>
      </c>
      <c r="E727" s="39" t="s">
        <v>177</v>
      </c>
      <c r="F727" s="38" t="s">
        <v>139</v>
      </c>
      <c r="G727" s="38" t="s">
        <v>130</v>
      </c>
      <c r="H727" s="44"/>
      <c r="I727" s="44"/>
      <c r="J727" s="44"/>
      <c r="K727" s="44"/>
      <c r="L727" s="44"/>
      <c r="M727" s="44"/>
      <c r="N727" s="44"/>
      <c r="O727" s="44"/>
      <c r="P727" s="44"/>
      <c r="Q727" s="44"/>
      <c r="R727" s="44"/>
      <c r="S727" s="44"/>
      <c r="T727" s="44"/>
      <c r="U727" s="44"/>
      <c r="V727" s="44"/>
      <c r="W727" s="44"/>
      <c r="X727" s="44"/>
      <c r="Y727" s="44"/>
      <c r="Z727" s="44"/>
      <c r="AA727" s="44"/>
      <c r="AB727" s="44"/>
      <c r="AC727" s="44"/>
      <c r="AD727" s="44"/>
      <c r="AE727" s="44"/>
      <c r="AF727" s="44"/>
    </row>
    <row r="728" spans="1:32" x14ac:dyDescent="0.3">
      <c r="A728" s="38" t="s">
        <v>245</v>
      </c>
      <c r="B728" s="38" t="s">
        <v>174</v>
      </c>
      <c r="C728" s="38" t="s">
        <v>246</v>
      </c>
      <c r="D728" s="39" t="s">
        <v>198</v>
      </c>
      <c r="E728" s="39" t="s">
        <v>177</v>
      </c>
      <c r="F728" s="38" t="s">
        <v>140</v>
      </c>
      <c r="G728" s="38" t="s">
        <v>130</v>
      </c>
      <c r="H728" s="44"/>
      <c r="I728" s="44">
        <f>I723-(I718+I717)+(I722+I721+I720+I719)</f>
        <v>340</v>
      </c>
      <c r="J728" s="44">
        <f t="shared" ref="J728:AF728" si="166">I728+J723-J718</f>
        <v>339</v>
      </c>
      <c r="K728" s="44">
        <f t="shared" si="166"/>
        <v>338</v>
      </c>
      <c r="L728" s="44">
        <f t="shared" si="166"/>
        <v>337</v>
      </c>
      <c r="M728" s="44">
        <f t="shared" si="166"/>
        <v>336</v>
      </c>
      <c r="N728" s="44">
        <f t="shared" si="166"/>
        <v>335</v>
      </c>
      <c r="O728" s="44">
        <f t="shared" si="166"/>
        <v>333</v>
      </c>
      <c r="P728" s="44">
        <f t="shared" si="166"/>
        <v>330</v>
      </c>
      <c r="Q728" s="44">
        <f t="shared" si="166"/>
        <v>323</v>
      </c>
      <c r="R728" s="44">
        <f t="shared" si="166"/>
        <v>316</v>
      </c>
      <c r="S728" s="44">
        <f t="shared" si="166"/>
        <v>311</v>
      </c>
      <c r="T728" s="44">
        <f t="shared" si="166"/>
        <v>308</v>
      </c>
      <c r="U728" s="44">
        <f t="shared" si="166"/>
        <v>306</v>
      </c>
      <c r="V728" s="44">
        <f t="shared" si="166"/>
        <v>304</v>
      </c>
      <c r="W728" s="44">
        <f t="shared" si="166"/>
        <v>304</v>
      </c>
      <c r="X728" s="44">
        <f t="shared" si="166"/>
        <v>304</v>
      </c>
      <c r="Y728" s="44">
        <f t="shared" si="166"/>
        <v>304</v>
      </c>
      <c r="Z728" s="44">
        <f t="shared" si="166"/>
        <v>304</v>
      </c>
      <c r="AA728" s="44">
        <f t="shared" si="166"/>
        <v>304</v>
      </c>
      <c r="AB728" s="44">
        <f t="shared" si="166"/>
        <v>304</v>
      </c>
      <c r="AC728" s="44">
        <f t="shared" si="166"/>
        <v>304</v>
      </c>
      <c r="AD728" s="44">
        <f t="shared" si="166"/>
        <v>304</v>
      </c>
      <c r="AE728" s="44">
        <f t="shared" si="166"/>
        <v>304</v>
      </c>
      <c r="AF728" s="44">
        <f t="shared" si="166"/>
        <v>304</v>
      </c>
    </row>
    <row r="729" spans="1:32" ht="15" thickBot="1" x14ac:dyDescent="0.35">
      <c r="A729" s="40" t="s">
        <v>245</v>
      </c>
      <c r="B729" s="40" t="s">
        <v>174</v>
      </c>
      <c r="C729" s="40" t="s">
        <v>246</v>
      </c>
      <c r="D729" s="41" t="s">
        <v>198</v>
      </c>
      <c r="E729" s="41" t="s">
        <v>177</v>
      </c>
      <c r="F729" s="40" t="s">
        <v>141</v>
      </c>
      <c r="G729" s="40" t="s">
        <v>130</v>
      </c>
      <c r="H729" s="45"/>
      <c r="I729" s="45">
        <f>I723-I727</f>
        <v>0</v>
      </c>
      <c r="J729" s="45">
        <f t="shared" ref="J729:AF729" si="167">I729+J723-J727</f>
        <v>0</v>
      </c>
      <c r="K729" s="45">
        <f t="shared" si="167"/>
        <v>0</v>
      </c>
      <c r="L729" s="45">
        <f t="shared" si="167"/>
        <v>0</v>
      </c>
      <c r="M729" s="45">
        <f t="shared" si="167"/>
        <v>0</v>
      </c>
      <c r="N729" s="45">
        <f t="shared" si="167"/>
        <v>0</v>
      </c>
      <c r="O729" s="45">
        <f t="shared" si="167"/>
        <v>0</v>
      </c>
      <c r="P729" s="45">
        <f t="shared" si="167"/>
        <v>0</v>
      </c>
      <c r="Q729" s="45">
        <f t="shared" si="167"/>
        <v>0</v>
      </c>
      <c r="R729" s="45">
        <f t="shared" si="167"/>
        <v>0</v>
      </c>
      <c r="S729" s="45">
        <f t="shared" si="167"/>
        <v>0</v>
      </c>
      <c r="T729" s="45">
        <f t="shared" si="167"/>
        <v>0</v>
      </c>
      <c r="U729" s="45">
        <f t="shared" si="167"/>
        <v>0</v>
      </c>
      <c r="V729" s="45">
        <f t="shared" si="167"/>
        <v>0</v>
      </c>
      <c r="W729" s="45">
        <f t="shared" si="167"/>
        <v>0</v>
      </c>
      <c r="X729" s="45">
        <f t="shared" si="167"/>
        <v>0</v>
      </c>
      <c r="Y729" s="45">
        <f t="shared" si="167"/>
        <v>0</v>
      </c>
      <c r="Z729" s="45">
        <f t="shared" si="167"/>
        <v>0</v>
      </c>
      <c r="AA729" s="45">
        <f t="shared" si="167"/>
        <v>0</v>
      </c>
      <c r="AB729" s="45">
        <f t="shared" si="167"/>
        <v>0</v>
      </c>
      <c r="AC729" s="45">
        <f t="shared" si="167"/>
        <v>0</v>
      </c>
      <c r="AD729" s="45">
        <f t="shared" si="167"/>
        <v>0</v>
      </c>
      <c r="AE729" s="45">
        <f t="shared" si="167"/>
        <v>0</v>
      </c>
      <c r="AF729" s="45">
        <f t="shared" si="167"/>
        <v>0</v>
      </c>
    </row>
    <row r="730" spans="1:32" x14ac:dyDescent="0.3">
      <c r="A730" s="38" t="s">
        <v>247</v>
      </c>
      <c r="B730" s="38" t="s">
        <v>174</v>
      </c>
      <c r="C730" s="38" t="s">
        <v>246</v>
      </c>
      <c r="D730" s="39" t="s">
        <v>198</v>
      </c>
      <c r="E730" s="39" t="s">
        <v>195</v>
      </c>
      <c r="F730" s="38" t="s">
        <v>129</v>
      </c>
      <c r="G730" s="38" t="s">
        <v>130</v>
      </c>
      <c r="H730" s="44">
        <v>13357</v>
      </c>
      <c r="I730" s="44">
        <v>13357</v>
      </c>
      <c r="J730" s="44"/>
      <c r="K730" s="44"/>
      <c r="L730" s="44"/>
      <c r="M730" s="44"/>
      <c r="N730" s="44"/>
      <c r="O730" s="44"/>
      <c r="P730" s="44"/>
      <c r="Q730" s="44"/>
      <c r="R730" s="44"/>
      <c r="S730" s="44"/>
      <c r="T730" s="44"/>
      <c r="U730" s="44"/>
      <c r="V730" s="44"/>
      <c r="W730" s="44"/>
      <c r="X730" s="44"/>
      <c r="Y730" s="44"/>
      <c r="Z730" s="44"/>
      <c r="AA730" s="44"/>
      <c r="AB730" s="44"/>
      <c r="AC730" s="44"/>
      <c r="AD730" s="44"/>
      <c r="AE730" s="44"/>
      <c r="AF730" s="44"/>
    </row>
    <row r="731" spans="1:32" x14ac:dyDescent="0.3">
      <c r="A731" s="38" t="s">
        <v>247</v>
      </c>
      <c r="B731" s="38" t="s">
        <v>174</v>
      </c>
      <c r="C731" s="38" t="s">
        <v>246</v>
      </c>
      <c r="D731" s="39" t="s">
        <v>198</v>
      </c>
      <c r="E731" s="39" t="s">
        <v>195</v>
      </c>
      <c r="F731" s="38" t="s">
        <v>131</v>
      </c>
      <c r="G731" s="38" t="s">
        <v>130</v>
      </c>
      <c r="H731" s="44">
        <v>101009</v>
      </c>
      <c r="I731" s="44">
        <v>7210</v>
      </c>
      <c r="J731" s="44">
        <v>7498</v>
      </c>
      <c r="K731" s="44">
        <v>5885</v>
      </c>
      <c r="L731" s="44">
        <v>4676</v>
      </c>
      <c r="M731" s="44">
        <v>5338</v>
      </c>
      <c r="N731" s="44">
        <v>4884</v>
      </c>
      <c r="O731" s="44">
        <v>5021</v>
      </c>
      <c r="P731" s="44">
        <v>5353</v>
      </c>
      <c r="Q731" s="44">
        <v>4550</v>
      </c>
      <c r="R731" s="44">
        <v>4268</v>
      </c>
      <c r="S731" s="44">
        <v>4239</v>
      </c>
      <c r="T731" s="44">
        <v>4362</v>
      </c>
      <c r="U731" s="44">
        <v>3929</v>
      </c>
      <c r="V731" s="44">
        <v>3007</v>
      </c>
      <c r="W731" s="44">
        <v>3264</v>
      </c>
      <c r="X731" s="44">
        <v>3009</v>
      </c>
      <c r="Y731" s="44">
        <v>3002</v>
      </c>
      <c r="Z731" s="44">
        <v>3526</v>
      </c>
      <c r="AA731" s="44">
        <v>3396</v>
      </c>
      <c r="AB731" s="44">
        <v>3388</v>
      </c>
      <c r="AC731" s="44">
        <v>3425</v>
      </c>
      <c r="AD731" s="44">
        <v>2755</v>
      </c>
      <c r="AE731" s="44">
        <v>2519</v>
      </c>
      <c r="AF731" s="44">
        <v>2505</v>
      </c>
    </row>
    <row r="732" spans="1:32" x14ac:dyDescent="0.3">
      <c r="A732" s="38" t="s">
        <v>247</v>
      </c>
      <c r="B732" s="38" t="s">
        <v>174</v>
      </c>
      <c r="C732" s="38" t="s">
        <v>246</v>
      </c>
      <c r="D732" s="39" t="s">
        <v>198</v>
      </c>
      <c r="E732" s="39" t="s">
        <v>195</v>
      </c>
      <c r="F732" s="38" t="s">
        <v>132</v>
      </c>
      <c r="G732" s="38" t="s">
        <v>130</v>
      </c>
      <c r="H732" s="44">
        <v>0</v>
      </c>
      <c r="I732" s="44">
        <v>0</v>
      </c>
      <c r="J732" s="44"/>
      <c r="K732" s="44"/>
      <c r="L732" s="44"/>
      <c r="M732" s="44"/>
      <c r="N732" s="44"/>
      <c r="O732" s="44"/>
      <c r="P732" s="44"/>
      <c r="Q732" s="44"/>
      <c r="R732" s="44"/>
      <c r="S732" s="44"/>
      <c r="T732" s="44"/>
      <c r="U732" s="44"/>
      <c r="V732" s="44"/>
      <c r="W732" s="44"/>
      <c r="X732" s="44"/>
      <c r="Y732" s="44"/>
      <c r="Z732" s="44"/>
      <c r="AA732" s="44"/>
      <c r="AB732" s="44"/>
      <c r="AC732" s="44"/>
      <c r="AD732" s="44"/>
      <c r="AE732" s="44"/>
      <c r="AF732" s="44"/>
    </row>
    <row r="733" spans="1:32" x14ac:dyDescent="0.3">
      <c r="A733" s="38" t="s">
        <v>247</v>
      </c>
      <c r="B733" s="38" t="s">
        <v>174</v>
      </c>
      <c r="C733" s="38" t="s">
        <v>246</v>
      </c>
      <c r="D733" s="39" t="s">
        <v>198</v>
      </c>
      <c r="E733" s="39" t="s">
        <v>195</v>
      </c>
      <c r="F733" s="38" t="s">
        <v>133</v>
      </c>
      <c r="G733" s="38" t="s">
        <v>130</v>
      </c>
      <c r="H733" s="44">
        <v>0</v>
      </c>
      <c r="I733" s="44">
        <v>0</v>
      </c>
      <c r="J733" s="44"/>
      <c r="K733" s="44"/>
      <c r="L733" s="44"/>
      <c r="M733" s="44"/>
      <c r="N733" s="44"/>
      <c r="O733" s="44"/>
      <c r="P733" s="44"/>
      <c r="Q733" s="44"/>
      <c r="R733" s="44"/>
      <c r="S733" s="44"/>
      <c r="T733" s="44"/>
      <c r="U733" s="44"/>
      <c r="V733" s="44"/>
      <c r="W733" s="44"/>
      <c r="X733" s="44"/>
      <c r="Y733" s="44"/>
      <c r="Z733" s="44"/>
      <c r="AA733" s="44"/>
      <c r="AB733" s="44"/>
      <c r="AC733" s="44"/>
      <c r="AD733" s="44"/>
      <c r="AE733" s="44"/>
      <c r="AF733" s="44"/>
    </row>
    <row r="734" spans="1:32" x14ac:dyDescent="0.3">
      <c r="A734" s="38" t="s">
        <v>247</v>
      </c>
      <c r="B734" s="38" t="s">
        <v>174</v>
      </c>
      <c r="C734" s="38" t="s">
        <v>246</v>
      </c>
      <c r="D734" s="39" t="s">
        <v>198</v>
      </c>
      <c r="E734" s="39" t="s">
        <v>195</v>
      </c>
      <c r="F734" s="38" t="s">
        <v>134</v>
      </c>
      <c r="G734" s="38" t="s">
        <v>130</v>
      </c>
      <c r="H734" s="44">
        <v>306</v>
      </c>
      <c r="I734" s="44">
        <v>306</v>
      </c>
      <c r="J734" s="44"/>
      <c r="K734" s="44"/>
      <c r="L734" s="44"/>
      <c r="M734" s="44"/>
      <c r="N734" s="44"/>
      <c r="O734" s="44"/>
      <c r="P734" s="44"/>
      <c r="Q734" s="44"/>
      <c r="R734" s="44"/>
      <c r="S734" s="44"/>
      <c r="T734" s="44"/>
      <c r="U734" s="44"/>
      <c r="V734" s="44"/>
      <c r="W734" s="44"/>
      <c r="X734" s="44"/>
      <c r="Y734" s="44"/>
      <c r="Z734" s="44"/>
      <c r="AA734" s="44"/>
      <c r="AB734" s="44"/>
      <c r="AC734" s="44"/>
      <c r="AD734" s="44"/>
      <c r="AE734" s="44"/>
      <c r="AF734" s="44"/>
    </row>
    <row r="735" spans="1:32" x14ac:dyDescent="0.3">
      <c r="A735" s="38" t="s">
        <v>247</v>
      </c>
      <c r="B735" s="38" t="s">
        <v>174</v>
      </c>
      <c r="C735" s="38" t="s">
        <v>246</v>
      </c>
      <c r="D735" s="39" t="s">
        <v>198</v>
      </c>
      <c r="E735" s="39" t="s">
        <v>195</v>
      </c>
      <c r="F735" s="38" t="s">
        <v>135</v>
      </c>
      <c r="G735" s="38" t="s">
        <v>130</v>
      </c>
      <c r="H735" s="44"/>
      <c r="I735" s="44"/>
      <c r="J735" s="44"/>
      <c r="K735" s="44"/>
      <c r="L735" s="44"/>
      <c r="M735" s="44"/>
      <c r="N735" s="44"/>
      <c r="O735" s="44"/>
      <c r="P735" s="44"/>
      <c r="Q735" s="44"/>
      <c r="R735" s="44"/>
      <c r="S735" s="44"/>
      <c r="T735" s="44"/>
      <c r="U735" s="44"/>
      <c r="V735" s="44"/>
      <c r="W735" s="44"/>
      <c r="X735" s="44"/>
      <c r="Y735" s="44"/>
      <c r="Z735" s="44"/>
      <c r="AA735" s="44"/>
      <c r="AB735" s="44"/>
      <c r="AC735" s="44"/>
      <c r="AD735" s="44"/>
      <c r="AE735" s="44"/>
      <c r="AF735" s="44"/>
    </row>
    <row r="736" spans="1:32" x14ac:dyDescent="0.3">
      <c r="A736" s="38" t="s">
        <v>247</v>
      </c>
      <c r="B736" s="38" t="s">
        <v>174</v>
      </c>
      <c r="C736" s="38" t="s">
        <v>246</v>
      </c>
      <c r="D736" s="39" t="s">
        <v>198</v>
      </c>
      <c r="E736" s="39" t="s">
        <v>195</v>
      </c>
      <c r="F736" s="38" t="s">
        <v>136</v>
      </c>
      <c r="G736" s="38" t="s">
        <v>130</v>
      </c>
      <c r="H736" s="44">
        <f>SUM(I736:AF736)</f>
        <v>0</v>
      </c>
      <c r="I736" s="44">
        <f t="shared" ref="I736:AF736" si="168">IF(AND(ISBLANK(I739) = TRUE,ISBLANK(I738) = TRUE),I737,I738+I739)</f>
        <v>0</v>
      </c>
      <c r="J736" s="44">
        <f t="shared" si="168"/>
        <v>0</v>
      </c>
      <c r="K736" s="44">
        <f t="shared" si="168"/>
        <v>0</v>
      </c>
      <c r="L736" s="44">
        <f t="shared" si="168"/>
        <v>0</v>
      </c>
      <c r="M736" s="44">
        <f t="shared" si="168"/>
        <v>0</v>
      </c>
      <c r="N736" s="44">
        <f t="shared" si="168"/>
        <v>0</v>
      </c>
      <c r="O736" s="44">
        <f t="shared" si="168"/>
        <v>0</v>
      </c>
      <c r="P736" s="44">
        <f t="shared" si="168"/>
        <v>0</v>
      </c>
      <c r="Q736" s="44">
        <f t="shared" si="168"/>
        <v>0</v>
      </c>
      <c r="R736" s="44">
        <f t="shared" si="168"/>
        <v>0</v>
      </c>
      <c r="S736" s="44">
        <f t="shared" si="168"/>
        <v>0</v>
      </c>
      <c r="T736" s="44">
        <f t="shared" si="168"/>
        <v>0</v>
      </c>
      <c r="U736" s="44">
        <f t="shared" si="168"/>
        <v>0</v>
      </c>
      <c r="V736" s="44">
        <f t="shared" si="168"/>
        <v>0</v>
      </c>
      <c r="W736" s="44">
        <f t="shared" si="168"/>
        <v>0</v>
      </c>
      <c r="X736" s="44">
        <f t="shared" si="168"/>
        <v>0</v>
      </c>
      <c r="Y736" s="44">
        <f t="shared" si="168"/>
        <v>0</v>
      </c>
      <c r="Z736" s="44">
        <f t="shared" si="168"/>
        <v>0</v>
      </c>
      <c r="AA736" s="44">
        <f t="shared" si="168"/>
        <v>0</v>
      </c>
      <c r="AB736" s="44">
        <f t="shared" si="168"/>
        <v>0</v>
      </c>
      <c r="AC736" s="44">
        <f t="shared" si="168"/>
        <v>0</v>
      </c>
      <c r="AD736" s="44">
        <f t="shared" si="168"/>
        <v>0</v>
      </c>
      <c r="AE736" s="44">
        <f t="shared" si="168"/>
        <v>0</v>
      </c>
      <c r="AF736" s="44">
        <f t="shared" si="168"/>
        <v>0</v>
      </c>
    </row>
    <row r="737" spans="1:32" x14ac:dyDescent="0.3">
      <c r="A737" s="38" t="s">
        <v>247</v>
      </c>
      <c r="B737" s="38" t="s">
        <v>174</v>
      </c>
      <c r="C737" s="38" t="s">
        <v>246</v>
      </c>
      <c r="D737" s="39" t="s">
        <v>198</v>
      </c>
      <c r="E737" s="39" t="s">
        <v>195</v>
      </c>
      <c r="F737" s="38" t="s">
        <v>124</v>
      </c>
      <c r="G737" s="38" t="s">
        <v>130</v>
      </c>
      <c r="H737" s="44"/>
      <c r="I737" s="44"/>
      <c r="J737" s="44"/>
      <c r="K737" s="44"/>
      <c r="L737" s="44"/>
      <c r="M737" s="44"/>
      <c r="N737" s="44"/>
      <c r="O737" s="44"/>
      <c r="P737" s="44"/>
      <c r="Q737" s="44"/>
      <c r="R737" s="44"/>
      <c r="S737" s="44"/>
      <c r="T737" s="44"/>
      <c r="U737" s="44"/>
      <c r="V737" s="44"/>
      <c r="W737" s="44"/>
      <c r="X737" s="44"/>
      <c r="Y737" s="44"/>
      <c r="Z737" s="44"/>
      <c r="AA737" s="44"/>
      <c r="AB737" s="44"/>
      <c r="AC737" s="44"/>
      <c r="AD737" s="44"/>
      <c r="AE737" s="44"/>
      <c r="AF737" s="44"/>
    </row>
    <row r="738" spans="1:32" x14ac:dyDescent="0.3">
      <c r="A738" s="38" t="s">
        <v>247</v>
      </c>
      <c r="B738" s="38" t="s">
        <v>174</v>
      </c>
      <c r="C738" s="38" t="s">
        <v>246</v>
      </c>
      <c r="D738" s="39" t="s">
        <v>198</v>
      </c>
      <c r="E738" s="39" t="s">
        <v>195</v>
      </c>
      <c r="F738" s="38" t="s">
        <v>137</v>
      </c>
      <c r="G738" s="38" t="s">
        <v>130</v>
      </c>
      <c r="H738" s="44">
        <f>SUM(I738:AF738)</f>
        <v>0</v>
      </c>
      <c r="I738" s="44"/>
      <c r="J738" s="44"/>
      <c r="K738" s="44"/>
      <c r="L738" s="44"/>
      <c r="M738" s="44"/>
      <c r="N738" s="44"/>
      <c r="O738" s="44"/>
      <c r="P738" s="44"/>
      <c r="Q738" s="44"/>
      <c r="R738" s="44"/>
      <c r="S738" s="44"/>
      <c r="T738" s="44"/>
      <c r="U738" s="44"/>
      <c r="V738" s="44"/>
      <c r="W738" s="44"/>
      <c r="X738" s="44"/>
      <c r="Y738" s="44"/>
      <c r="Z738" s="44"/>
      <c r="AA738" s="44"/>
      <c r="AB738" s="44"/>
      <c r="AC738" s="44"/>
      <c r="AD738" s="44"/>
      <c r="AE738" s="44"/>
      <c r="AF738" s="44"/>
    </row>
    <row r="739" spans="1:32" x14ac:dyDescent="0.3">
      <c r="A739" s="38" t="s">
        <v>247</v>
      </c>
      <c r="B739" s="38" t="s">
        <v>174</v>
      </c>
      <c r="C739" s="38" t="s">
        <v>246</v>
      </c>
      <c r="D739" s="39" t="s">
        <v>198</v>
      </c>
      <c r="E739" s="39" t="s">
        <v>195</v>
      </c>
      <c r="F739" s="38" t="s">
        <v>138</v>
      </c>
      <c r="G739" s="38" t="s">
        <v>130</v>
      </c>
      <c r="H739" s="44">
        <f>SUM(I739:AF739)</f>
        <v>0</v>
      </c>
      <c r="I739" s="44"/>
      <c r="J739" s="44"/>
      <c r="K739" s="44"/>
      <c r="L739" s="44"/>
      <c r="M739" s="44"/>
      <c r="N739" s="44"/>
      <c r="O739" s="44"/>
      <c r="P739" s="44"/>
      <c r="Q739" s="44"/>
      <c r="R739" s="44"/>
      <c r="S739" s="44"/>
      <c r="T739" s="44"/>
      <c r="U739" s="44"/>
      <c r="V739" s="44"/>
      <c r="W739" s="44"/>
      <c r="X739" s="44"/>
      <c r="Y739" s="44"/>
      <c r="Z739" s="44"/>
      <c r="AA739" s="44"/>
      <c r="AB739" s="44"/>
      <c r="AC739" s="44"/>
      <c r="AD739" s="44"/>
      <c r="AE739" s="44"/>
      <c r="AF739" s="44"/>
    </row>
    <row r="740" spans="1:32" x14ac:dyDescent="0.3">
      <c r="A740" s="38" t="s">
        <v>247</v>
      </c>
      <c r="B740" s="38" t="s">
        <v>174</v>
      </c>
      <c r="C740" s="38" t="s">
        <v>246</v>
      </c>
      <c r="D740" s="39" t="s">
        <v>198</v>
      </c>
      <c r="E740" s="39" t="s">
        <v>195</v>
      </c>
      <c r="F740" s="38" t="s">
        <v>139</v>
      </c>
      <c r="G740" s="38" t="s">
        <v>130</v>
      </c>
      <c r="H740" s="44"/>
      <c r="I740" s="44"/>
      <c r="J740" s="44"/>
      <c r="K740" s="44"/>
      <c r="L740" s="44"/>
      <c r="M740" s="44"/>
      <c r="N740" s="44"/>
      <c r="O740" s="44"/>
      <c r="P740" s="44"/>
      <c r="Q740" s="44"/>
      <c r="R740" s="44"/>
      <c r="S740" s="44"/>
      <c r="T740" s="44"/>
      <c r="U740" s="44"/>
      <c r="V740" s="44"/>
      <c r="W740" s="44"/>
      <c r="X740" s="44"/>
      <c r="Y740" s="44"/>
      <c r="Z740" s="44"/>
      <c r="AA740" s="44"/>
      <c r="AB740" s="44"/>
      <c r="AC740" s="44"/>
      <c r="AD740" s="44"/>
      <c r="AE740" s="44"/>
      <c r="AF740" s="44"/>
    </row>
    <row r="741" spans="1:32" x14ac:dyDescent="0.3">
      <c r="A741" s="38" t="s">
        <v>247</v>
      </c>
      <c r="B741" s="38" t="s">
        <v>174</v>
      </c>
      <c r="C741" s="38" t="s">
        <v>246</v>
      </c>
      <c r="D741" s="39" t="s">
        <v>198</v>
      </c>
      <c r="E741" s="39" t="s">
        <v>195</v>
      </c>
      <c r="F741" s="38" t="s">
        <v>140</v>
      </c>
      <c r="G741" s="38" t="s">
        <v>130</v>
      </c>
      <c r="H741" s="44"/>
      <c r="I741" s="44">
        <f>I736-(I731+I730)+(I735+I734+I733+I732)</f>
        <v>-20261</v>
      </c>
      <c r="J741" s="44">
        <f t="shared" ref="J741:AF741" si="169">I741+J736-J731</f>
        <v>-27759</v>
      </c>
      <c r="K741" s="44">
        <f t="shared" si="169"/>
        <v>-33644</v>
      </c>
      <c r="L741" s="44">
        <f t="shared" si="169"/>
        <v>-38320</v>
      </c>
      <c r="M741" s="44">
        <f t="shared" si="169"/>
        <v>-43658</v>
      </c>
      <c r="N741" s="44">
        <f t="shared" si="169"/>
        <v>-48542</v>
      </c>
      <c r="O741" s="44">
        <f t="shared" si="169"/>
        <v>-53563</v>
      </c>
      <c r="P741" s="44">
        <f t="shared" si="169"/>
        <v>-58916</v>
      </c>
      <c r="Q741" s="44">
        <f t="shared" si="169"/>
        <v>-63466</v>
      </c>
      <c r="R741" s="44">
        <f t="shared" si="169"/>
        <v>-67734</v>
      </c>
      <c r="S741" s="44">
        <f t="shared" si="169"/>
        <v>-71973</v>
      </c>
      <c r="T741" s="44">
        <f t="shared" si="169"/>
        <v>-76335</v>
      </c>
      <c r="U741" s="44">
        <f t="shared" si="169"/>
        <v>-80264</v>
      </c>
      <c r="V741" s="44">
        <f t="shared" si="169"/>
        <v>-83271</v>
      </c>
      <c r="W741" s="44">
        <f t="shared" si="169"/>
        <v>-86535</v>
      </c>
      <c r="X741" s="44">
        <f t="shared" si="169"/>
        <v>-89544</v>
      </c>
      <c r="Y741" s="44">
        <f t="shared" si="169"/>
        <v>-92546</v>
      </c>
      <c r="Z741" s="44">
        <f t="shared" si="169"/>
        <v>-96072</v>
      </c>
      <c r="AA741" s="44">
        <f t="shared" si="169"/>
        <v>-99468</v>
      </c>
      <c r="AB741" s="44">
        <f t="shared" si="169"/>
        <v>-102856</v>
      </c>
      <c r="AC741" s="44">
        <f t="shared" si="169"/>
        <v>-106281</v>
      </c>
      <c r="AD741" s="44">
        <f t="shared" si="169"/>
        <v>-109036</v>
      </c>
      <c r="AE741" s="44">
        <f t="shared" si="169"/>
        <v>-111555</v>
      </c>
      <c r="AF741" s="44">
        <f t="shared" si="169"/>
        <v>-114060</v>
      </c>
    </row>
    <row r="742" spans="1:32" ht="15" thickBot="1" x14ac:dyDescent="0.35">
      <c r="A742" s="40" t="s">
        <v>247</v>
      </c>
      <c r="B742" s="40" t="s">
        <v>174</v>
      </c>
      <c r="C742" s="40" t="s">
        <v>246</v>
      </c>
      <c r="D742" s="41" t="s">
        <v>198</v>
      </c>
      <c r="E742" s="41" t="s">
        <v>195</v>
      </c>
      <c r="F742" s="40" t="s">
        <v>141</v>
      </c>
      <c r="G742" s="40" t="s">
        <v>130</v>
      </c>
      <c r="H742" s="45"/>
      <c r="I742" s="45">
        <f>I736-I740</f>
        <v>0</v>
      </c>
      <c r="J742" s="45">
        <f t="shared" ref="J742:AF742" si="170">I742+J736-J740</f>
        <v>0</v>
      </c>
      <c r="K742" s="45">
        <f t="shared" si="170"/>
        <v>0</v>
      </c>
      <c r="L742" s="45">
        <f t="shared" si="170"/>
        <v>0</v>
      </c>
      <c r="M742" s="45">
        <f t="shared" si="170"/>
        <v>0</v>
      </c>
      <c r="N742" s="45">
        <f t="shared" si="170"/>
        <v>0</v>
      </c>
      <c r="O742" s="45">
        <f t="shared" si="170"/>
        <v>0</v>
      </c>
      <c r="P742" s="45">
        <f t="shared" si="170"/>
        <v>0</v>
      </c>
      <c r="Q742" s="45">
        <f t="shared" si="170"/>
        <v>0</v>
      </c>
      <c r="R742" s="45">
        <f t="shared" si="170"/>
        <v>0</v>
      </c>
      <c r="S742" s="45">
        <f t="shared" si="170"/>
        <v>0</v>
      </c>
      <c r="T742" s="45">
        <f t="shared" si="170"/>
        <v>0</v>
      </c>
      <c r="U742" s="45">
        <f t="shared" si="170"/>
        <v>0</v>
      </c>
      <c r="V742" s="45">
        <f t="shared" si="170"/>
        <v>0</v>
      </c>
      <c r="W742" s="45">
        <f t="shared" si="170"/>
        <v>0</v>
      </c>
      <c r="X742" s="45">
        <f t="shared" si="170"/>
        <v>0</v>
      </c>
      <c r="Y742" s="45">
        <f t="shared" si="170"/>
        <v>0</v>
      </c>
      <c r="Z742" s="45">
        <f t="shared" si="170"/>
        <v>0</v>
      </c>
      <c r="AA742" s="45">
        <f t="shared" si="170"/>
        <v>0</v>
      </c>
      <c r="AB742" s="45">
        <f t="shared" si="170"/>
        <v>0</v>
      </c>
      <c r="AC742" s="45">
        <f t="shared" si="170"/>
        <v>0</v>
      </c>
      <c r="AD742" s="45">
        <f t="shared" si="170"/>
        <v>0</v>
      </c>
      <c r="AE742" s="45">
        <f t="shared" si="170"/>
        <v>0</v>
      </c>
      <c r="AF742" s="45">
        <f t="shared" si="170"/>
        <v>0</v>
      </c>
    </row>
    <row r="743" spans="1:32" x14ac:dyDescent="0.3">
      <c r="A743" s="38" t="s">
        <v>247</v>
      </c>
      <c r="B743" s="38" t="s">
        <v>174</v>
      </c>
      <c r="C743" s="38" t="s">
        <v>246</v>
      </c>
      <c r="D743" s="39" t="s">
        <v>198</v>
      </c>
      <c r="E743" s="39" t="s">
        <v>177</v>
      </c>
      <c r="F743" s="38" t="s">
        <v>129</v>
      </c>
      <c r="G743" s="38" t="s">
        <v>130</v>
      </c>
      <c r="H743" s="44">
        <v>44994</v>
      </c>
      <c r="I743" s="44">
        <v>44994</v>
      </c>
      <c r="J743" s="44"/>
      <c r="K743" s="44"/>
      <c r="L743" s="44"/>
      <c r="M743" s="44"/>
      <c r="N743" s="44"/>
      <c r="O743" s="44"/>
      <c r="P743" s="44"/>
      <c r="Q743" s="44"/>
      <c r="R743" s="44"/>
      <c r="S743" s="44"/>
      <c r="T743" s="44"/>
      <c r="U743" s="44"/>
      <c r="V743" s="44"/>
      <c r="W743" s="44"/>
      <c r="X743" s="44"/>
      <c r="Y743" s="44"/>
      <c r="Z743" s="44"/>
      <c r="AA743" s="44"/>
      <c r="AB743" s="44"/>
      <c r="AC743" s="44"/>
      <c r="AD743" s="44"/>
      <c r="AE743" s="44"/>
      <c r="AF743" s="44"/>
    </row>
    <row r="744" spans="1:32" x14ac:dyDescent="0.3">
      <c r="A744" s="38" t="s">
        <v>247</v>
      </c>
      <c r="B744" s="38" t="s">
        <v>174</v>
      </c>
      <c r="C744" s="38" t="s">
        <v>246</v>
      </c>
      <c r="D744" s="39" t="s">
        <v>198</v>
      </c>
      <c r="E744" s="39" t="s">
        <v>177</v>
      </c>
      <c r="F744" s="38" t="s">
        <v>131</v>
      </c>
      <c r="G744" s="38" t="s">
        <v>130</v>
      </c>
      <c r="H744" s="44">
        <v>229757</v>
      </c>
      <c r="I744" s="44">
        <v>11594</v>
      </c>
      <c r="J744" s="44">
        <v>12052</v>
      </c>
      <c r="K744" s="44">
        <v>14279</v>
      </c>
      <c r="L744" s="44">
        <v>22172</v>
      </c>
      <c r="M744" s="44">
        <v>12045</v>
      </c>
      <c r="N744" s="44">
        <v>18617</v>
      </c>
      <c r="O744" s="44">
        <v>15427</v>
      </c>
      <c r="P744" s="44">
        <v>11272</v>
      </c>
      <c r="Q744" s="44">
        <v>11720</v>
      </c>
      <c r="R744" s="44">
        <v>11302</v>
      </c>
      <c r="S744" s="44">
        <v>11612</v>
      </c>
      <c r="T744" s="44">
        <v>11099</v>
      </c>
      <c r="U744" s="44">
        <v>10976</v>
      </c>
      <c r="V744" s="44">
        <v>8486</v>
      </c>
      <c r="W744" s="44">
        <v>8761</v>
      </c>
      <c r="X744" s="44">
        <v>8260</v>
      </c>
      <c r="Y744" s="44">
        <v>8187</v>
      </c>
      <c r="Z744" s="44">
        <v>4954</v>
      </c>
      <c r="AA744" s="44">
        <v>4331</v>
      </c>
      <c r="AB744" s="44">
        <v>4330</v>
      </c>
      <c r="AC744" s="44">
        <v>4046</v>
      </c>
      <c r="AD744" s="44">
        <v>2211</v>
      </c>
      <c r="AE744" s="44">
        <v>1012</v>
      </c>
      <c r="AF744" s="44">
        <v>1012</v>
      </c>
    </row>
    <row r="745" spans="1:32" x14ac:dyDescent="0.3">
      <c r="A745" s="38" t="s">
        <v>247</v>
      </c>
      <c r="B745" s="38" t="s">
        <v>174</v>
      </c>
      <c r="C745" s="38" t="s">
        <v>246</v>
      </c>
      <c r="D745" s="39" t="s">
        <v>198</v>
      </c>
      <c r="E745" s="39" t="s">
        <v>177</v>
      </c>
      <c r="F745" s="38" t="s">
        <v>132</v>
      </c>
      <c r="G745" s="38" t="s">
        <v>130</v>
      </c>
      <c r="H745" s="44">
        <v>0</v>
      </c>
      <c r="I745" s="44">
        <v>0</v>
      </c>
      <c r="J745" s="44"/>
      <c r="K745" s="44"/>
      <c r="L745" s="44"/>
      <c r="M745" s="44"/>
      <c r="N745" s="44"/>
      <c r="O745" s="44"/>
      <c r="P745" s="44"/>
      <c r="Q745" s="44"/>
      <c r="R745" s="44"/>
      <c r="S745" s="44"/>
      <c r="T745" s="44"/>
      <c r="U745" s="44"/>
      <c r="V745" s="44"/>
      <c r="W745" s="44"/>
      <c r="X745" s="44"/>
      <c r="Y745" s="44"/>
      <c r="Z745" s="44"/>
      <c r="AA745" s="44"/>
      <c r="AB745" s="44"/>
      <c r="AC745" s="44"/>
      <c r="AD745" s="44"/>
      <c r="AE745" s="44"/>
      <c r="AF745" s="44"/>
    </row>
    <row r="746" spans="1:32" x14ac:dyDescent="0.3">
      <c r="A746" s="38" t="s">
        <v>247</v>
      </c>
      <c r="B746" s="38" t="s">
        <v>174</v>
      </c>
      <c r="C746" s="38" t="s">
        <v>246</v>
      </c>
      <c r="D746" s="39" t="s">
        <v>198</v>
      </c>
      <c r="E746" s="39" t="s">
        <v>177</v>
      </c>
      <c r="F746" s="38" t="s">
        <v>133</v>
      </c>
      <c r="G746" s="38" t="s">
        <v>130</v>
      </c>
      <c r="H746" s="44">
        <v>0</v>
      </c>
      <c r="I746" s="44">
        <v>0</v>
      </c>
      <c r="J746" s="44"/>
      <c r="K746" s="44"/>
      <c r="L746" s="44"/>
      <c r="M746" s="44"/>
      <c r="N746" s="44"/>
      <c r="O746" s="44"/>
      <c r="P746" s="44"/>
      <c r="Q746" s="44"/>
      <c r="R746" s="44"/>
      <c r="S746" s="44"/>
      <c r="T746" s="44"/>
      <c r="U746" s="44"/>
      <c r="V746" s="44"/>
      <c r="W746" s="44"/>
      <c r="X746" s="44"/>
      <c r="Y746" s="44"/>
      <c r="Z746" s="44"/>
      <c r="AA746" s="44"/>
      <c r="AB746" s="44"/>
      <c r="AC746" s="44"/>
      <c r="AD746" s="44"/>
      <c r="AE746" s="44"/>
      <c r="AF746" s="44"/>
    </row>
    <row r="747" spans="1:32" x14ac:dyDescent="0.3">
      <c r="A747" s="38" t="s">
        <v>247</v>
      </c>
      <c r="B747" s="38" t="s">
        <v>174</v>
      </c>
      <c r="C747" s="38" t="s">
        <v>246</v>
      </c>
      <c r="D747" s="39" t="s">
        <v>198</v>
      </c>
      <c r="E747" s="39" t="s">
        <v>177</v>
      </c>
      <c r="F747" s="38" t="s">
        <v>134</v>
      </c>
      <c r="G747" s="38" t="s">
        <v>130</v>
      </c>
      <c r="H747" s="44">
        <v>345</v>
      </c>
      <c r="I747" s="44">
        <v>345</v>
      </c>
      <c r="J747" s="44"/>
      <c r="K747" s="44"/>
      <c r="L747" s="44"/>
      <c r="M747" s="44"/>
      <c r="N747" s="44"/>
      <c r="O747" s="44"/>
      <c r="P747" s="44"/>
      <c r="Q747" s="44"/>
      <c r="R747" s="44"/>
      <c r="S747" s="44"/>
      <c r="T747" s="44"/>
      <c r="U747" s="44"/>
      <c r="V747" s="44"/>
      <c r="W747" s="44"/>
      <c r="X747" s="44"/>
      <c r="Y747" s="44"/>
      <c r="Z747" s="44"/>
      <c r="AA747" s="44"/>
      <c r="AB747" s="44"/>
      <c r="AC747" s="44"/>
      <c r="AD747" s="44"/>
      <c r="AE747" s="44"/>
      <c r="AF747" s="44"/>
    </row>
    <row r="748" spans="1:32" x14ac:dyDescent="0.3">
      <c r="A748" s="38" t="s">
        <v>247</v>
      </c>
      <c r="B748" s="38" t="s">
        <v>174</v>
      </c>
      <c r="C748" s="38" t="s">
        <v>246</v>
      </c>
      <c r="D748" s="39" t="s">
        <v>198</v>
      </c>
      <c r="E748" s="39" t="s">
        <v>177</v>
      </c>
      <c r="F748" s="38" t="s">
        <v>135</v>
      </c>
      <c r="G748" s="38" t="s">
        <v>130</v>
      </c>
      <c r="H748" s="44"/>
      <c r="I748" s="44"/>
      <c r="J748" s="44"/>
      <c r="K748" s="44"/>
      <c r="L748" s="44"/>
      <c r="M748" s="44"/>
      <c r="N748" s="44"/>
      <c r="O748" s="44"/>
      <c r="P748" s="44"/>
      <c r="Q748" s="44"/>
      <c r="R748" s="44"/>
      <c r="S748" s="44"/>
      <c r="T748" s="44"/>
      <c r="U748" s="44"/>
      <c r="V748" s="44"/>
      <c r="W748" s="44"/>
      <c r="X748" s="44"/>
      <c r="Y748" s="44"/>
      <c r="Z748" s="44"/>
      <c r="AA748" s="44"/>
      <c r="AB748" s="44"/>
      <c r="AC748" s="44"/>
      <c r="AD748" s="44"/>
      <c r="AE748" s="44"/>
      <c r="AF748" s="44"/>
    </row>
    <row r="749" spans="1:32" x14ac:dyDescent="0.3">
      <c r="A749" s="38" t="s">
        <v>247</v>
      </c>
      <c r="B749" s="38" t="s">
        <v>174</v>
      </c>
      <c r="C749" s="38" t="s">
        <v>246</v>
      </c>
      <c r="D749" s="39" t="s">
        <v>198</v>
      </c>
      <c r="E749" s="39" t="s">
        <v>177</v>
      </c>
      <c r="F749" s="38" t="s">
        <v>136</v>
      </c>
      <c r="G749" s="38" t="s">
        <v>130</v>
      </c>
      <c r="H749" s="44">
        <f>SUM(I749:AF749)</f>
        <v>0</v>
      </c>
      <c r="I749" s="44">
        <f t="shared" ref="I749:AF749" si="171">IF(AND(ISBLANK(I752) = TRUE,ISBLANK(I751) = TRUE),I750,I751+I752)</f>
        <v>0</v>
      </c>
      <c r="J749" s="44">
        <f t="shared" si="171"/>
        <v>0</v>
      </c>
      <c r="K749" s="44">
        <f t="shared" si="171"/>
        <v>0</v>
      </c>
      <c r="L749" s="44">
        <f t="shared" si="171"/>
        <v>0</v>
      </c>
      <c r="M749" s="44">
        <f t="shared" si="171"/>
        <v>0</v>
      </c>
      <c r="N749" s="44">
        <f t="shared" si="171"/>
        <v>0</v>
      </c>
      <c r="O749" s="44">
        <f t="shared" si="171"/>
        <v>0</v>
      </c>
      <c r="P749" s="44">
        <f t="shared" si="171"/>
        <v>0</v>
      </c>
      <c r="Q749" s="44">
        <f t="shared" si="171"/>
        <v>0</v>
      </c>
      <c r="R749" s="44">
        <f t="shared" si="171"/>
        <v>0</v>
      </c>
      <c r="S749" s="44">
        <f t="shared" si="171"/>
        <v>0</v>
      </c>
      <c r="T749" s="44">
        <f t="shared" si="171"/>
        <v>0</v>
      </c>
      <c r="U749" s="44">
        <f t="shared" si="171"/>
        <v>0</v>
      </c>
      <c r="V749" s="44">
        <f t="shared" si="171"/>
        <v>0</v>
      </c>
      <c r="W749" s="44">
        <f t="shared" si="171"/>
        <v>0</v>
      </c>
      <c r="X749" s="44">
        <f t="shared" si="171"/>
        <v>0</v>
      </c>
      <c r="Y749" s="44">
        <f t="shared" si="171"/>
        <v>0</v>
      </c>
      <c r="Z749" s="44">
        <f t="shared" si="171"/>
        <v>0</v>
      </c>
      <c r="AA749" s="44">
        <f t="shared" si="171"/>
        <v>0</v>
      </c>
      <c r="AB749" s="44">
        <f t="shared" si="171"/>
        <v>0</v>
      </c>
      <c r="AC749" s="44">
        <f t="shared" si="171"/>
        <v>0</v>
      </c>
      <c r="AD749" s="44">
        <f t="shared" si="171"/>
        <v>0</v>
      </c>
      <c r="AE749" s="44">
        <f t="shared" si="171"/>
        <v>0</v>
      </c>
      <c r="AF749" s="44">
        <f t="shared" si="171"/>
        <v>0</v>
      </c>
    </row>
    <row r="750" spans="1:32" x14ac:dyDescent="0.3">
      <c r="A750" s="38" t="s">
        <v>247</v>
      </c>
      <c r="B750" s="38" t="s">
        <v>174</v>
      </c>
      <c r="C750" s="38" t="s">
        <v>246</v>
      </c>
      <c r="D750" s="39" t="s">
        <v>198</v>
      </c>
      <c r="E750" s="39" t="s">
        <v>177</v>
      </c>
      <c r="F750" s="38" t="s">
        <v>124</v>
      </c>
      <c r="G750" s="38" t="s">
        <v>130</v>
      </c>
      <c r="H750" s="44"/>
      <c r="I750" s="44"/>
      <c r="J750" s="44"/>
      <c r="K750" s="44"/>
      <c r="L750" s="44"/>
      <c r="M750" s="44"/>
      <c r="N750" s="44"/>
      <c r="O750" s="44"/>
      <c r="P750" s="44"/>
      <c r="Q750" s="44"/>
      <c r="R750" s="44"/>
      <c r="S750" s="44"/>
      <c r="T750" s="44"/>
      <c r="U750" s="44"/>
      <c r="V750" s="44"/>
      <c r="W750" s="44"/>
      <c r="X750" s="44"/>
      <c r="Y750" s="44"/>
      <c r="Z750" s="44"/>
      <c r="AA750" s="44"/>
      <c r="AB750" s="44"/>
      <c r="AC750" s="44"/>
      <c r="AD750" s="44"/>
      <c r="AE750" s="44"/>
      <c r="AF750" s="44"/>
    </row>
    <row r="751" spans="1:32" x14ac:dyDescent="0.3">
      <c r="A751" s="38" t="s">
        <v>247</v>
      </c>
      <c r="B751" s="38" t="s">
        <v>174</v>
      </c>
      <c r="C751" s="38" t="s">
        <v>246</v>
      </c>
      <c r="D751" s="39" t="s">
        <v>198</v>
      </c>
      <c r="E751" s="39" t="s">
        <v>177</v>
      </c>
      <c r="F751" s="38" t="s">
        <v>137</v>
      </c>
      <c r="G751" s="38" t="s">
        <v>130</v>
      </c>
      <c r="H751" s="44">
        <f>SUM(I751:AF751)</f>
        <v>0</v>
      </c>
      <c r="I751" s="44"/>
      <c r="J751" s="44"/>
      <c r="K751" s="44"/>
      <c r="L751" s="44"/>
      <c r="M751" s="44"/>
      <c r="N751" s="44"/>
      <c r="O751" s="44"/>
      <c r="P751" s="44"/>
      <c r="Q751" s="44"/>
      <c r="R751" s="44"/>
      <c r="S751" s="44"/>
      <c r="T751" s="44"/>
      <c r="U751" s="44"/>
      <c r="V751" s="44"/>
      <c r="W751" s="44"/>
      <c r="X751" s="44"/>
      <c r="Y751" s="44"/>
      <c r="Z751" s="44"/>
      <c r="AA751" s="44"/>
      <c r="AB751" s="44"/>
      <c r="AC751" s="44"/>
      <c r="AD751" s="44"/>
      <c r="AE751" s="44"/>
      <c r="AF751" s="44"/>
    </row>
    <row r="752" spans="1:32" x14ac:dyDescent="0.3">
      <c r="A752" s="38" t="s">
        <v>247</v>
      </c>
      <c r="B752" s="38" t="s">
        <v>174</v>
      </c>
      <c r="C752" s="38" t="s">
        <v>246</v>
      </c>
      <c r="D752" s="39" t="s">
        <v>198</v>
      </c>
      <c r="E752" s="39" t="s">
        <v>177</v>
      </c>
      <c r="F752" s="38" t="s">
        <v>138</v>
      </c>
      <c r="G752" s="38" t="s">
        <v>130</v>
      </c>
      <c r="H752" s="44">
        <f>SUM(I752:AF752)</f>
        <v>0</v>
      </c>
      <c r="I752" s="44"/>
      <c r="J752" s="44"/>
      <c r="K752" s="44"/>
      <c r="L752" s="44"/>
      <c r="M752" s="44"/>
      <c r="N752" s="44"/>
      <c r="O752" s="44"/>
      <c r="P752" s="44"/>
      <c r="Q752" s="44"/>
      <c r="R752" s="44"/>
      <c r="S752" s="44"/>
      <c r="T752" s="44"/>
      <c r="U752" s="44"/>
      <c r="V752" s="44"/>
      <c r="W752" s="44"/>
      <c r="X752" s="44"/>
      <c r="Y752" s="44"/>
      <c r="Z752" s="44"/>
      <c r="AA752" s="44"/>
      <c r="AB752" s="44"/>
      <c r="AC752" s="44"/>
      <c r="AD752" s="44"/>
      <c r="AE752" s="44"/>
      <c r="AF752" s="44"/>
    </row>
    <row r="753" spans="1:32" x14ac:dyDescent="0.3">
      <c r="A753" s="38" t="s">
        <v>247</v>
      </c>
      <c r="B753" s="38" t="s">
        <v>174</v>
      </c>
      <c r="C753" s="38" t="s">
        <v>246</v>
      </c>
      <c r="D753" s="39" t="s">
        <v>198</v>
      </c>
      <c r="E753" s="39" t="s">
        <v>177</v>
      </c>
      <c r="F753" s="38" t="s">
        <v>139</v>
      </c>
      <c r="G753" s="38" t="s">
        <v>130</v>
      </c>
      <c r="H753" s="44"/>
      <c r="I753" s="44"/>
      <c r="J753" s="44"/>
      <c r="K753" s="44"/>
      <c r="L753" s="44"/>
      <c r="M753" s="44"/>
      <c r="N753" s="44"/>
      <c r="O753" s="44"/>
      <c r="P753" s="44"/>
      <c r="Q753" s="44"/>
      <c r="R753" s="44"/>
      <c r="S753" s="44"/>
      <c r="T753" s="44"/>
      <c r="U753" s="44"/>
      <c r="V753" s="44"/>
      <c r="W753" s="44"/>
      <c r="X753" s="44"/>
      <c r="Y753" s="44"/>
      <c r="Z753" s="44"/>
      <c r="AA753" s="44"/>
      <c r="AB753" s="44"/>
      <c r="AC753" s="44"/>
      <c r="AD753" s="44"/>
      <c r="AE753" s="44"/>
      <c r="AF753" s="44"/>
    </row>
    <row r="754" spans="1:32" x14ac:dyDescent="0.3">
      <c r="A754" s="38" t="s">
        <v>247</v>
      </c>
      <c r="B754" s="38" t="s">
        <v>174</v>
      </c>
      <c r="C754" s="38" t="s">
        <v>246</v>
      </c>
      <c r="D754" s="39" t="s">
        <v>198</v>
      </c>
      <c r="E754" s="39" t="s">
        <v>177</v>
      </c>
      <c r="F754" s="38" t="s">
        <v>140</v>
      </c>
      <c r="G754" s="38" t="s">
        <v>130</v>
      </c>
      <c r="H754" s="44"/>
      <c r="I754" s="44">
        <f>I749-(I744+I743)+(I748+I747+I746+I745)</f>
        <v>-56243</v>
      </c>
      <c r="J754" s="44">
        <f t="shared" ref="J754:AF754" si="172">I754+J749-J744</f>
        <v>-68295</v>
      </c>
      <c r="K754" s="44">
        <f t="shared" si="172"/>
        <v>-82574</v>
      </c>
      <c r="L754" s="44">
        <f t="shared" si="172"/>
        <v>-104746</v>
      </c>
      <c r="M754" s="44">
        <f t="shared" si="172"/>
        <v>-116791</v>
      </c>
      <c r="N754" s="44">
        <f t="shared" si="172"/>
        <v>-135408</v>
      </c>
      <c r="O754" s="44">
        <f t="shared" si="172"/>
        <v>-150835</v>
      </c>
      <c r="P754" s="44">
        <f t="shared" si="172"/>
        <v>-162107</v>
      </c>
      <c r="Q754" s="44">
        <f t="shared" si="172"/>
        <v>-173827</v>
      </c>
      <c r="R754" s="44">
        <f t="shared" si="172"/>
        <v>-185129</v>
      </c>
      <c r="S754" s="44">
        <f t="shared" si="172"/>
        <v>-196741</v>
      </c>
      <c r="T754" s="44">
        <f t="shared" si="172"/>
        <v>-207840</v>
      </c>
      <c r="U754" s="44">
        <f t="shared" si="172"/>
        <v>-218816</v>
      </c>
      <c r="V754" s="44">
        <f t="shared" si="172"/>
        <v>-227302</v>
      </c>
      <c r="W754" s="44">
        <f t="shared" si="172"/>
        <v>-236063</v>
      </c>
      <c r="X754" s="44">
        <f t="shared" si="172"/>
        <v>-244323</v>
      </c>
      <c r="Y754" s="44">
        <f t="shared" si="172"/>
        <v>-252510</v>
      </c>
      <c r="Z754" s="44">
        <f t="shared" si="172"/>
        <v>-257464</v>
      </c>
      <c r="AA754" s="44">
        <f t="shared" si="172"/>
        <v>-261795</v>
      </c>
      <c r="AB754" s="44">
        <f t="shared" si="172"/>
        <v>-266125</v>
      </c>
      <c r="AC754" s="44">
        <f t="shared" si="172"/>
        <v>-270171</v>
      </c>
      <c r="AD754" s="44">
        <f t="shared" si="172"/>
        <v>-272382</v>
      </c>
      <c r="AE754" s="44">
        <f t="shared" si="172"/>
        <v>-273394</v>
      </c>
      <c r="AF754" s="44">
        <f t="shared" si="172"/>
        <v>-274406</v>
      </c>
    </row>
    <row r="755" spans="1:32" ht="15" thickBot="1" x14ac:dyDescent="0.35">
      <c r="A755" s="40" t="s">
        <v>247</v>
      </c>
      <c r="B755" s="40" t="s">
        <v>174</v>
      </c>
      <c r="C755" s="40" t="s">
        <v>246</v>
      </c>
      <c r="D755" s="41" t="s">
        <v>198</v>
      </c>
      <c r="E755" s="41" t="s">
        <v>177</v>
      </c>
      <c r="F755" s="40" t="s">
        <v>141</v>
      </c>
      <c r="G755" s="40" t="s">
        <v>130</v>
      </c>
      <c r="H755" s="45"/>
      <c r="I755" s="45">
        <f>I749-I753</f>
        <v>0</v>
      </c>
      <c r="J755" s="45">
        <f t="shared" ref="J755:AF755" si="173">I755+J749-J753</f>
        <v>0</v>
      </c>
      <c r="K755" s="45">
        <f t="shared" si="173"/>
        <v>0</v>
      </c>
      <c r="L755" s="45">
        <f t="shared" si="173"/>
        <v>0</v>
      </c>
      <c r="M755" s="45">
        <f t="shared" si="173"/>
        <v>0</v>
      </c>
      <c r="N755" s="45">
        <f t="shared" si="173"/>
        <v>0</v>
      </c>
      <c r="O755" s="45">
        <f t="shared" si="173"/>
        <v>0</v>
      </c>
      <c r="P755" s="45">
        <f t="shared" si="173"/>
        <v>0</v>
      </c>
      <c r="Q755" s="45">
        <f t="shared" si="173"/>
        <v>0</v>
      </c>
      <c r="R755" s="45">
        <f t="shared" si="173"/>
        <v>0</v>
      </c>
      <c r="S755" s="45">
        <f t="shared" si="173"/>
        <v>0</v>
      </c>
      <c r="T755" s="45">
        <f t="shared" si="173"/>
        <v>0</v>
      </c>
      <c r="U755" s="45">
        <f t="shared" si="173"/>
        <v>0</v>
      </c>
      <c r="V755" s="45">
        <f t="shared" si="173"/>
        <v>0</v>
      </c>
      <c r="W755" s="45">
        <f t="shared" si="173"/>
        <v>0</v>
      </c>
      <c r="X755" s="45">
        <f t="shared" si="173"/>
        <v>0</v>
      </c>
      <c r="Y755" s="45">
        <f t="shared" si="173"/>
        <v>0</v>
      </c>
      <c r="Z755" s="45">
        <f t="shared" si="173"/>
        <v>0</v>
      </c>
      <c r="AA755" s="45">
        <f t="shared" si="173"/>
        <v>0</v>
      </c>
      <c r="AB755" s="45">
        <f t="shared" si="173"/>
        <v>0</v>
      </c>
      <c r="AC755" s="45">
        <f t="shared" si="173"/>
        <v>0</v>
      </c>
      <c r="AD755" s="45">
        <f t="shared" si="173"/>
        <v>0</v>
      </c>
      <c r="AE755" s="45">
        <f t="shared" si="173"/>
        <v>0</v>
      </c>
      <c r="AF755" s="45">
        <f t="shared" si="173"/>
        <v>0</v>
      </c>
    </row>
    <row r="756" spans="1:32" x14ac:dyDescent="0.3">
      <c r="A756" s="38" t="s">
        <v>248</v>
      </c>
      <c r="B756" s="38" t="s">
        <v>174</v>
      </c>
      <c r="C756" s="38" t="s">
        <v>249</v>
      </c>
      <c r="D756" s="39" t="s">
        <v>183</v>
      </c>
      <c r="E756" s="39" t="s">
        <v>177</v>
      </c>
      <c r="F756" s="38" t="s">
        <v>129</v>
      </c>
      <c r="G756" s="38" t="s">
        <v>130</v>
      </c>
      <c r="H756" s="44">
        <v>5436</v>
      </c>
      <c r="I756" s="44">
        <v>5436</v>
      </c>
      <c r="J756" s="44"/>
      <c r="K756" s="44"/>
      <c r="L756" s="44"/>
      <c r="M756" s="44"/>
      <c r="N756" s="44"/>
      <c r="O756" s="44"/>
      <c r="P756" s="44"/>
      <c r="Q756" s="44"/>
      <c r="R756" s="44"/>
      <c r="S756" s="44"/>
      <c r="T756" s="44"/>
      <c r="U756" s="44"/>
      <c r="V756" s="44"/>
      <c r="W756" s="44"/>
      <c r="X756" s="44"/>
      <c r="Y756" s="44"/>
      <c r="Z756" s="44"/>
      <c r="AA756" s="44"/>
      <c r="AB756" s="44"/>
      <c r="AC756" s="44"/>
      <c r="AD756" s="44"/>
      <c r="AE756" s="44"/>
      <c r="AF756" s="44"/>
    </row>
    <row r="757" spans="1:32" x14ac:dyDescent="0.3">
      <c r="A757" s="38" t="s">
        <v>248</v>
      </c>
      <c r="B757" s="38" t="s">
        <v>174</v>
      </c>
      <c r="C757" s="38" t="s">
        <v>249</v>
      </c>
      <c r="D757" s="39" t="s">
        <v>183</v>
      </c>
      <c r="E757" s="39" t="s">
        <v>177</v>
      </c>
      <c r="F757" s="38" t="s">
        <v>131</v>
      </c>
      <c r="G757" s="38" t="s">
        <v>130</v>
      </c>
      <c r="H757" s="44">
        <v>75136</v>
      </c>
      <c r="I757" s="44">
        <v>3857</v>
      </c>
      <c r="J757" s="44">
        <v>4058</v>
      </c>
      <c r="K757" s="44">
        <v>3613</v>
      </c>
      <c r="L757" s="44">
        <v>3094</v>
      </c>
      <c r="M757" s="44">
        <v>3695</v>
      </c>
      <c r="N757" s="44">
        <v>3719</v>
      </c>
      <c r="O757" s="44">
        <v>3567</v>
      </c>
      <c r="P757" s="44">
        <v>4857</v>
      </c>
      <c r="Q757" s="44">
        <v>5660</v>
      </c>
      <c r="R757" s="44">
        <v>5473</v>
      </c>
      <c r="S757" s="44">
        <v>5470</v>
      </c>
      <c r="T757" s="44">
        <v>5125</v>
      </c>
      <c r="U757" s="44">
        <v>2982</v>
      </c>
      <c r="V757" s="44">
        <v>2392</v>
      </c>
      <c r="W757" s="44">
        <v>2391</v>
      </c>
      <c r="X757" s="44">
        <v>2392</v>
      </c>
      <c r="Y757" s="44">
        <v>2376</v>
      </c>
      <c r="Z757" s="44">
        <v>2354</v>
      </c>
      <c r="AA757" s="44">
        <v>2346</v>
      </c>
      <c r="AB757" s="44">
        <v>2308</v>
      </c>
      <c r="AC757" s="44">
        <v>2269</v>
      </c>
      <c r="AD757" s="44">
        <v>774</v>
      </c>
      <c r="AE757" s="44">
        <v>182</v>
      </c>
      <c r="AF757" s="44">
        <v>182</v>
      </c>
    </row>
    <row r="758" spans="1:32" x14ac:dyDescent="0.3">
      <c r="A758" s="38" t="s">
        <v>248</v>
      </c>
      <c r="B758" s="38" t="s">
        <v>174</v>
      </c>
      <c r="C758" s="38" t="s">
        <v>249</v>
      </c>
      <c r="D758" s="39" t="s">
        <v>183</v>
      </c>
      <c r="E758" s="39" t="s">
        <v>177</v>
      </c>
      <c r="F758" s="38" t="s">
        <v>132</v>
      </c>
      <c r="G758" s="38" t="s">
        <v>130</v>
      </c>
      <c r="H758" s="44">
        <v>58656</v>
      </c>
      <c r="I758" s="44">
        <v>58656</v>
      </c>
      <c r="J758" s="44"/>
      <c r="K758" s="44"/>
      <c r="L758" s="44"/>
      <c r="M758" s="44"/>
      <c r="N758" s="44"/>
      <c r="O758" s="44"/>
      <c r="P758" s="44"/>
      <c r="Q758" s="44"/>
      <c r="R758" s="44"/>
      <c r="S758" s="44"/>
      <c r="T758" s="44"/>
      <c r="U758" s="44"/>
      <c r="V758" s="44"/>
      <c r="W758" s="44"/>
      <c r="X758" s="44"/>
      <c r="Y758" s="44"/>
      <c r="Z758" s="44"/>
      <c r="AA758" s="44"/>
      <c r="AB758" s="44"/>
      <c r="AC758" s="44"/>
      <c r="AD758" s="44"/>
      <c r="AE758" s="44"/>
      <c r="AF758" s="44"/>
    </row>
    <row r="759" spans="1:32" x14ac:dyDescent="0.3">
      <c r="A759" s="38" t="s">
        <v>248</v>
      </c>
      <c r="B759" s="38" t="s">
        <v>174</v>
      </c>
      <c r="C759" s="38" t="s">
        <v>249</v>
      </c>
      <c r="D759" s="39" t="s">
        <v>183</v>
      </c>
      <c r="E759" s="39" t="s">
        <v>177</v>
      </c>
      <c r="F759" s="38" t="s">
        <v>133</v>
      </c>
      <c r="G759" s="38" t="s">
        <v>130</v>
      </c>
      <c r="H759" s="44">
        <v>0</v>
      </c>
      <c r="I759" s="44">
        <v>0</v>
      </c>
      <c r="J759" s="44"/>
      <c r="K759" s="44"/>
      <c r="L759" s="44"/>
      <c r="M759" s="44"/>
      <c r="N759" s="44"/>
      <c r="O759" s="44"/>
      <c r="P759" s="44"/>
      <c r="Q759" s="44"/>
      <c r="R759" s="44"/>
      <c r="S759" s="44"/>
      <c r="T759" s="44"/>
      <c r="U759" s="44"/>
      <c r="V759" s="44"/>
      <c r="W759" s="44"/>
      <c r="X759" s="44"/>
      <c r="Y759" s="44"/>
      <c r="Z759" s="44"/>
      <c r="AA759" s="44"/>
      <c r="AB759" s="44"/>
      <c r="AC759" s="44"/>
      <c r="AD759" s="44"/>
      <c r="AE759" s="44"/>
      <c r="AF759" s="44"/>
    </row>
    <row r="760" spans="1:32" x14ac:dyDescent="0.3">
      <c r="A760" s="38" t="s">
        <v>248</v>
      </c>
      <c r="B760" s="38" t="s">
        <v>174</v>
      </c>
      <c r="C760" s="38" t="s">
        <v>249</v>
      </c>
      <c r="D760" s="39" t="s">
        <v>183</v>
      </c>
      <c r="E760" s="39" t="s">
        <v>177</v>
      </c>
      <c r="F760" s="38" t="s">
        <v>134</v>
      </c>
      <c r="G760" s="38" t="s">
        <v>130</v>
      </c>
      <c r="H760" s="44">
        <v>0</v>
      </c>
      <c r="I760" s="44">
        <v>0</v>
      </c>
      <c r="J760" s="44"/>
      <c r="K760" s="44"/>
      <c r="L760" s="44"/>
      <c r="M760" s="44"/>
      <c r="N760" s="44"/>
      <c r="O760" s="44"/>
      <c r="P760" s="44"/>
      <c r="Q760" s="44"/>
      <c r="R760" s="44"/>
      <c r="S760" s="44"/>
      <c r="T760" s="44"/>
      <c r="U760" s="44"/>
      <c r="V760" s="44"/>
      <c r="W760" s="44"/>
      <c r="X760" s="44"/>
      <c r="Y760" s="44"/>
      <c r="Z760" s="44"/>
      <c r="AA760" s="44"/>
      <c r="AB760" s="44"/>
      <c r="AC760" s="44"/>
      <c r="AD760" s="44"/>
      <c r="AE760" s="44"/>
      <c r="AF760" s="44"/>
    </row>
    <row r="761" spans="1:32" x14ac:dyDescent="0.3">
      <c r="A761" s="38" t="s">
        <v>248</v>
      </c>
      <c r="B761" s="38" t="s">
        <v>174</v>
      </c>
      <c r="C761" s="38" t="s">
        <v>249</v>
      </c>
      <c r="D761" s="39" t="s">
        <v>183</v>
      </c>
      <c r="E761" s="39" t="s">
        <v>177</v>
      </c>
      <c r="F761" s="38" t="s">
        <v>135</v>
      </c>
      <c r="G761" s="38" t="s">
        <v>130</v>
      </c>
      <c r="H761" s="44"/>
      <c r="I761" s="44"/>
      <c r="J761" s="44"/>
      <c r="K761" s="44"/>
      <c r="L761" s="44"/>
      <c r="M761" s="44"/>
      <c r="N761" s="44"/>
      <c r="O761" s="44"/>
      <c r="P761" s="44"/>
      <c r="Q761" s="44"/>
      <c r="R761" s="44"/>
      <c r="S761" s="44"/>
      <c r="T761" s="44"/>
      <c r="U761" s="44"/>
      <c r="V761" s="44"/>
      <c r="W761" s="44"/>
      <c r="X761" s="44"/>
      <c r="Y761" s="44"/>
      <c r="Z761" s="44"/>
      <c r="AA761" s="44"/>
      <c r="AB761" s="44"/>
      <c r="AC761" s="44"/>
      <c r="AD761" s="44"/>
      <c r="AE761" s="44"/>
      <c r="AF761" s="44"/>
    </row>
    <row r="762" spans="1:32" x14ac:dyDescent="0.3">
      <c r="A762" s="38" t="s">
        <v>248</v>
      </c>
      <c r="B762" s="38" t="s">
        <v>174</v>
      </c>
      <c r="C762" s="38" t="s">
        <v>249</v>
      </c>
      <c r="D762" s="39" t="s">
        <v>183</v>
      </c>
      <c r="E762" s="39" t="s">
        <v>177</v>
      </c>
      <c r="F762" s="38" t="s">
        <v>136</v>
      </c>
      <c r="G762" s="38" t="s">
        <v>130</v>
      </c>
      <c r="H762" s="44">
        <f>SUM(I762:AF762)</f>
        <v>158400</v>
      </c>
      <c r="I762" s="44">
        <f t="shared" ref="I762:AF762" si="174">IF(AND(ISBLANK(I765) = TRUE,ISBLANK(I764) = TRUE),I763,I764+I765)</f>
        <v>28800</v>
      </c>
      <c r="J762" s="44">
        <f t="shared" si="174"/>
        <v>0</v>
      </c>
      <c r="K762" s="44">
        <f t="shared" si="174"/>
        <v>14400</v>
      </c>
      <c r="L762" s="44">
        <f t="shared" si="174"/>
        <v>14400</v>
      </c>
      <c r="M762" s="44">
        <f t="shared" si="174"/>
        <v>14400</v>
      </c>
      <c r="N762" s="44">
        <f t="shared" si="174"/>
        <v>0</v>
      </c>
      <c r="O762" s="44">
        <f t="shared" si="174"/>
        <v>0</v>
      </c>
      <c r="P762" s="44">
        <f t="shared" si="174"/>
        <v>14400</v>
      </c>
      <c r="Q762" s="44">
        <f t="shared" si="174"/>
        <v>14400</v>
      </c>
      <c r="R762" s="44">
        <f t="shared" si="174"/>
        <v>28800</v>
      </c>
      <c r="S762" s="44">
        <f t="shared" si="174"/>
        <v>0</v>
      </c>
      <c r="T762" s="44">
        <f t="shared" si="174"/>
        <v>14400</v>
      </c>
      <c r="U762" s="44">
        <f t="shared" si="174"/>
        <v>0</v>
      </c>
      <c r="V762" s="44">
        <f t="shared" si="174"/>
        <v>14400</v>
      </c>
      <c r="W762" s="44">
        <f t="shared" si="174"/>
        <v>0</v>
      </c>
      <c r="X762" s="44">
        <f t="shared" si="174"/>
        <v>0</v>
      </c>
      <c r="Y762" s="44">
        <f t="shared" si="174"/>
        <v>0</v>
      </c>
      <c r="Z762" s="44">
        <f t="shared" si="174"/>
        <v>0</v>
      </c>
      <c r="AA762" s="44">
        <f t="shared" si="174"/>
        <v>0</v>
      </c>
      <c r="AB762" s="44">
        <f t="shared" si="174"/>
        <v>0</v>
      </c>
      <c r="AC762" s="44">
        <f t="shared" si="174"/>
        <v>0</v>
      </c>
      <c r="AD762" s="44">
        <f t="shared" si="174"/>
        <v>0</v>
      </c>
      <c r="AE762" s="44">
        <f t="shared" si="174"/>
        <v>0</v>
      </c>
      <c r="AF762" s="44">
        <f t="shared" si="174"/>
        <v>0</v>
      </c>
    </row>
    <row r="763" spans="1:32" x14ac:dyDescent="0.3">
      <c r="A763" s="38" t="s">
        <v>248</v>
      </c>
      <c r="B763" s="38" t="s">
        <v>174</v>
      </c>
      <c r="C763" s="38" t="s">
        <v>249</v>
      </c>
      <c r="D763" s="39" t="s">
        <v>183</v>
      </c>
      <c r="E763" s="39" t="s">
        <v>177</v>
      </c>
      <c r="F763" s="38" t="s">
        <v>124</v>
      </c>
      <c r="G763" s="38" t="s">
        <v>130</v>
      </c>
      <c r="H763" s="44">
        <v>158400</v>
      </c>
      <c r="I763" s="44">
        <v>28800</v>
      </c>
      <c r="J763" s="44"/>
      <c r="K763" s="44">
        <v>14400</v>
      </c>
      <c r="L763" s="44">
        <v>14400</v>
      </c>
      <c r="M763" s="44">
        <v>14400</v>
      </c>
      <c r="N763" s="44"/>
      <c r="O763" s="44"/>
      <c r="P763" s="44">
        <v>14400</v>
      </c>
      <c r="Q763" s="44">
        <v>14400</v>
      </c>
      <c r="R763" s="44">
        <v>28800</v>
      </c>
      <c r="S763" s="44"/>
      <c r="T763" s="44">
        <v>14400</v>
      </c>
      <c r="U763" s="44"/>
      <c r="V763" s="44">
        <v>14400</v>
      </c>
      <c r="W763" s="44"/>
      <c r="X763" s="44"/>
      <c r="Y763" s="44"/>
      <c r="Z763" s="44"/>
      <c r="AA763" s="44"/>
      <c r="AB763" s="44"/>
      <c r="AC763" s="44"/>
      <c r="AD763" s="44"/>
      <c r="AE763" s="44"/>
      <c r="AF763" s="44"/>
    </row>
    <row r="764" spans="1:32" x14ac:dyDescent="0.3">
      <c r="A764" s="38" t="s">
        <v>248</v>
      </c>
      <c r="B764" s="38" t="s">
        <v>174</v>
      </c>
      <c r="C764" s="38" t="s">
        <v>249</v>
      </c>
      <c r="D764" s="39" t="s">
        <v>183</v>
      </c>
      <c r="E764" s="39" t="s">
        <v>177</v>
      </c>
      <c r="F764" s="38" t="s">
        <v>137</v>
      </c>
      <c r="G764" s="38" t="s">
        <v>130</v>
      </c>
      <c r="H764" s="44">
        <f>SUM(I764:AF764)</f>
        <v>0</v>
      </c>
      <c r="I764" s="44"/>
      <c r="J764" s="44"/>
      <c r="K764" s="44"/>
      <c r="L764" s="44"/>
      <c r="M764" s="44"/>
      <c r="N764" s="44"/>
      <c r="O764" s="44"/>
      <c r="P764" s="44"/>
      <c r="Q764" s="44"/>
      <c r="R764" s="44"/>
      <c r="S764" s="44"/>
      <c r="T764" s="44"/>
      <c r="U764" s="44"/>
      <c r="V764" s="44"/>
      <c r="W764" s="44"/>
      <c r="X764" s="44"/>
      <c r="Y764" s="44"/>
      <c r="Z764" s="44"/>
      <c r="AA764" s="44"/>
      <c r="AB764" s="44"/>
      <c r="AC764" s="44"/>
      <c r="AD764" s="44"/>
      <c r="AE764" s="44"/>
      <c r="AF764" s="44"/>
    </row>
    <row r="765" spans="1:32" x14ac:dyDescent="0.3">
      <c r="A765" s="38" t="s">
        <v>248</v>
      </c>
      <c r="B765" s="38" t="s">
        <v>174</v>
      </c>
      <c r="C765" s="38" t="s">
        <v>249</v>
      </c>
      <c r="D765" s="39" t="s">
        <v>183</v>
      </c>
      <c r="E765" s="39" t="s">
        <v>177</v>
      </c>
      <c r="F765" s="38" t="s">
        <v>138</v>
      </c>
      <c r="G765" s="38" t="s">
        <v>130</v>
      </c>
      <c r="H765" s="44">
        <f>SUM(I765:AF765)</f>
        <v>0</v>
      </c>
      <c r="I765" s="44"/>
      <c r="J765" s="44"/>
      <c r="K765" s="44"/>
      <c r="L765" s="44"/>
      <c r="M765" s="44"/>
      <c r="N765" s="44"/>
      <c r="O765" s="44"/>
      <c r="P765" s="44"/>
      <c r="Q765" s="44"/>
      <c r="R765" s="44"/>
      <c r="S765" s="44"/>
      <c r="T765" s="44"/>
      <c r="U765" s="44"/>
      <c r="V765" s="44"/>
      <c r="W765" s="44"/>
      <c r="X765" s="44"/>
      <c r="Y765" s="44"/>
      <c r="Z765" s="44"/>
      <c r="AA765" s="44"/>
      <c r="AB765" s="44"/>
      <c r="AC765" s="44"/>
      <c r="AD765" s="44"/>
      <c r="AE765" s="44"/>
      <c r="AF765" s="44"/>
    </row>
    <row r="766" spans="1:32" x14ac:dyDescent="0.3">
      <c r="A766" s="38" t="s">
        <v>248</v>
      </c>
      <c r="B766" s="38" t="s">
        <v>174</v>
      </c>
      <c r="C766" s="38" t="s">
        <v>249</v>
      </c>
      <c r="D766" s="39" t="s">
        <v>183</v>
      </c>
      <c r="E766" s="39" t="s">
        <v>177</v>
      </c>
      <c r="F766" s="38" t="s">
        <v>139</v>
      </c>
      <c r="G766" s="38" t="s">
        <v>130</v>
      </c>
      <c r="H766" s="44">
        <v>158400</v>
      </c>
      <c r="I766" s="44">
        <v>28800</v>
      </c>
      <c r="J766" s="44"/>
      <c r="K766" s="44">
        <v>14400</v>
      </c>
      <c r="L766" s="44">
        <v>14400</v>
      </c>
      <c r="M766" s="44">
        <v>14400</v>
      </c>
      <c r="N766" s="44"/>
      <c r="O766" s="44"/>
      <c r="P766" s="44">
        <v>14400</v>
      </c>
      <c r="Q766" s="44">
        <v>14400</v>
      </c>
      <c r="R766" s="44">
        <v>28800</v>
      </c>
      <c r="S766" s="44"/>
      <c r="T766" s="44">
        <v>14400</v>
      </c>
      <c r="U766" s="44"/>
      <c r="V766" s="44">
        <v>14400</v>
      </c>
      <c r="W766" s="44"/>
      <c r="X766" s="44"/>
      <c r="Y766" s="44"/>
      <c r="Z766" s="44"/>
      <c r="AA766" s="44"/>
      <c r="AB766" s="44"/>
      <c r="AC766" s="44"/>
      <c r="AD766" s="44"/>
      <c r="AE766" s="44"/>
      <c r="AF766" s="44"/>
    </row>
    <row r="767" spans="1:32" x14ac:dyDescent="0.3">
      <c r="A767" s="38" t="s">
        <v>248</v>
      </c>
      <c r="B767" s="38" t="s">
        <v>174</v>
      </c>
      <c r="C767" s="38" t="s">
        <v>249</v>
      </c>
      <c r="D767" s="39" t="s">
        <v>183</v>
      </c>
      <c r="E767" s="39" t="s">
        <v>177</v>
      </c>
      <c r="F767" s="38" t="s">
        <v>140</v>
      </c>
      <c r="G767" s="38" t="s">
        <v>130</v>
      </c>
      <c r="H767" s="44"/>
      <c r="I767" s="44">
        <f>I762-(I757+I756)+(I761+I760+I759+I758)</f>
        <v>78163</v>
      </c>
      <c r="J767" s="44">
        <f t="shared" ref="J767:AF767" si="175">I767+J762-J757</f>
        <v>74105</v>
      </c>
      <c r="K767" s="44">
        <f t="shared" si="175"/>
        <v>84892</v>
      </c>
      <c r="L767" s="44">
        <f t="shared" si="175"/>
        <v>96198</v>
      </c>
      <c r="M767" s="44">
        <f t="shared" si="175"/>
        <v>106903</v>
      </c>
      <c r="N767" s="44">
        <f t="shared" si="175"/>
        <v>103184</v>
      </c>
      <c r="O767" s="44">
        <f t="shared" si="175"/>
        <v>99617</v>
      </c>
      <c r="P767" s="44">
        <f t="shared" si="175"/>
        <v>109160</v>
      </c>
      <c r="Q767" s="44">
        <f t="shared" si="175"/>
        <v>117900</v>
      </c>
      <c r="R767" s="44">
        <f t="shared" si="175"/>
        <v>141227</v>
      </c>
      <c r="S767" s="44">
        <f t="shared" si="175"/>
        <v>135757</v>
      </c>
      <c r="T767" s="44">
        <f t="shared" si="175"/>
        <v>145032</v>
      </c>
      <c r="U767" s="44">
        <f t="shared" si="175"/>
        <v>142050</v>
      </c>
      <c r="V767" s="44">
        <f t="shared" si="175"/>
        <v>154058</v>
      </c>
      <c r="W767" s="44">
        <f t="shared" si="175"/>
        <v>151667</v>
      </c>
      <c r="X767" s="44">
        <f t="shared" si="175"/>
        <v>149275</v>
      </c>
      <c r="Y767" s="44">
        <f t="shared" si="175"/>
        <v>146899</v>
      </c>
      <c r="Z767" s="44">
        <f t="shared" si="175"/>
        <v>144545</v>
      </c>
      <c r="AA767" s="44">
        <f t="shared" si="175"/>
        <v>142199</v>
      </c>
      <c r="AB767" s="44">
        <f t="shared" si="175"/>
        <v>139891</v>
      </c>
      <c r="AC767" s="44">
        <f t="shared" si="175"/>
        <v>137622</v>
      </c>
      <c r="AD767" s="44">
        <f t="shared" si="175"/>
        <v>136848</v>
      </c>
      <c r="AE767" s="44">
        <f t="shared" si="175"/>
        <v>136666</v>
      </c>
      <c r="AF767" s="44">
        <f t="shared" si="175"/>
        <v>136484</v>
      </c>
    </row>
    <row r="768" spans="1:32" ht="15" thickBot="1" x14ac:dyDescent="0.35">
      <c r="A768" s="40" t="s">
        <v>248</v>
      </c>
      <c r="B768" s="40" t="s">
        <v>174</v>
      </c>
      <c r="C768" s="40" t="s">
        <v>249</v>
      </c>
      <c r="D768" s="41" t="s">
        <v>183</v>
      </c>
      <c r="E768" s="41" t="s">
        <v>177</v>
      </c>
      <c r="F768" s="40" t="s">
        <v>141</v>
      </c>
      <c r="G768" s="40" t="s">
        <v>130</v>
      </c>
      <c r="H768" s="45"/>
      <c r="I768" s="45">
        <f>I762-I766</f>
        <v>0</v>
      </c>
      <c r="J768" s="45">
        <f t="shared" ref="J768:AF768" si="176">I768+J762-J766</f>
        <v>0</v>
      </c>
      <c r="K768" s="45">
        <f t="shared" si="176"/>
        <v>0</v>
      </c>
      <c r="L768" s="45">
        <f t="shared" si="176"/>
        <v>0</v>
      </c>
      <c r="M768" s="45">
        <f t="shared" si="176"/>
        <v>0</v>
      </c>
      <c r="N768" s="45">
        <f t="shared" si="176"/>
        <v>0</v>
      </c>
      <c r="O768" s="45">
        <f t="shared" si="176"/>
        <v>0</v>
      </c>
      <c r="P768" s="45">
        <f t="shared" si="176"/>
        <v>0</v>
      </c>
      <c r="Q768" s="45">
        <f t="shared" si="176"/>
        <v>0</v>
      </c>
      <c r="R768" s="45">
        <f t="shared" si="176"/>
        <v>0</v>
      </c>
      <c r="S768" s="45">
        <f t="shared" si="176"/>
        <v>0</v>
      </c>
      <c r="T768" s="45">
        <f t="shared" si="176"/>
        <v>0</v>
      </c>
      <c r="U768" s="45">
        <f t="shared" si="176"/>
        <v>0</v>
      </c>
      <c r="V768" s="45">
        <f t="shared" si="176"/>
        <v>0</v>
      </c>
      <c r="W768" s="45">
        <f t="shared" si="176"/>
        <v>0</v>
      </c>
      <c r="X768" s="45">
        <f t="shared" si="176"/>
        <v>0</v>
      </c>
      <c r="Y768" s="45">
        <f t="shared" si="176"/>
        <v>0</v>
      </c>
      <c r="Z768" s="45">
        <f t="shared" si="176"/>
        <v>0</v>
      </c>
      <c r="AA768" s="45">
        <f t="shared" si="176"/>
        <v>0</v>
      </c>
      <c r="AB768" s="45">
        <f t="shared" si="176"/>
        <v>0</v>
      </c>
      <c r="AC768" s="45">
        <f t="shared" si="176"/>
        <v>0</v>
      </c>
      <c r="AD768" s="45">
        <f t="shared" si="176"/>
        <v>0</v>
      </c>
      <c r="AE768" s="45">
        <f t="shared" si="176"/>
        <v>0</v>
      </c>
      <c r="AF768" s="45">
        <f t="shared" si="176"/>
        <v>0</v>
      </c>
    </row>
    <row r="769" spans="1:32" x14ac:dyDescent="0.3">
      <c r="A769" s="38" t="s">
        <v>250</v>
      </c>
      <c r="B769" s="38" t="s">
        <v>174</v>
      </c>
      <c r="C769" s="38" t="s">
        <v>251</v>
      </c>
      <c r="D769" s="39" t="s">
        <v>176</v>
      </c>
      <c r="E769" s="39" t="s">
        <v>177</v>
      </c>
      <c r="F769" s="38" t="s">
        <v>129</v>
      </c>
      <c r="G769" s="38" t="s">
        <v>130</v>
      </c>
      <c r="H769" s="44">
        <v>4223</v>
      </c>
      <c r="I769" s="44">
        <v>4223</v>
      </c>
      <c r="J769" s="44"/>
      <c r="K769" s="44"/>
      <c r="L769" s="44"/>
      <c r="M769" s="44"/>
      <c r="N769" s="44"/>
      <c r="O769" s="44"/>
      <c r="P769" s="44"/>
      <c r="Q769" s="44"/>
      <c r="R769" s="44"/>
      <c r="S769" s="44"/>
      <c r="T769" s="44"/>
      <c r="U769" s="44"/>
      <c r="V769" s="44"/>
      <c r="W769" s="44"/>
      <c r="X769" s="44"/>
      <c r="Y769" s="44"/>
      <c r="Z769" s="44"/>
      <c r="AA769" s="44"/>
      <c r="AB769" s="44"/>
      <c r="AC769" s="44"/>
      <c r="AD769" s="44"/>
      <c r="AE769" s="44"/>
      <c r="AF769" s="44"/>
    </row>
    <row r="770" spans="1:32" x14ac:dyDescent="0.3">
      <c r="A770" s="38" t="s">
        <v>250</v>
      </c>
      <c r="B770" s="38" t="s">
        <v>174</v>
      </c>
      <c r="C770" s="38" t="s">
        <v>251</v>
      </c>
      <c r="D770" s="39" t="s">
        <v>176</v>
      </c>
      <c r="E770" s="39" t="s">
        <v>177</v>
      </c>
      <c r="F770" s="38" t="s">
        <v>131</v>
      </c>
      <c r="G770" s="38" t="s">
        <v>130</v>
      </c>
      <c r="H770" s="44">
        <v>27263</v>
      </c>
      <c r="I770" s="44">
        <v>1215</v>
      </c>
      <c r="J770" s="44">
        <v>1184</v>
      </c>
      <c r="K770" s="44">
        <v>1136</v>
      </c>
      <c r="L770" s="44">
        <v>1022</v>
      </c>
      <c r="M770" s="44">
        <v>1276</v>
      </c>
      <c r="N770" s="44">
        <v>1338</v>
      </c>
      <c r="O770" s="44">
        <v>1337</v>
      </c>
      <c r="P770" s="44">
        <v>1374</v>
      </c>
      <c r="Q770" s="44">
        <v>1254</v>
      </c>
      <c r="R770" s="44">
        <v>1144</v>
      </c>
      <c r="S770" s="44">
        <v>1140</v>
      </c>
      <c r="T770" s="44">
        <v>1128</v>
      </c>
      <c r="U770" s="44">
        <v>1085</v>
      </c>
      <c r="V770" s="44">
        <v>1161</v>
      </c>
      <c r="W770" s="44">
        <v>1161</v>
      </c>
      <c r="X770" s="44">
        <v>1158</v>
      </c>
      <c r="Y770" s="44">
        <v>1157</v>
      </c>
      <c r="Z770" s="44">
        <v>1041</v>
      </c>
      <c r="AA770" s="44">
        <v>1000</v>
      </c>
      <c r="AB770" s="44">
        <v>1001</v>
      </c>
      <c r="AC770" s="44">
        <v>998</v>
      </c>
      <c r="AD770" s="44">
        <v>985</v>
      </c>
      <c r="AE770" s="44">
        <v>985</v>
      </c>
      <c r="AF770" s="44">
        <v>983</v>
      </c>
    </row>
    <row r="771" spans="1:32" x14ac:dyDescent="0.3">
      <c r="A771" s="38" t="s">
        <v>250</v>
      </c>
      <c r="B771" s="38" t="s">
        <v>174</v>
      </c>
      <c r="C771" s="38" t="s">
        <v>251</v>
      </c>
      <c r="D771" s="39" t="s">
        <v>176</v>
      </c>
      <c r="E771" s="39" t="s">
        <v>177</v>
      </c>
      <c r="F771" s="38" t="s">
        <v>132</v>
      </c>
      <c r="G771" s="38" t="s">
        <v>130</v>
      </c>
      <c r="H771" s="44">
        <v>9103</v>
      </c>
      <c r="I771" s="44">
        <v>9103</v>
      </c>
      <c r="J771" s="44"/>
      <c r="K771" s="44"/>
      <c r="L771" s="44"/>
      <c r="M771" s="44"/>
      <c r="N771" s="44"/>
      <c r="O771" s="44"/>
      <c r="P771" s="44"/>
      <c r="Q771" s="44"/>
      <c r="R771" s="44"/>
      <c r="S771" s="44"/>
      <c r="T771" s="44"/>
      <c r="U771" s="44"/>
      <c r="V771" s="44"/>
      <c r="W771" s="44"/>
      <c r="X771" s="44"/>
      <c r="Y771" s="44"/>
      <c r="Z771" s="44"/>
      <c r="AA771" s="44"/>
      <c r="AB771" s="44"/>
      <c r="AC771" s="44"/>
      <c r="AD771" s="44"/>
      <c r="AE771" s="44"/>
      <c r="AF771" s="44"/>
    </row>
    <row r="772" spans="1:32" x14ac:dyDescent="0.3">
      <c r="A772" s="38" t="s">
        <v>250</v>
      </c>
      <c r="B772" s="38" t="s">
        <v>174</v>
      </c>
      <c r="C772" s="38" t="s">
        <v>251</v>
      </c>
      <c r="D772" s="39" t="s">
        <v>176</v>
      </c>
      <c r="E772" s="39" t="s">
        <v>177</v>
      </c>
      <c r="F772" s="38" t="s">
        <v>133</v>
      </c>
      <c r="G772" s="38" t="s">
        <v>130</v>
      </c>
      <c r="H772" s="44">
        <v>0</v>
      </c>
      <c r="I772" s="44">
        <v>0</v>
      </c>
      <c r="J772" s="44"/>
      <c r="K772" s="44"/>
      <c r="L772" s="44"/>
      <c r="M772" s="44"/>
      <c r="N772" s="44"/>
      <c r="O772" s="44"/>
      <c r="P772" s="44"/>
      <c r="Q772" s="44"/>
      <c r="R772" s="44"/>
      <c r="S772" s="44"/>
      <c r="T772" s="44"/>
      <c r="U772" s="44"/>
      <c r="V772" s="44"/>
      <c r="W772" s="44"/>
      <c r="X772" s="44"/>
      <c r="Y772" s="44"/>
      <c r="Z772" s="44"/>
      <c r="AA772" s="44"/>
      <c r="AB772" s="44"/>
      <c r="AC772" s="44"/>
      <c r="AD772" s="44"/>
      <c r="AE772" s="44"/>
      <c r="AF772" s="44"/>
    </row>
    <row r="773" spans="1:32" x14ac:dyDescent="0.3">
      <c r="A773" s="38" t="s">
        <v>250</v>
      </c>
      <c r="B773" s="38" t="s">
        <v>174</v>
      </c>
      <c r="C773" s="38" t="s">
        <v>251</v>
      </c>
      <c r="D773" s="39" t="s">
        <v>176</v>
      </c>
      <c r="E773" s="39" t="s">
        <v>177</v>
      </c>
      <c r="F773" s="38" t="s">
        <v>134</v>
      </c>
      <c r="G773" s="38" t="s">
        <v>130</v>
      </c>
      <c r="H773" s="44">
        <v>416</v>
      </c>
      <c r="I773" s="44">
        <v>416</v>
      </c>
      <c r="J773" s="44"/>
      <c r="K773" s="44"/>
      <c r="L773" s="44"/>
      <c r="M773" s="44"/>
      <c r="N773" s="44"/>
      <c r="O773" s="44"/>
      <c r="P773" s="44"/>
      <c r="Q773" s="44"/>
      <c r="R773" s="44"/>
      <c r="S773" s="44"/>
      <c r="T773" s="44"/>
      <c r="U773" s="44"/>
      <c r="V773" s="44"/>
      <c r="W773" s="44"/>
      <c r="X773" s="44"/>
      <c r="Y773" s="44"/>
      <c r="Z773" s="44"/>
      <c r="AA773" s="44"/>
      <c r="AB773" s="44"/>
      <c r="AC773" s="44"/>
      <c r="AD773" s="44"/>
      <c r="AE773" s="44"/>
      <c r="AF773" s="44"/>
    </row>
    <row r="774" spans="1:32" x14ac:dyDescent="0.3">
      <c r="A774" s="38" t="s">
        <v>250</v>
      </c>
      <c r="B774" s="38" t="s">
        <v>174</v>
      </c>
      <c r="C774" s="38" t="s">
        <v>251</v>
      </c>
      <c r="D774" s="39" t="s">
        <v>176</v>
      </c>
      <c r="E774" s="39" t="s">
        <v>177</v>
      </c>
      <c r="F774" s="38" t="s">
        <v>135</v>
      </c>
      <c r="G774" s="38" t="s">
        <v>130</v>
      </c>
      <c r="H774" s="44"/>
      <c r="I774" s="44"/>
      <c r="J774" s="44"/>
      <c r="K774" s="44"/>
      <c r="L774" s="44"/>
      <c r="M774" s="44"/>
      <c r="N774" s="44"/>
      <c r="O774" s="44"/>
      <c r="P774" s="44"/>
      <c r="Q774" s="44"/>
      <c r="R774" s="44"/>
      <c r="S774" s="44"/>
      <c r="T774" s="44"/>
      <c r="U774" s="44"/>
      <c r="V774" s="44"/>
      <c r="W774" s="44"/>
      <c r="X774" s="44"/>
      <c r="Y774" s="44"/>
      <c r="Z774" s="44"/>
      <c r="AA774" s="44"/>
      <c r="AB774" s="44"/>
      <c r="AC774" s="44"/>
      <c r="AD774" s="44"/>
      <c r="AE774" s="44"/>
      <c r="AF774" s="44"/>
    </row>
    <row r="775" spans="1:32" x14ac:dyDescent="0.3">
      <c r="A775" s="38" t="s">
        <v>250</v>
      </c>
      <c r="B775" s="38" t="s">
        <v>174</v>
      </c>
      <c r="C775" s="38" t="s">
        <v>251</v>
      </c>
      <c r="D775" s="39" t="s">
        <v>176</v>
      </c>
      <c r="E775" s="39" t="s">
        <v>177</v>
      </c>
      <c r="F775" s="38" t="s">
        <v>136</v>
      </c>
      <c r="G775" s="38" t="s">
        <v>130</v>
      </c>
      <c r="H775" s="44">
        <f>SUM(I775:AF775)</f>
        <v>128160</v>
      </c>
      <c r="I775" s="44">
        <f t="shared" ref="I775:AF775" si="177">IF(AND(ISBLANK(I778) = TRUE,ISBLANK(I777) = TRUE),I776,I777+I778)</f>
        <v>0</v>
      </c>
      <c r="J775" s="44">
        <f t="shared" si="177"/>
        <v>0</v>
      </c>
      <c r="K775" s="44">
        <f t="shared" si="177"/>
        <v>4320</v>
      </c>
      <c r="L775" s="44">
        <f t="shared" si="177"/>
        <v>14400</v>
      </c>
      <c r="M775" s="44">
        <f t="shared" si="177"/>
        <v>14400</v>
      </c>
      <c r="N775" s="44">
        <f t="shared" si="177"/>
        <v>4320</v>
      </c>
      <c r="O775" s="44">
        <f t="shared" si="177"/>
        <v>21600</v>
      </c>
      <c r="P775" s="44">
        <f t="shared" si="177"/>
        <v>4320</v>
      </c>
      <c r="Q775" s="44">
        <f t="shared" si="177"/>
        <v>21600</v>
      </c>
      <c r="R775" s="44">
        <f t="shared" si="177"/>
        <v>5760</v>
      </c>
      <c r="S775" s="44">
        <f t="shared" si="177"/>
        <v>10800</v>
      </c>
      <c r="T775" s="44">
        <f t="shared" si="177"/>
        <v>7920</v>
      </c>
      <c r="U775" s="44">
        <f t="shared" si="177"/>
        <v>7920</v>
      </c>
      <c r="V775" s="44">
        <f t="shared" si="177"/>
        <v>6480</v>
      </c>
      <c r="W775" s="44">
        <f t="shared" si="177"/>
        <v>4320</v>
      </c>
      <c r="X775" s="44">
        <f t="shared" si="177"/>
        <v>0</v>
      </c>
      <c r="Y775" s="44">
        <f t="shared" si="177"/>
        <v>0</v>
      </c>
      <c r="Z775" s="44">
        <f t="shared" si="177"/>
        <v>0</v>
      </c>
      <c r="AA775" s="44">
        <f t="shared" si="177"/>
        <v>0</v>
      </c>
      <c r="AB775" s="44">
        <f t="shared" si="177"/>
        <v>0</v>
      </c>
      <c r="AC775" s="44">
        <f t="shared" si="177"/>
        <v>0</v>
      </c>
      <c r="AD775" s="44">
        <f t="shared" si="177"/>
        <v>0</v>
      </c>
      <c r="AE775" s="44">
        <f t="shared" si="177"/>
        <v>0</v>
      </c>
      <c r="AF775" s="44">
        <f t="shared" si="177"/>
        <v>0</v>
      </c>
    </row>
    <row r="776" spans="1:32" x14ac:dyDescent="0.3">
      <c r="A776" s="38" t="s">
        <v>250</v>
      </c>
      <c r="B776" s="38" t="s">
        <v>174</v>
      </c>
      <c r="C776" s="38" t="s">
        <v>251</v>
      </c>
      <c r="D776" s="39" t="s">
        <v>176</v>
      </c>
      <c r="E776" s="39" t="s">
        <v>177</v>
      </c>
      <c r="F776" s="38" t="s">
        <v>124</v>
      </c>
      <c r="G776" s="38" t="s">
        <v>130</v>
      </c>
      <c r="H776" s="44">
        <v>128160</v>
      </c>
      <c r="I776" s="44"/>
      <c r="J776" s="44"/>
      <c r="K776" s="44">
        <v>4320</v>
      </c>
      <c r="L776" s="44">
        <v>14400</v>
      </c>
      <c r="M776" s="44">
        <v>14400</v>
      </c>
      <c r="N776" s="44">
        <v>4320</v>
      </c>
      <c r="O776" s="44">
        <v>21600</v>
      </c>
      <c r="P776" s="44">
        <v>4320</v>
      </c>
      <c r="Q776" s="44">
        <v>21600</v>
      </c>
      <c r="R776" s="44">
        <v>5760</v>
      </c>
      <c r="S776" s="44">
        <v>10800</v>
      </c>
      <c r="T776" s="44">
        <v>7920</v>
      </c>
      <c r="U776" s="44">
        <v>7920</v>
      </c>
      <c r="V776" s="44">
        <v>6480</v>
      </c>
      <c r="W776" s="44">
        <v>4320</v>
      </c>
      <c r="X776" s="44"/>
      <c r="Y776" s="44"/>
      <c r="Z776" s="44"/>
      <c r="AA776" s="44"/>
      <c r="AB776" s="44"/>
      <c r="AC776" s="44"/>
      <c r="AD776" s="44"/>
      <c r="AE776" s="44"/>
      <c r="AF776" s="44"/>
    </row>
    <row r="777" spans="1:32" x14ac:dyDescent="0.3">
      <c r="A777" s="38" t="s">
        <v>250</v>
      </c>
      <c r="B777" s="38" t="s">
        <v>174</v>
      </c>
      <c r="C777" s="38" t="s">
        <v>251</v>
      </c>
      <c r="D777" s="39" t="s">
        <v>176</v>
      </c>
      <c r="E777" s="39" t="s">
        <v>177</v>
      </c>
      <c r="F777" s="38" t="s">
        <v>137</v>
      </c>
      <c r="G777" s="38" t="s">
        <v>130</v>
      </c>
      <c r="H777" s="44">
        <f>SUM(I777:AF777)</f>
        <v>0</v>
      </c>
      <c r="I777" s="44"/>
      <c r="J777" s="44"/>
      <c r="K777" s="44"/>
      <c r="L777" s="44"/>
      <c r="M777" s="44"/>
      <c r="N777" s="44"/>
      <c r="O777" s="44"/>
      <c r="P777" s="44"/>
      <c r="Q777" s="44"/>
      <c r="R777" s="44"/>
      <c r="S777" s="44"/>
      <c r="T777" s="44"/>
      <c r="U777" s="44"/>
      <c r="V777" s="44"/>
      <c r="W777" s="44"/>
      <c r="X777" s="44"/>
      <c r="Y777" s="44"/>
      <c r="Z777" s="44"/>
      <c r="AA777" s="44"/>
      <c r="AB777" s="44"/>
      <c r="AC777" s="44"/>
      <c r="AD777" s="44"/>
      <c r="AE777" s="44"/>
      <c r="AF777" s="44"/>
    </row>
    <row r="778" spans="1:32" x14ac:dyDescent="0.3">
      <c r="A778" s="38" t="s">
        <v>250</v>
      </c>
      <c r="B778" s="38" t="s">
        <v>174</v>
      </c>
      <c r="C778" s="38" t="s">
        <v>251</v>
      </c>
      <c r="D778" s="39" t="s">
        <v>176</v>
      </c>
      <c r="E778" s="39" t="s">
        <v>177</v>
      </c>
      <c r="F778" s="38" t="s">
        <v>138</v>
      </c>
      <c r="G778" s="38" t="s">
        <v>130</v>
      </c>
      <c r="H778" s="44">
        <f>SUM(I778:AF778)</f>
        <v>0</v>
      </c>
      <c r="I778" s="44"/>
      <c r="J778" s="44"/>
      <c r="K778" s="44"/>
      <c r="L778" s="44"/>
      <c r="M778" s="44"/>
      <c r="N778" s="44"/>
      <c r="O778" s="44"/>
      <c r="P778" s="44"/>
      <c r="Q778" s="44"/>
      <c r="R778" s="44"/>
      <c r="S778" s="44"/>
      <c r="T778" s="44"/>
      <c r="U778" s="44"/>
      <c r="V778" s="44"/>
      <c r="W778" s="44"/>
      <c r="X778" s="44"/>
      <c r="Y778" s="44"/>
      <c r="Z778" s="44"/>
      <c r="AA778" s="44"/>
      <c r="AB778" s="44"/>
      <c r="AC778" s="44"/>
      <c r="AD778" s="44"/>
      <c r="AE778" s="44"/>
      <c r="AF778" s="44"/>
    </row>
    <row r="779" spans="1:32" x14ac:dyDescent="0.3">
      <c r="A779" s="38" t="s">
        <v>250</v>
      </c>
      <c r="B779" s="38" t="s">
        <v>174</v>
      </c>
      <c r="C779" s="38" t="s">
        <v>251</v>
      </c>
      <c r="D779" s="39" t="s">
        <v>176</v>
      </c>
      <c r="E779" s="39" t="s">
        <v>177</v>
      </c>
      <c r="F779" s="38" t="s">
        <v>139</v>
      </c>
      <c r="G779" s="38" t="s">
        <v>130</v>
      </c>
      <c r="H779" s="44">
        <v>128160</v>
      </c>
      <c r="I779" s="44"/>
      <c r="J779" s="44"/>
      <c r="K779" s="44">
        <v>4320</v>
      </c>
      <c r="L779" s="44">
        <v>14400</v>
      </c>
      <c r="M779" s="44">
        <v>14400</v>
      </c>
      <c r="N779" s="44">
        <v>4320</v>
      </c>
      <c r="O779" s="44">
        <v>21600</v>
      </c>
      <c r="P779" s="44">
        <v>4320</v>
      </c>
      <c r="Q779" s="44">
        <v>21600</v>
      </c>
      <c r="R779" s="44">
        <v>5760</v>
      </c>
      <c r="S779" s="44">
        <v>10800</v>
      </c>
      <c r="T779" s="44">
        <v>7920</v>
      </c>
      <c r="U779" s="44">
        <v>7920</v>
      </c>
      <c r="V779" s="44">
        <v>6480</v>
      </c>
      <c r="W779" s="44">
        <v>4320</v>
      </c>
      <c r="X779" s="44"/>
      <c r="Y779" s="44"/>
      <c r="Z779" s="44"/>
      <c r="AA779" s="44"/>
      <c r="AB779" s="44"/>
      <c r="AC779" s="44"/>
      <c r="AD779" s="44"/>
      <c r="AE779" s="44"/>
      <c r="AF779" s="44"/>
    </row>
    <row r="780" spans="1:32" x14ac:dyDescent="0.3">
      <c r="A780" s="38" t="s">
        <v>250</v>
      </c>
      <c r="B780" s="38" t="s">
        <v>174</v>
      </c>
      <c r="C780" s="38" t="s">
        <v>251</v>
      </c>
      <c r="D780" s="39" t="s">
        <v>176</v>
      </c>
      <c r="E780" s="39" t="s">
        <v>177</v>
      </c>
      <c r="F780" s="38" t="s">
        <v>140</v>
      </c>
      <c r="G780" s="38" t="s">
        <v>130</v>
      </c>
      <c r="H780" s="44"/>
      <c r="I780" s="44">
        <f>I775-(I770+I769)+(I774+I773+I772+I771)</f>
        <v>4081</v>
      </c>
      <c r="J780" s="44">
        <f t="shared" ref="J780:AF780" si="178">I780+J775-J770</f>
        <v>2897</v>
      </c>
      <c r="K780" s="44">
        <f t="shared" si="178"/>
        <v>6081</v>
      </c>
      <c r="L780" s="44">
        <f t="shared" si="178"/>
        <v>19459</v>
      </c>
      <c r="M780" s="44">
        <f t="shared" si="178"/>
        <v>32583</v>
      </c>
      <c r="N780" s="44">
        <f t="shared" si="178"/>
        <v>35565</v>
      </c>
      <c r="O780" s="44">
        <f t="shared" si="178"/>
        <v>55828</v>
      </c>
      <c r="P780" s="44">
        <f t="shared" si="178"/>
        <v>58774</v>
      </c>
      <c r="Q780" s="44">
        <f t="shared" si="178"/>
        <v>79120</v>
      </c>
      <c r="R780" s="44">
        <f t="shared" si="178"/>
        <v>83736</v>
      </c>
      <c r="S780" s="44">
        <f t="shared" si="178"/>
        <v>93396</v>
      </c>
      <c r="T780" s="44">
        <f t="shared" si="178"/>
        <v>100188</v>
      </c>
      <c r="U780" s="44">
        <f t="shared" si="178"/>
        <v>107023</v>
      </c>
      <c r="V780" s="44">
        <f t="shared" si="178"/>
        <v>112342</v>
      </c>
      <c r="W780" s="44">
        <f t="shared" si="178"/>
        <v>115501</v>
      </c>
      <c r="X780" s="44">
        <f t="shared" si="178"/>
        <v>114343</v>
      </c>
      <c r="Y780" s="44">
        <f t="shared" si="178"/>
        <v>113186</v>
      </c>
      <c r="Z780" s="44">
        <f t="shared" si="178"/>
        <v>112145</v>
      </c>
      <c r="AA780" s="44">
        <f t="shared" si="178"/>
        <v>111145</v>
      </c>
      <c r="AB780" s="44">
        <f t="shared" si="178"/>
        <v>110144</v>
      </c>
      <c r="AC780" s="44">
        <f t="shared" si="178"/>
        <v>109146</v>
      </c>
      <c r="AD780" s="44">
        <f t="shared" si="178"/>
        <v>108161</v>
      </c>
      <c r="AE780" s="44">
        <f t="shared" si="178"/>
        <v>107176</v>
      </c>
      <c r="AF780" s="44">
        <f t="shared" si="178"/>
        <v>106193</v>
      </c>
    </row>
    <row r="781" spans="1:32" ht="15" thickBot="1" x14ac:dyDescent="0.35">
      <c r="A781" s="40" t="s">
        <v>250</v>
      </c>
      <c r="B781" s="40" t="s">
        <v>174</v>
      </c>
      <c r="C781" s="40" t="s">
        <v>251</v>
      </c>
      <c r="D781" s="41" t="s">
        <v>176</v>
      </c>
      <c r="E781" s="41" t="s">
        <v>177</v>
      </c>
      <c r="F781" s="40" t="s">
        <v>141</v>
      </c>
      <c r="G781" s="40" t="s">
        <v>130</v>
      </c>
      <c r="H781" s="45"/>
      <c r="I781" s="45">
        <f>I775-I779</f>
        <v>0</v>
      </c>
      <c r="J781" s="45">
        <f t="shared" ref="J781:AF781" si="179">I781+J775-J779</f>
        <v>0</v>
      </c>
      <c r="K781" s="45">
        <f t="shared" si="179"/>
        <v>0</v>
      </c>
      <c r="L781" s="45">
        <f t="shared" si="179"/>
        <v>0</v>
      </c>
      <c r="M781" s="45">
        <f t="shared" si="179"/>
        <v>0</v>
      </c>
      <c r="N781" s="45">
        <f t="shared" si="179"/>
        <v>0</v>
      </c>
      <c r="O781" s="45">
        <f t="shared" si="179"/>
        <v>0</v>
      </c>
      <c r="P781" s="45">
        <f t="shared" si="179"/>
        <v>0</v>
      </c>
      <c r="Q781" s="45">
        <f t="shared" si="179"/>
        <v>0</v>
      </c>
      <c r="R781" s="45">
        <f t="shared" si="179"/>
        <v>0</v>
      </c>
      <c r="S781" s="45">
        <f t="shared" si="179"/>
        <v>0</v>
      </c>
      <c r="T781" s="45">
        <f t="shared" si="179"/>
        <v>0</v>
      </c>
      <c r="U781" s="45">
        <f t="shared" si="179"/>
        <v>0</v>
      </c>
      <c r="V781" s="45">
        <f t="shared" si="179"/>
        <v>0</v>
      </c>
      <c r="W781" s="45">
        <f t="shared" si="179"/>
        <v>0</v>
      </c>
      <c r="X781" s="45">
        <f t="shared" si="179"/>
        <v>0</v>
      </c>
      <c r="Y781" s="45">
        <f t="shared" si="179"/>
        <v>0</v>
      </c>
      <c r="Z781" s="45">
        <f t="shared" si="179"/>
        <v>0</v>
      </c>
      <c r="AA781" s="45">
        <f t="shared" si="179"/>
        <v>0</v>
      </c>
      <c r="AB781" s="45">
        <f t="shared" si="179"/>
        <v>0</v>
      </c>
      <c r="AC781" s="45">
        <f t="shared" si="179"/>
        <v>0</v>
      </c>
      <c r="AD781" s="45">
        <f t="shared" si="179"/>
        <v>0</v>
      </c>
      <c r="AE781" s="45">
        <f t="shared" si="179"/>
        <v>0</v>
      </c>
      <c r="AF781" s="45">
        <f t="shared" si="179"/>
        <v>0</v>
      </c>
    </row>
    <row r="782" spans="1:32" x14ac:dyDescent="0.3">
      <c r="A782" s="38" t="s">
        <v>252</v>
      </c>
      <c r="B782" s="38" t="s">
        <v>174</v>
      </c>
      <c r="C782" s="38" t="s">
        <v>179</v>
      </c>
      <c r="D782" s="39" t="s">
        <v>198</v>
      </c>
      <c r="E782" s="39" t="s">
        <v>177</v>
      </c>
      <c r="F782" s="38" t="s">
        <v>129</v>
      </c>
      <c r="G782" s="38" t="s">
        <v>130</v>
      </c>
      <c r="H782" s="44">
        <v>7134.11</v>
      </c>
      <c r="I782" s="44">
        <v>7134.11</v>
      </c>
      <c r="J782" s="44"/>
      <c r="K782" s="44"/>
      <c r="L782" s="44"/>
      <c r="M782" s="44"/>
      <c r="N782" s="44"/>
      <c r="O782" s="44"/>
      <c r="P782" s="44"/>
      <c r="Q782" s="44"/>
      <c r="R782" s="44"/>
      <c r="S782" s="44"/>
      <c r="T782" s="44"/>
      <c r="U782" s="44"/>
      <c r="V782" s="44"/>
      <c r="W782" s="44"/>
      <c r="X782" s="44"/>
      <c r="Y782" s="44"/>
      <c r="Z782" s="44"/>
      <c r="AA782" s="44"/>
      <c r="AB782" s="44"/>
      <c r="AC782" s="44"/>
      <c r="AD782" s="44"/>
      <c r="AE782" s="44"/>
      <c r="AF782" s="44"/>
    </row>
    <row r="783" spans="1:32" x14ac:dyDescent="0.3">
      <c r="A783" s="38" t="s">
        <v>252</v>
      </c>
      <c r="B783" s="38" t="s">
        <v>174</v>
      </c>
      <c r="C783" s="38" t="s">
        <v>179</v>
      </c>
      <c r="D783" s="39" t="s">
        <v>198</v>
      </c>
      <c r="E783" s="39" t="s">
        <v>177</v>
      </c>
      <c r="F783" s="38" t="s">
        <v>131</v>
      </c>
      <c r="G783" s="38" t="s">
        <v>130</v>
      </c>
      <c r="H783" s="44">
        <v>51899.16</v>
      </c>
      <c r="I783" s="44">
        <v>2458.38</v>
      </c>
      <c r="J783" s="44">
        <v>2326.36</v>
      </c>
      <c r="K783" s="44">
        <v>2024.06</v>
      </c>
      <c r="L783" s="44">
        <v>1944.37</v>
      </c>
      <c r="M783" s="44">
        <v>2410.17</v>
      </c>
      <c r="N783" s="44">
        <v>2683.83</v>
      </c>
      <c r="O783" s="44">
        <v>2483.23</v>
      </c>
      <c r="P783" s="44">
        <v>2483.23</v>
      </c>
      <c r="Q783" s="44">
        <v>2289.17</v>
      </c>
      <c r="R783" s="44">
        <v>1946.13</v>
      </c>
      <c r="S783" s="44">
        <v>1945.13</v>
      </c>
      <c r="T783" s="44">
        <v>1962.54</v>
      </c>
      <c r="U783" s="44">
        <v>3032.45</v>
      </c>
      <c r="V783" s="44">
        <v>2204.25</v>
      </c>
      <c r="W783" s="44">
        <v>2204.25</v>
      </c>
      <c r="X783" s="44">
        <v>2204.25</v>
      </c>
      <c r="Y783" s="44">
        <v>2202.91</v>
      </c>
      <c r="Z783" s="44">
        <v>2052.0100000000002</v>
      </c>
      <c r="AA783" s="44">
        <v>1991.66</v>
      </c>
      <c r="AB783" s="44">
        <v>1992.32</v>
      </c>
      <c r="AC783" s="44">
        <v>1990.73</v>
      </c>
      <c r="AD783" s="44">
        <v>1751.43</v>
      </c>
      <c r="AE783" s="44">
        <v>1658.32</v>
      </c>
      <c r="AF783" s="44">
        <v>1657.98</v>
      </c>
    </row>
    <row r="784" spans="1:32" x14ac:dyDescent="0.3">
      <c r="A784" s="38" t="s">
        <v>252</v>
      </c>
      <c r="B784" s="38" t="s">
        <v>174</v>
      </c>
      <c r="C784" s="38" t="s">
        <v>179</v>
      </c>
      <c r="D784" s="39" t="s">
        <v>198</v>
      </c>
      <c r="E784" s="39" t="s">
        <v>177</v>
      </c>
      <c r="F784" s="38" t="s">
        <v>132</v>
      </c>
      <c r="G784" s="38" t="s">
        <v>130</v>
      </c>
      <c r="H784" s="44">
        <v>59130</v>
      </c>
      <c r="I784" s="44">
        <v>59130</v>
      </c>
      <c r="J784" s="44"/>
      <c r="K784" s="44"/>
      <c r="L784" s="44"/>
      <c r="M784" s="44"/>
      <c r="N784" s="44"/>
      <c r="O784" s="44"/>
      <c r="P784" s="44"/>
      <c r="Q784" s="44"/>
      <c r="R784" s="44"/>
      <c r="S784" s="44"/>
      <c r="T784" s="44"/>
      <c r="U784" s="44"/>
      <c r="V784" s="44"/>
      <c r="W784" s="44"/>
      <c r="X784" s="44"/>
      <c r="Y784" s="44"/>
      <c r="Z784" s="44"/>
      <c r="AA784" s="44"/>
      <c r="AB784" s="44"/>
      <c r="AC784" s="44"/>
      <c r="AD784" s="44"/>
      <c r="AE784" s="44"/>
      <c r="AF784" s="44"/>
    </row>
    <row r="785" spans="1:32" x14ac:dyDescent="0.3">
      <c r="A785" s="38" t="s">
        <v>252</v>
      </c>
      <c r="B785" s="38" t="s">
        <v>174</v>
      </c>
      <c r="C785" s="38" t="s">
        <v>179</v>
      </c>
      <c r="D785" s="39" t="s">
        <v>198</v>
      </c>
      <c r="E785" s="39" t="s">
        <v>177</v>
      </c>
      <c r="F785" s="38" t="s">
        <v>133</v>
      </c>
      <c r="G785" s="38" t="s">
        <v>130</v>
      </c>
      <c r="H785" s="44">
        <v>0</v>
      </c>
      <c r="I785" s="44">
        <v>0</v>
      </c>
      <c r="J785" s="44"/>
      <c r="K785" s="44"/>
      <c r="L785" s="44"/>
      <c r="M785" s="44"/>
      <c r="N785" s="44"/>
      <c r="O785" s="44"/>
      <c r="P785" s="44"/>
      <c r="Q785" s="44"/>
      <c r="R785" s="44"/>
      <c r="S785" s="44"/>
      <c r="T785" s="44"/>
      <c r="U785" s="44"/>
      <c r="V785" s="44"/>
      <c r="W785" s="44"/>
      <c r="X785" s="44"/>
      <c r="Y785" s="44"/>
      <c r="Z785" s="44"/>
      <c r="AA785" s="44"/>
      <c r="AB785" s="44"/>
      <c r="AC785" s="44"/>
      <c r="AD785" s="44"/>
      <c r="AE785" s="44"/>
      <c r="AF785" s="44"/>
    </row>
    <row r="786" spans="1:32" x14ac:dyDescent="0.3">
      <c r="A786" s="38" t="s">
        <v>252</v>
      </c>
      <c r="B786" s="38" t="s">
        <v>174</v>
      </c>
      <c r="C786" s="38" t="s">
        <v>179</v>
      </c>
      <c r="D786" s="39" t="s">
        <v>198</v>
      </c>
      <c r="E786" s="39" t="s">
        <v>177</v>
      </c>
      <c r="F786" s="38" t="s">
        <v>134</v>
      </c>
      <c r="G786" s="38" t="s">
        <v>130</v>
      </c>
      <c r="H786" s="44">
        <v>20439</v>
      </c>
      <c r="I786" s="44">
        <v>20439</v>
      </c>
      <c r="J786" s="44"/>
      <c r="K786" s="44"/>
      <c r="L786" s="44"/>
      <c r="M786" s="44"/>
      <c r="N786" s="44"/>
      <c r="O786" s="44"/>
      <c r="P786" s="44"/>
      <c r="Q786" s="44"/>
      <c r="R786" s="44"/>
      <c r="S786" s="44"/>
      <c r="T786" s="44"/>
      <c r="U786" s="44"/>
      <c r="V786" s="44"/>
      <c r="W786" s="44"/>
      <c r="X786" s="44"/>
      <c r="Y786" s="44"/>
      <c r="Z786" s="44"/>
      <c r="AA786" s="44"/>
      <c r="AB786" s="44"/>
      <c r="AC786" s="44"/>
      <c r="AD786" s="44"/>
      <c r="AE786" s="44"/>
      <c r="AF786" s="44"/>
    </row>
    <row r="787" spans="1:32" x14ac:dyDescent="0.3">
      <c r="A787" s="38" t="s">
        <v>252</v>
      </c>
      <c r="B787" s="38" t="s">
        <v>174</v>
      </c>
      <c r="C787" s="38" t="s">
        <v>179</v>
      </c>
      <c r="D787" s="39" t="s">
        <v>198</v>
      </c>
      <c r="E787" s="39" t="s">
        <v>177</v>
      </c>
      <c r="F787" s="38" t="s">
        <v>135</v>
      </c>
      <c r="G787" s="38" t="s">
        <v>130</v>
      </c>
      <c r="H787" s="44"/>
      <c r="I787" s="44"/>
      <c r="J787" s="44"/>
      <c r="K787" s="44"/>
      <c r="L787" s="44"/>
      <c r="M787" s="44"/>
      <c r="N787" s="44"/>
      <c r="O787" s="44"/>
      <c r="P787" s="44"/>
      <c r="Q787" s="44"/>
      <c r="R787" s="44"/>
      <c r="S787" s="44"/>
      <c r="T787" s="44"/>
      <c r="U787" s="44"/>
      <c r="V787" s="44"/>
      <c r="W787" s="44"/>
      <c r="X787" s="44"/>
      <c r="Y787" s="44"/>
      <c r="Z787" s="44"/>
      <c r="AA787" s="44"/>
      <c r="AB787" s="44"/>
      <c r="AC787" s="44"/>
      <c r="AD787" s="44"/>
      <c r="AE787" s="44"/>
      <c r="AF787" s="44"/>
    </row>
    <row r="788" spans="1:32" x14ac:dyDescent="0.3">
      <c r="A788" s="38" t="s">
        <v>252</v>
      </c>
      <c r="B788" s="38" t="s">
        <v>174</v>
      </c>
      <c r="C788" s="38" t="s">
        <v>179</v>
      </c>
      <c r="D788" s="39" t="s">
        <v>198</v>
      </c>
      <c r="E788" s="39" t="s">
        <v>177</v>
      </c>
      <c r="F788" s="38" t="s">
        <v>136</v>
      </c>
      <c r="G788" s="38" t="s">
        <v>130</v>
      </c>
      <c r="H788" s="44">
        <f>SUM(I788:AF788)</f>
        <v>220000</v>
      </c>
      <c r="I788" s="44">
        <f t="shared" ref="I788:AF788" si="180">IF(AND(ISBLANK(I791) = TRUE,ISBLANK(I790) = TRUE),I789,I790+I791)</f>
        <v>0</v>
      </c>
      <c r="J788" s="44">
        <f t="shared" si="180"/>
        <v>0</v>
      </c>
      <c r="K788" s="44">
        <f t="shared" si="180"/>
        <v>10000</v>
      </c>
      <c r="L788" s="44">
        <f t="shared" si="180"/>
        <v>20000</v>
      </c>
      <c r="M788" s="44">
        <f t="shared" si="180"/>
        <v>0</v>
      </c>
      <c r="N788" s="44">
        <f t="shared" si="180"/>
        <v>20000</v>
      </c>
      <c r="O788" s="44">
        <f t="shared" si="180"/>
        <v>0</v>
      </c>
      <c r="P788" s="44">
        <f t="shared" si="180"/>
        <v>10000</v>
      </c>
      <c r="Q788" s="44">
        <f t="shared" si="180"/>
        <v>20000</v>
      </c>
      <c r="R788" s="44">
        <f t="shared" si="180"/>
        <v>20000</v>
      </c>
      <c r="S788" s="44">
        <f t="shared" si="180"/>
        <v>0</v>
      </c>
      <c r="T788" s="44">
        <f t="shared" si="180"/>
        <v>10000</v>
      </c>
      <c r="U788" s="44">
        <f t="shared" si="180"/>
        <v>30000</v>
      </c>
      <c r="V788" s="44">
        <f t="shared" si="180"/>
        <v>20000</v>
      </c>
      <c r="W788" s="44">
        <f t="shared" si="180"/>
        <v>0</v>
      </c>
      <c r="X788" s="44">
        <f t="shared" si="180"/>
        <v>60000</v>
      </c>
      <c r="Y788" s="44">
        <f t="shared" si="180"/>
        <v>0</v>
      </c>
      <c r="Z788" s="44">
        <f t="shared" si="180"/>
        <v>0</v>
      </c>
      <c r="AA788" s="44">
        <f t="shared" si="180"/>
        <v>0</v>
      </c>
      <c r="AB788" s="44">
        <f t="shared" si="180"/>
        <v>0</v>
      </c>
      <c r="AC788" s="44">
        <f t="shared" si="180"/>
        <v>0</v>
      </c>
      <c r="AD788" s="44">
        <f t="shared" si="180"/>
        <v>0</v>
      </c>
      <c r="AE788" s="44">
        <f t="shared" si="180"/>
        <v>0</v>
      </c>
      <c r="AF788" s="44">
        <f t="shared" si="180"/>
        <v>0</v>
      </c>
    </row>
    <row r="789" spans="1:32" x14ac:dyDescent="0.3">
      <c r="A789" s="38" t="s">
        <v>252</v>
      </c>
      <c r="B789" s="38" t="s">
        <v>174</v>
      </c>
      <c r="C789" s="38" t="s">
        <v>179</v>
      </c>
      <c r="D789" s="39" t="s">
        <v>198</v>
      </c>
      <c r="E789" s="39" t="s">
        <v>177</v>
      </c>
      <c r="F789" s="38" t="s">
        <v>124</v>
      </c>
      <c r="G789" s="38" t="s">
        <v>130</v>
      </c>
      <c r="H789" s="44">
        <v>220000</v>
      </c>
      <c r="I789" s="44"/>
      <c r="J789" s="44"/>
      <c r="K789" s="44">
        <v>10000</v>
      </c>
      <c r="L789" s="44">
        <v>20000</v>
      </c>
      <c r="M789" s="44"/>
      <c r="N789" s="44">
        <v>20000</v>
      </c>
      <c r="O789" s="44"/>
      <c r="P789" s="44">
        <v>10000</v>
      </c>
      <c r="Q789" s="44">
        <v>20000</v>
      </c>
      <c r="R789" s="44">
        <v>20000</v>
      </c>
      <c r="S789" s="44"/>
      <c r="T789" s="44">
        <v>10000</v>
      </c>
      <c r="U789" s="44">
        <v>30000</v>
      </c>
      <c r="V789" s="44">
        <v>20000</v>
      </c>
      <c r="W789" s="44"/>
      <c r="X789" s="44">
        <v>60000</v>
      </c>
      <c r="Y789" s="44"/>
      <c r="Z789" s="44"/>
      <c r="AA789" s="44"/>
      <c r="AB789" s="44"/>
      <c r="AC789" s="44"/>
      <c r="AD789" s="44"/>
      <c r="AE789" s="44"/>
      <c r="AF789" s="44"/>
    </row>
    <row r="790" spans="1:32" x14ac:dyDescent="0.3">
      <c r="A790" s="38" t="s">
        <v>252</v>
      </c>
      <c r="B790" s="38" t="s">
        <v>174</v>
      </c>
      <c r="C790" s="38" t="s">
        <v>179</v>
      </c>
      <c r="D790" s="39" t="s">
        <v>198</v>
      </c>
      <c r="E790" s="39" t="s">
        <v>177</v>
      </c>
      <c r="F790" s="38" t="s">
        <v>137</v>
      </c>
      <c r="G790" s="38" t="s">
        <v>130</v>
      </c>
      <c r="H790" s="44">
        <f>SUM(I790:AF790)</f>
        <v>0</v>
      </c>
      <c r="I790" s="44"/>
      <c r="J790" s="44"/>
      <c r="K790" s="44"/>
      <c r="L790" s="44"/>
      <c r="M790" s="44"/>
      <c r="N790" s="44"/>
      <c r="O790" s="44"/>
      <c r="P790" s="44"/>
      <c r="Q790" s="44"/>
      <c r="R790" s="44"/>
      <c r="S790" s="44"/>
      <c r="T790" s="44"/>
      <c r="U790" s="44"/>
      <c r="V790" s="44"/>
      <c r="W790" s="44"/>
      <c r="X790" s="44"/>
      <c r="Y790" s="44"/>
      <c r="Z790" s="44"/>
      <c r="AA790" s="44"/>
      <c r="AB790" s="44"/>
      <c r="AC790" s="44"/>
      <c r="AD790" s="44"/>
      <c r="AE790" s="44"/>
      <c r="AF790" s="44"/>
    </row>
    <row r="791" spans="1:32" x14ac:dyDescent="0.3">
      <c r="A791" s="38" t="s">
        <v>252</v>
      </c>
      <c r="B791" s="38" t="s">
        <v>174</v>
      </c>
      <c r="C791" s="38" t="s">
        <v>179</v>
      </c>
      <c r="D791" s="39" t="s">
        <v>198</v>
      </c>
      <c r="E791" s="39" t="s">
        <v>177</v>
      </c>
      <c r="F791" s="38" t="s">
        <v>138</v>
      </c>
      <c r="G791" s="38" t="s">
        <v>130</v>
      </c>
      <c r="H791" s="44">
        <f>SUM(I791:AF791)</f>
        <v>0</v>
      </c>
      <c r="I791" s="44"/>
      <c r="J791" s="44"/>
      <c r="K791" s="44"/>
      <c r="L791" s="44"/>
      <c r="M791" s="44"/>
      <c r="N791" s="44"/>
      <c r="O791" s="44"/>
      <c r="P791" s="44"/>
      <c r="Q791" s="44"/>
      <c r="R791" s="44"/>
      <c r="S791" s="44"/>
      <c r="T791" s="44"/>
      <c r="U791" s="44"/>
      <c r="V791" s="44"/>
      <c r="W791" s="44"/>
      <c r="X791" s="44"/>
      <c r="Y791" s="44"/>
      <c r="Z791" s="44"/>
      <c r="AA791" s="44"/>
      <c r="AB791" s="44"/>
      <c r="AC791" s="44"/>
      <c r="AD791" s="44"/>
      <c r="AE791" s="44"/>
      <c r="AF791" s="44"/>
    </row>
    <row r="792" spans="1:32" x14ac:dyDescent="0.3">
      <c r="A792" s="38" t="s">
        <v>252</v>
      </c>
      <c r="B792" s="38" t="s">
        <v>174</v>
      </c>
      <c r="C792" s="38" t="s">
        <v>179</v>
      </c>
      <c r="D792" s="39" t="s">
        <v>198</v>
      </c>
      <c r="E792" s="39" t="s">
        <v>177</v>
      </c>
      <c r="F792" s="38" t="s">
        <v>139</v>
      </c>
      <c r="G792" s="38" t="s">
        <v>130</v>
      </c>
      <c r="H792" s="44">
        <v>220000</v>
      </c>
      <c r="I792" s="44"/>
      <c r="J792" s="44"/>
      <c r="K792" s="44">
        <v>10000</v>
      </c>
      <c r="L792" s="44">
        <v>20000</v>
      </c>
      <c r="M792" s="44"/>
      <c r="N792" s="44">
        <v>20000</v>
      </c>
      <c r="O792" s="44"/>
      <c r="P792" s="44">
        <v>10000</v>
      </c>
      <c r="Q792" s="44">
        <v>20000</v>
      </c>
      <c r="R792" s="44">
        <v>20000</v>
      </c>
      <c r="S792" s="44"/>
      <c r="T792" s="44">
        <v>10000</v>
      </c>
      <c r="U792" s="44">
        <v>30000</v>
      </c>
      <c r="V792" s="44">
        <v>20000</v>
      </c>
      <c r="W792" s="44"/>
      <c r="X792" s="44">
        <v>60000</v>
      </c>
      <c r="Y792" s="44"/>
      <c r="Z792" s="44"/>
      <c r="AA792" s="44"/>
      <c r="AB792" s="44"/>
      <c r="AC792" s="44"/>
      <c r="AD792" s="44"/>
      <c r="AE792" s="44"/>
      <c r="AF792" s="44"/>
    </row>
    <row r="793" spans="1:32" x14ac:dyDescent="0.3">
      <c r="A793" s="38" t="s">
        <v>252</v>
      </c>
      <c r="B793" s="38" t="s">
        <v>174</v>
      </c>
      <c r="C793" s="38" t="s">
        <v>179</v>
      </c>
      <c r="D793" s="39" t="s">
        <v>198</v>
      </c>
      <c r="E793" s="39" t="s">
        <v>177</v>
      </c>
      <c r="F793" s="38" t="s">
        <v>140</v>
      </c>
      <c r="G793" s="38" t="s">
        <v>130</v>
      </c>
      <c r="H793" s="44"/>
      <c r="I793" s="44">
        <f>I788-(I783+I782)+(I787+I786+I785+I784)</f>
        <v>69976.509999999995</v>
      </c>
      <c r="J793" s="44">
        <f t="shared" ref="J793:AF793" si="181">I793+J788-J783</f>
        <v>67650.149999999994</v>
      </c>
      <c r="K793" s="44">
        <f t="shared" si="181"/>
        <v>75626.09</v>
      </c>
      <c r="L793" s="44">
        <f t="shared" si="181"/>
        <v>93681.72</v>
      </c>
      <c r="M793" s="44">
        <f t="shared" si="181"/>
        <v>91271.55</v>
      </c>
      <c r="N793" s="44">
        <f t="shared" si="181"/>
        <v>108587.72</v>
      </c>
      <c r="O793" s="44">
        <f t="shared" si="181"/>
        <v>106104.49</v>
      </c>
      <c r="P793" s="44">
        <f t="shared" si="181"/>
        <v>113621.26000000001</v>
      </c>
      <c r="Q793" s="44">
        <f t="shared" si="181"/>
        <v>131332.09</v>
      </c>
      <c r="R793" s="44">
        <f t="shared" si="181"/>
        <v>149385.96</v>
      </c>
      <c r="S793" s="44">
        <f t="shared" si="181"/>
        <v>147440.82999999999</v>
      </c>
      <c r="T793" s="44">
        <f t="shared" si="181"/>
        <v>155478.28999999998</v>
      </c>
      <c r="U793" s="44">
        <f t="shared" si="181"/>
        <v>182445.83999999997</v>
      </c>
      <c r="V793" s="44">
        <f t="shared" si="181"/>
        <v>200241.58999999997</v>
      </c>
      <c r="W793" s="44">
        <f t="shared" si="181"/>
        <v>198037.33999999997</v>
      </c>
      <c r="X793" s="44">
        <f t="shared" si="181"/>
        <v>255833.08999999997</v>
      </c>
      <c r="Y793" s="44">
        <f t="shared" si="181"/>
        <v>253630.17999999996</v>
      </c>
      <c r="Z793" s="44">
        <f t="shared" si="181"/>
        <v>251578.16999999995</v>
      </c>
      <c r="AA793" s="44">
        <f t="shared" si="181"/>
        <v>249586.50999999995</v>
      </c>
      <c r="AB793" s="44">
        <f t="shared" si="181"/>
        <v>247594.18999999994</v>
      </c>
      <c r="AC793" s="44">
        <f t="shared" si="181"/>
        <v>245603.45999999993</v>
      </c>
      <c r="AD793" s="44">
        <f t="shared" si="181"/>
        <v>243852.02999999994</v>
      </c>
      <c r="AE793" s="44">
        <f t="shared" si="181"/>
        <v>242193.70999999993</v>
      </c>
      <c r="AF793" s="44">
        <f t="shared" si="181"/>
        <v>240535.72999999992</v>
      </c>
    </row>
    <row r="794" spans="1:32" ht="15" thickBot="1" x14ac:dyDescent="0.35">
      <c r="A794" s="40" t="s">
        <v>252</v>
      </c>
      <c r="B794" s="40" t="s">
        <v>174</v>
      </c>
      <c r="C794" s="40" t="s">
        <v>179</v>
      </c>
      <c r="D794" s="41" t="s">
        <v>198</v>
      </c>
      <c r="E794" s="41" t="s">
        <v>177</v>
      </c>
      <c r="F794" s="40" t="s">
        <v>141</v>
      </c>
      <c r="G794" s="40" t="s">
        <v>130</v>
      </c>
      <c r="H794" s="45"/>
      <c r="I794" s="45">
        <f>I788-I792</f>
        <v>0</v>
      </c>
      <c r="J794" s="45">
        <f t="shared" ref="J794:AF794" si="182">I794+J788-J792</f>
        <v>0</v>
      </c>
      <c r="K794" s="45">
        <f t="shared" si="182"/>
        <v>0</v>
      </c>
      <c r="L794" s="45">
        <f t="shared" si="182"/>
        <v>0</v>
      </c>
      <c r="M794" s="45">
        <f t="shared" si="182"/>
        <v>0</v>
      </c>
      <c r="N794" s="45">
        <f t="shared" si="182"/>
        <v>0</v>
      </c>
      <c r="O794" s="45">
        <f t="shared" si="182"/>
        <v>0</v>
      </c>
      <c r="P794" s="45">
        <f t="shared" si="182"/>
        <v>0</v>
      </c>
      <c r="Q794" s="45">
        <f t="shared" si="182"/>
        <v>0</v>
      </c>
      <c r="R794" s="45">
        <f t="shared" si="182"/>
        <v>0</v>
      </c>
      <c r="S794" s="45">
        <f t="shared" si="182"/>
        <v>0</v>
      </c>
      <c r="T794" s="45">
        <f t="shared" si="182"/>
        <v>0</v>
      </c>
      <c r="U794" s="45">
        <f t="shared" si="182"/>
        <v>0</v>
      </c>
      <c r="V794" s="45">
        <f t="shared" si="182"/>
        <v>0</v>
      </c>
      <c r="W794" s="45">
        <f t="shared" si="182"/>
        <v>0</v>
      </c>
      <c r="X794" s="45">
        <f t="shared" si="182"/>
        <v>0</v>
      </c>
      <c r="Y794" s="45">
        <f t="shared" si="182"/>
        <v>0</v>
      </c>
      <c r="Z794" s="45">
        <f t="shared" si="182"/>
        <v>0</v>
      </c>
      <c r="AA794" s="45">
        <f t="shared" si="182"/>
        <v>0</v>
      </c>
      <c r="AB794" s="45">
        <f t="shared" si="182"/>
        <v>0</v>
      </c>
      <c r="AC794" s="45">
        <f t="shared" si="182"/>
        <v>0</v>
      </c>
      <c r="AD794" s="45">
        <f t="shared" si="182"/>
        <v>0</v>
      </c>
      <c r="AE794" s="45">
        <f t="shared" si="182"/>
        <v>0</v>
      </c>
      <c r="AF794" s="45">
        <f t="shared" si="182"/>
        <v>0</v>
      </c>
    </row>
    <row r="795" spans="1:32" x14ac:dyDescent="0.3">
      <c r="A795" s="38" t="s">
        <v>253</v>
      </c>
      <c r="B795" s="38" t="s">
        <v>174</v>
      </c>
      <c r="C795" s="38" t="s">
        <v>179</v>
      </c>
      <c r="D795" s="39" t="s">
        <v>183</v>
      </c>
      <c r="E795" s="39" t="s">
        <v>177</v>
      </c>
      <c r="F795" s="38" t="s">
        <v>129</v>
      </c>
      <c r="G795" s="38" t="s">
        <v>130</v>
      </c>
      <c r="H795" s="44">
        <v>18255.07</v>
      </c>
      <c r="I795" s="44">
        <v>18255.07</v>
      </c>
      <c r="J795" s="44"/>
      <c r="K795" s="44"/>
      <c r="L795" s="44"/>
      <c r="M795" s="44"/>
      <c r="N795" s="44"/>
      <c r="O795" s="44"/>
      <c r="P795" s="44"/>
      <c r="Q795" s="44"/>
      <c r="R795" s="44"/>
      <c r="S795" s="44"/>
      <c r="T795" s="44"/>
      <c r="U795" s="44"/>
      <c r="V795" s="44"/>
      <c r="W795" s="44"/>
      <c r="X795" s="44"/>
      <c r="Y795" s="44"/>
      <c r="Z795" s="44"/>
      <c r="AA795" s="44"/>
      <c r="AB795" s="44"/>
      <c r="AC795" s="44"/>
      <c r="AD795" s="44"/>
      <c r="AE795" s="44"/>
      <c r="AF795" s="44"/>
    </row>
    <row r="796" spans="1:32" x14ac:dyDescent="0.3">
      <c r="A796" s="38" t="s">
        <v>253</v>
      </c>
      <c r="B796" s="38" t="s">
        <v>174</v>
      </c>
      <c r="C796" s="38" t="s">
        <v>179</v>
      </c>
      <c r="D796" s="39" t="s">
        <v>183</v>
      </c>
      <c r="E796" s="39" t="s">
        <v>177</v>
      </c>
      <c r="F796" s="38" t="s">
        <v>131</v>
      </c>
      <c r="G796" s="38" t="s">
        <v>130</v>
      </c>
      <c r="H796" s="44">
        <v>218002.92</v>
      </c>
      <c r="I796" s="44">
        <v>8289.06</v>
      </c>
      <c r="J796" s="44">
        <v>9032.32</v>
      </c>
      <c r="K796" s="44">
        <v>8664.4699999999993</v>
      </c>
      <c r="L796" s="44">
        <v>8490.44</v>
      </c>
      <c r="M796" s="44">
        <v>10223.790000000001</v>
      </c>
      <c r="N796" s="44">
        <v>10988.71</v>
      </c>
      <c r="O796" s="44">
        <v>11248.01</v>
      </c>
      <c r="P796" s="44">
        <v>11384.01</v>
      </c>
      <c r="Q796" s="44">
        <v>11454.54</v>
      </c>
      <c r="R796" s="44">
        <v>10996.81</v>
      </c>
      <c r="S796" s="44">
        <v>10966.81</v>
      </c>
      <c r="T796" s="44">
        <v>10847.23</v>
      </c>
      <c r="U796" s="44">
        <v>10757.4</v>
      </c>
      <c r="V796" s="44">
        <v>9682.75</v>
      </c>
      <c r="W796" s="44">
        <v>9406.75</v>
      </c>
      <c r="X796" s="44">
        <v>9392.75</v>
      </c>
      <c r="Y796" s="44">
        <v>9398.42</v>
      </c>
      <c r="Z796" s="44">
        <v>7468.12</v>
      </c>
      <c r="AA796" s="44">
        <v>6707.17</v>
      </c>
      <c r="AB796" s="44">
        <v>6709.84</v>
      </c>
      <c r="AC796" s="44">
        <v>6706.26</v>
      </c>
      <c r="AD796" s="44">
        <v>6459.91</v>
      </c>
      <c r="AE796" s="44">
        <v>6361.34</v>
      </c>
      <c r="AF796" s="44">
        <v>6366.01</v>
      </c>
    </row>
    <row r="797" spans="1:32" x14ac:dyDescent="0.3">
      <c r="A797" s="38" t="s">
        <v>253</v>
      </c>
      <c r="B797" s="38" t="s">
        <v>174</v>
      </c>
      <c r="C797" s="38" t="s">
        <v>179</v>
      </c>
      <c r="D797" s="39" t="s">
        <v>183</v>
      </c>
      <c r="E797" s="39" t="s">
        <v>177</v>
      </c>
      <c r="F797" s="38" t="s">
        <v>132</v>
      </c>
      <c r="G797" s="38" t="s">
        <v>130</v>
      </c>
      <c r="H797" s="44">
        <v>22032</v>
      </c>
      <c r="I797" s="44">
        <v>22032</v>
      </c>
      <c r="J797" s="44"/>
      <c r="K797" s="44"/>
      <c r="L797" s="44"/>
      <c r="M797" s="44"/>
      <c r="N797" s="44"/>
      <c r="O797" s="44"/>
      <c r="P797" s="44"/>
      <c r="Q797" s="44"/>
      <c r="R797" s="44"/>
      <c r="S797" s="44"/>
      <c r="T797" s="44"/>
      <c r="U797" s="44"/>
      <c r="V797" s="44"/>
      <c r="W797" s="44"/>
      <c r="X797" s="44"/>
      <c r="Y797" s="44"/>
      <c r="Z797" s="44"/>
      <c r="AA797" s="44"/>
      <c r="AB797" s="44"/>
      <c r="AC797" s="44"/>
      <c r="AD797" s="44"/>
      <c r="AE797" s="44"/>
      <c r="AF797" s="44"/>
    </row>
    <row r="798" spans="1:32" x14ac:dyDescent="0.3">
      <c r="A798" s="38" t="s">
        <v>253</v>
      </c>
      <c r="B798" s="38" t="s">
        <v>174</v>
      </c>
      <c r="C798" s="38" t="s">
        <v>179</v>
      </c>
      <c r="D798" s="39" t="s">
        <v>183</v>
      </c>
      <c r="E798" s="39" t="s">
        <v>177</v>
      </c>
      <c r="F798" s="38" t="s">
        <v>133</v>
      </c>
      <c r="G798" s="38" t="s">
        <v>130</v>
      </c>
      <c r="H798" s="44">
        <v>0</v>
      </c>
      <c r="I798" s="44">
        <v>0</v>
      </c>
      <c r="J798" s="44"/>
      <c r="K798" s="44"/>
      <c r="L798" s="44"/>
      <c r="M798" s="44"/>
      <c r="N798" s="44"/>
      <c r="O798" s="44"/>
      <c r="P798" s="44"/>
      <c r="Q798" s="44"/>
      <c r="R798" s="44"/>
      <c r="S798" s="44"/>
      <c r="T798" s="44"/>
      <c r="U798" s="44"/>
      <c r="V798" s="44"/>
      <c r="W798" s="44"/>
      <c r="X798" s="44"/>
      <c r="Y798" s="44"/>
      <c r="Z798" s="44"/>
      <c r="AA798" s="44"/>
      <c r="AB798" s="44"/>
      <c r="AC798" s="44"/>
      <c r="AD798" s="44"/>
      <c r="AE798" s="44"/>
      <c r="AF798" s="44"/>
    </row>
    <row r="799" spans="1:32" x14ac:dyDescent="0.3">
      <c r="A799" s="38" t="s">
        <v>253</v>
      </c>
      <c r="B799" s="38" t="s">
        <v>174</v>
      </c>
      <c r="C799" s="38" t="s">
        <v>179</v>
      </c>
      <c r="D799" s="39" t="s">
        <v>183</v>
      </c>
      <c r="E799" s="39" t="s">
        <v>177</v>
      </c>
      <c r="F799" s="38" t="s">
        <v>134</v>
      </c>
      <c r="G799" s="38" t="s">
        <v>130</v>
      </c>
      <c r="H799" s="44">
        <v>16375</v>
      </c>
      <c r="I799" s="44">
        <v>16375</v>
      </c>
      <c r="J799" s="44"/>
      <c r="K799" s="44"/>
      <c r="L799" s="44"/>
      <c r="M799" s="44"/>
      <c r="N799" s="44"/>
      <c r="O799" s="44"/>
      <c r="P799" s="44"/>
      <c r="Q799" s="44"/>
      <c r="R799" s="44"/>
      <c r="S799" s="44"/>
      <c r="T799" s="44"/>
      <c r="U799" s="44"/>
      <c r="V799" s="44"/>
      <c r="W799" s="44"/>
      <c r="X799" s="44"/>
      <c r="Y799" s="44"/>
      <c r="Z799" s="44"/>
      <c r="AA799" s="44"/>
      <c r="AB799" s="44"/>
      <c r="AC799" s="44"/>
      <c r="AD799" s="44"/>
      <c r="AE799" s="44"/>
      <c r="AF799" s="44"/>
    </row>
    <row r="800" spans="1:32" x14ac:dyDescent="0.3">
      <c r="A800" s="38" t="s">
        <v>253</v>
      </c>
      <c r="B800" s="38" t="s">
        <v>174</v>
      </c>
      <c r="C800" s="38" t="s">
        <v>179</v>
      </c>
      <c r="D800" s="39" t="s">
        <v>183</v>
      </c>
      <c r="E800" s="39" t="s">
        <v>177</v>
      </c>
      <c r="F800" s="38" t="s">
        <v>135</v>
      </c>
      <c r="G800" s="38" t="s">
        <v>130</v>
      </c>
      <c r="H800" s="44">
        <v>23616</v>
      </c>
      <c r="I800" s="44">
        <v>23616</v>
      </c>
      <c r="J800" s="44"/>
      <c r="K800" s="44"/>
      <c r="L800" s="44"/>
      <c r="M800" s="44"/>
      <c r="N800" s="44"/>
      <c r="O800" s="44"/>
      <c r="P800" s="44"/>
      <c r="Q800" s="44"/>
      <c r="R800" s="44"/>
      <c r="S800" s="44"/>
      <c r="T800" s="44"/>
      <c r="U800" s="44"/>
      <c r="V800" s="44"/>
      <c r="W800" s="44"/>
      <c r="X800" s="44"/>
      <c r="Y800" s="44"/>
      <c r="Z800" s="44"/>
      <c r="AA800" s="44"/>
      <c r="AB800" s="44"/>
      <c r="AC800" s="44"/>
      <c r="AD800" s="44"/>
      <c r="AE800" s="44"/>
      <c r="AF800" s="44"/>
    </row>
    <row r="801" spans="1:32" x14ac:dyDescent="0.3">
      <c r="A801" s="38" t="s">
        <v>253</v>
      </c>
      <c r="B801" s="38" t="s">
        <v>174</v>
      </c>
      <c r="C801" s="38" t="s">
        <v>179</v>
      </c>
      <c r="D801" s="39" t="s">
        <v>183</v>
      </c>
      <c r="E801" s="39" t="s">
        <v>177</v>
      </c>
      <c r="F801" s="38" t="s">
        <v>136</v>
      </c>
      <c r="G801" s="38" t="s">
        <v>130</v>
      </c>
      <c r="H801" s="44">
        <f>SUM(I801:AF801)</f>
        <v>175104</v>
      </c>
      <c r="I801" s="44">
        <f t="shared" ref="I801:AF801" si="183">IF(AND(ISBLANK(I804) = TRUE,ISBLANK(I803) = TRUE),I802,I803+I804)</f>
        <v>17280</v>
      </c>
      <c r="J801" s="44">
        <f t="shared" si="183"/>
        <v>11520</v>
      </c>
      <c r="K801" s="44">
        <f t="shared" si="183"/>
        <v>0</v>
      </c>
      <c r="L801" s="44">
        <f t="shared" si="183"/>
        <v>27072</v>
      </c>
      <c r="M801" s="44">
        <f t="shared" si="183"/>
        <v>23040</v>
      </c>
      <c r="N801" s="44">
        <f t="shared" si="183"/>
        <v>0</v>
      </c>
      <c r="O801" s="44">
        <f t="shared" si="183"/>
        <v>11520</v>
      </c>
      <c r="P801" s="44">
        <f t="shared" si="183"/>
        <v>11520</v>
      </c>
      <c r="Q801" s="44">
        <f t="shared" si="183"/>
        <v>11520</v>
      </c>
      <c r="R801" s="44">
        <f t="shared" si="183"/>
        <v>15552</v>
      </c>
      <c r="S801" s="44">
        <f t="shared" si="183"/>
        <v>11520</v>
      </c>
      <c r="T801" s="44">
        <f t="shared" si="183"/>
        <v>11520</v>
      </c>
      <c r="U801" s="44">
        <f t="shared" si="183"/>
        <v>11520</v>
      </c>
      <c r="V801" s="44">
        <f t="shared" si="183"/>
        <v>11520</v>
      </c>
      <c r="W801" s="44">
        <f t="shared" si="183"/>
        <v>0</v>
      </c>
      <c r="X801" s="44">
        <f t="shared" si="183"/>
        <v>0</v>
      </c>
      <c r="Y801" s="44">
        <f t="shared" si="183"/>
        <v>0</v>
      </c>
      <c r="Z801" s="44">
        <f t="shared" si="183"/>
        <v>0</v>
      </c>
      <c r="AA801" s="44">
        <f t="shared" si="183"/>
        <v>0</v>
      </c>
      <c r="AB801" s="44">
        <f t="shared" si="183"/>
        <v>0</v>
      </c>
      <c r="AC801" s="44">
        <f t="shared" si="183"/>
        <v>0</v>
      </c>
      <c r="AD801" s="44">
        <f t="shared" si="183"/>
        <v>0</v>
      </c>
      <c r="AE801" s="44">
        <f t="shared" si="183"/>
        <v>0</v>
      </c>
      <c r="AF801" s="44">
        <f t="shared" si="183"/>
        <v>0</v>
      </c>
    </row>
    <row r="802" spans="1:32" x14ac:dyDescent="0.3">
      <c r="A802" s="38" t="s">
        <v>253</v>
      </c>
      <c r="B802" s="38" t="s">
        <v>174</v>
      </c>
      <c r="C802" s="38" t="s">
        <v>179</v>
      </c>
      <c r="D802" s="39" t="s">
        <v>183</v>
      </c>
      <c r="E802" s="39" t="s">
        <v>177</v>
      </c>
      <c r="F802" s="38" t="s">
        <v>124</v>
      </c>
      <c r="G802" s="38" t="s">
        <v>130</v>
      </c>
      <c r="H802" s="44">
        <v>175104</v>
      </c>
      <c r="I802" s="44">
        <v>17280</v>
      </c>
      <c r="J802" s="44">
        <v>11520</v>
      </c>
      <c r="K802" s="44"/>
      <c r="L802" s="44">
        <v>27072</v>
      </c>
      <c r="M802" s="44">
        <v>23040</v>
      </c>
      <c r="N802" s="44"/>
      <c r="O802" s="44">
        <v>11520</v>
      </c>
      <c r="P802" s="44">
        <v>11520</v>
      </c>
      <c r="Q802" s="44">
        <v>11520</v>
      </c>
      <c r="R802" s="44">
        <v>15552</v>
      </c>
      <c r="S802" s="44">
        <v>11520</v>
      </c>
      <c r="T802" s="44">
        <v>11520</v>
      </c>
      <c r="U802" s="44">
        <v>11520</v>
      </c>
      <c r="V802" s="44">
        <v>11520</v>
      </c>
      <c r="W802" s="44"/>
      <c r="X802" s="44"/>
      <c r="Y802" s="44"/>
      <c r="Z802" s="44"/>
      <c r="AA802" s="44"/>
      <c r="AB802" s="44"/>
      <c r="AC802" s="44"/>
      <c r="AD802" s="44"/>
      <c r="AE802" s="44"/>
      <c r="AF802" s="44"/>
    </row>
    <row r="803" spans="1:32" x14ac:dyDescent="0.3">
      <c r="A803" s="38" t="s">
        <v>253</v>
      </c>
      <c r="B803" s="38" t="s">
        <v>174</v>
      </c>
      <c r="C803" s="38" t="s">
        <v>179</v>
      </c>
      <c r="D803" s="39" t="s">
        <v>183</v>
      </c>
      <c r="E803" s="39" t="s">
        <v>177</v>
      </c>
      <c r="F803" s="38" t="s">
        <v>137</v>
      </c>
      <c r="G803" s="38" t="s">
        <v>130</v>
      </c>
      <c r="H803" s="44">
        <f>SUM(I803:AF803)</f>
        <v>0</v>
      </c>
      <c r="I803" s="44"/>
      <c r="J803" s="44"/>
      <c r="K803" s="44"/>
      <c r="L803" s="44"/>
      <c r="M803" s="44"/>
      <c r="N803" s="44"/>
      <c r="O803" s="44"/>
      <c r="P803" s="44"/>
      <c r="Q803" s="44"/>
      <c r="R803" s="44"/>
      <c r="S803" s="44"/>
      <c r="T803" s="44"/>
      <c r="U803" s="44"/>
      <c r="V803" s="44"/>
      <c r="W803" s="44"/>
      <c r="X803" s="44"/>
      <c r="Y803" s="44"/>
      <c r="Z803" s="44"/>
      <c r="AA803" s="44"/>
      <c r="AB803" s="44"/>
      <c r="AC803" s="44"/>
      <c r="AD803" s="44"/>
      <c r="AE803" s="44"/>
      <c r="AF803" s="44"/>
    </row>
    <row r="804" spans="1:32" x14ac:dyDescent="0.3">
      <c r="A804" s="38" t="s">
        <v>253</v>
      </c>
      <c r="B804" s="38" t="s">
        <v>174</v>
      </c>
      <c r="C804" s="38" t="s">
        <v>179</v>
      </c>
      <c r="D804" s="39" t="s">
        <v>183</v>
      </c>
      <c r="E804" s="39" t="s">
        <v>177</v>
      </c>
      <c r="F804" s="38" t="s">
        <v>138</v>
      </c>
      <c r="G804" s="38" t="s">
        <v>130</v>
      </c>
      <c r="H804" s="44">
        <f>SUM(I804:AF804)</f>
        <v>0</v>
      </c>
      <c r="I804" s="44"/>
      <c r="J804" s="44"/>
      <c r="K804" s="44"/>
      <c r="L804" s="44"/>
      <c r="M804" s="44"/>
      <c r="N804" s="44"/>
      <c r="O804" s="44"/>
      <c r="P804" s="44"/>
      <c r="Q804" s="44"/>
      <c r="R804" s="44"/>
      <c r="S804" s="44"/>
      <c r="T804" s="44"/>
      <c r="U804" s="44"/>
      <c r="V804" s="44"/>
      <c r="W804" s="44"/>
      <c r="X804" s="44"/>
      <c r="Y804" s="44"/>
      <c r="Z804" s="44"/>
      <c r="AA804" s="44"/>
      <c r="AB804" s="44"/>
      <c r="AC804" s="44"/>
      <c r="AD804" s="44"/>
      <c r="AE804" s="44"/>
      <c r="AF804" s="44"/>
    </row>
    <row r="805" spans="1:32" x14ac:dyDescent="0.3">
      <c r="A805" s="38" t="s">
        <v>253</v>
      </c>
      <c r="B805" s="38" t="s">
        <v>174</v>
      </c>
      <c r="C805" s="38" t="s">
        <v>179</v>
      </c>
      <c r="D805" s="39" t="s">
        <v>183</v>
      </c>
      <c r="E805" s="39" t="s">
        <v>177</v>
      </c>
      <c r="F805" s="38" t="s">
        <v>139</v>
      </c>
      <c r="G805" s="38" t="s">
        <v>130</v>
      </c>
      <c r="H805" s="44">
        <v>175104</v>
      </c>
      <c r="I805" s="44">
        <v>17280</v>
      </c>
      <c r="J805" s="44">
        <v>11520</v>
      </c>
      <c r="K805" s="44"/>
      <c r="L805" s="44">
        <v>27072</v>
      </c>
      <c r="M805" s="44">
        <v>23040</v>
      </c>
      <c r="N805" s="44"/>
      <c r="O805" s="44">
        <v>11520</v>
      </c>
      <c r="P805" s="44">
        <v>11520</v>
      </c>
      <c r="Q805" s="44">
        <v>11520</v>
      </c>
      <c r="R805" s="44">
        <v>15552</v>
      </c>
      <c r="S805" s="44">
        <v>11520</v>
      </c>
      <c r="T805" s="44">
        <v>11520</v>
      </c>
      <c r="U805" s="44">
        <v>11520</v>
      </c>
      <c r="V805" s="44">
        <v>11520</v>
      </c>
      <c r="W805" s="44"/>
      <c r="X805" s="44"/>
      <c r="Y805" s="44"/>
      <c r="Z805" s="44"/>
      <c r="AA805" s="44"/>
      <c r="AB805" s="44"/>
      <c r="AC805" s="44"/>
      <c r="AD805" s="44"/>
      <c r="AE805" s="44"/>
      <c r="AF805" s="44"/>
    </row>
    <row r="806" spans="1:32" x14ac:dyDescent="0.3">
      <c r="A806" s="38" t="s">
        <v>253</v>
      </c>
      <c r="B806" s="38" t="s">
        <v>174</v>
      </c>
      <c r="C806" s="38" t="s">
        <v>179</v>
      </c>
      <c r="D806" s="39" t="s">
        <v>183</v>
      </c>
      <c r="E806" s="39" t="s">
        <v>177</v>
      </c>
      <c r="F806" s="38" t="s">
        <v>140</v>
      </c>
      <c r="G806" s="38" t="s">
        <v>130</v>
      </c>
      <c r="H806" s="44"/>
      <c r="I806" s="44">
        <f>I801-(I796+I795)+(I800+I799+I798+I797)</f>
        <v>52758.87</v>
      </c>
      <c r="J806" s="44">
        <f t="shared" ref="J806:AF806" si="184">I806+J801-J796</f>
        <v>55246.55</v>
      </c>
      <c r="K806" s="44">
        <f t="shared" si="184"/>
        <v>46582.080000000002</v>
      </c>
      <c r="L806" s="44">
        <f t="shared" si="184"/>
        <v>65163.64</v>
      </c>
      <c r="M806" s="44">
        <f t="shared" si="184"/>
        <v>77979.850000000006</v>
      </c>
      <c r="N806" s="44">
        <f t="shared" si="184"/>
        <v>66991.140000000014</v>
      </c>
      <c r="O806" s="44">
        <f t="shared" si="184"/>
        <v>67263.130000000019</v>
      </c>
      <c r="P806" s="44">
        <f t="shared" si="184"/>
        <v>67399.120000000024</v>
      </c>
      <c r="Q806" s="44">
        <f t="shared" si="184"/>
        <v>67464.580000000016</v>
      </c>
      <c r="R806" s="44">
        <f t="shared" si="184"/>
        <v>72019.770000000019</v>
      </c>
      <c r="S806" s="44">
        <f t="shared" si="184"/>
        <v>72572.960000000021</v>
      </c>
      <c r="T806" s="44">
        <f t="shared" si="184"/>
        <v>73245.730000000025</v>
      </c>
      <c r="U806" s="44">
        <f t="shared" si="184"/>
        <v>74008.330000000031</v>
      </c>
      <c r="V806" s="44">
        <f t="shared" si="184"/>
        <v>75845.580000000031</v>
      </c>
      <c r="W806" s="44">
        <f t="shared" si="184"/>
        <v>66438.830000000031</v>
      </c>
      <c r="X806" s="44">
        <f t="shared" si="184"/>
        <v>57046.080000000031</v>
      </c>
      <c r="Y806" s="44">
        <f t="shared" si="184"/>
        <v>47647.660000000033</v>
      </c>
      <c r="Z806" s="44">
        <f t="shared" si="184"/>
        <v>40179.54000000003</v>
      </c>
      <c r="AA806" s="44">
        <f t="shared" si="184"/>
        <v>33472.370000000032</v>
      </c>
      <c r="AB806" s="44">
        <f t="shared" si="184"/>
        <v>26762.530000000032</v>
      </c>
      <c r="AC806" s="44">
        <f t="shared" si="184"/>
        <v>20056.270000000033</v>
      </c>
      <c r="AD806" s="44">
        <f t="shared" si="184"/>
        <v>13596.360000000033</v>
      </c>
      <c r="AE806" s="44">
        <f t="shared" si="184"/>
        <v>7235.0200000000332</v>
      </c>
      <c r="AF806" s="44">
        <f t="shared" si="184"/>
        <v>869.01000000003296</v>
      </c>
    </row>
    <row r="807" spans="1:32" ht="15" thickBot="1" x14ac:dyDescent="0.35">
      <c r="A807" s="40" t="s">
        <v>253</v>
      </c>
      <c r="B807" s="40" t="s">
        <v>174</v>
      </c>
      <c r="C807" s="40" t="s">
        <v>179</v>
      </c>
      <c r="D807" s="41" t="s">
        <v>183</v>
      </c>
      <c r="E807" s="41" t="s">
        <v>177</v>
      </c>
      <c r="F807" s="40" t="s">
        <v>141</v>
      </c>
      <c r="G807" s="40" t="s">
        <v>130</v>
      </c>
      <c r="H807" s="45"/>
      <c r="I807" s="45">
        <f>I801-I805</f>
        <v>0</v>
      </c>
      <c r="J807" s="45">
        <f t="shared" ref="J807:AF807" si="185">I807+J801-J805</f>
        <v>0</v>
      </c>
      <c r="K807" s="45">
        <f t="shared" si="185"/>
        <v>0</v>
      </c>
      <c r="L807" s="45">
        <f t="shared" si="185"/>
        <v>0</v>
      </c>
      <c r="M807" s="45">
        <f t="shared" si="185"/>
        <v>0</v>
      </c>
      <c r="N807" s="45">
        <f t="shared" si="185"/>
        <v>0</v>
      </c>
      <c r="O807" s="45">
        <f t="shared" si="185"/>
        <v>0</v>
      </c>
      <c r="P807" s="45">
        <f t="shared" si="185"/>
        <v>0</v>
      </c>
      <c r="Q807" s="45">
        <f t="shared" si="185"/>
        <v>0</v>
      </c>
      <c r="R807" s="45">
        <f t="shared" si="185"/>
        <v>0</v>
      </c>
      <c r="S807" s="45">
        <f t="shared" si="185"/>
        <v>0</v>
      </c>
      <c r="T807" s="45">
        <f t="shared" si="185"/>
        <v>0</v>
      </c>
      <c r="U807" s="45">
        <f t="shared" si="185"/>
        <v>0</v>
      </c>
      <c r="V807" s="45">
        <f t="shared" si="185"/>
        <v>0</v>
      </c>
      <c r="W807" s="45">
        <f t="shared" si="185"/>
        <v>0</v>
      </c>
      <c r="X807" s="45">
        <f t="shared" si="185"/>
        <v>0</v>
      </c>
      <c r="Y807" s="45">
        <f t="shared" si="185"/>
        <v>0</v>
      </c>
      <c r="Z807" s="45">
        <f t="shared" si="185"/>
        <v>0</v>
      </c>
      <c r="AA807" s="45">
        <f t="shared" si="185"/>
        <v>0</v>
      </c>
      <c r="AB807" s="45">
        <f t="shared" si="185"/>
        <v>0</v>
      </c>
      <c r="AC807" s="45">
        <f t="shared" si="185"/>
        <v>0</v>
      </c>
      <c r="AD807" s="45">
        <f t="shared" si="185"/>
        <v>0</v>
      </c>
      <c r="AE807" s="45">
        <f t="shared" si="185"/>
        <v>0</v>
      </c>
      <c r="AF807" s="45">
        <f t="shared" si="185"/>
        <v>0</v>
      </c>
    </row>
    <row r="808" spans="1:32" x14ac:dyDescent="0.3">
      <c r="A808" s="38" t="s">
        <v>254</v>
      </c>
      <c r="B808" s="38" t="s">
        <v>174</v>
      </c>
      <c r="C808" s="38" t="s">
        <v>179</v>
      </c>
      <c r="D808" s="39" t="s">
        <v>180</v>
      </c>
      <c r="E808" s="39" t="s">
        <v>177</v>
      </c>
      <c r="F808" s="38" t="s">
        <v>129</v>
      </c>
      <c r="G808" s="38" t="s">
        <v>130</v>
      </c>
      <c r="H808" s="44">
        <v>5058.38</v>
      </c>
      <c r="I808" s="44">
        <v>5058.38</v>
      </c>
      <c r="J808" s="44"/>
      <c r="K808" s="44"/>
      <c r="L808" s="44"/>
      <c r="M808" s="44"/>
      <c r="N808" s="44"/>
      <c r="O808" s="44"/>
      <c r="P808" s="44"/>
      <c r="Q808" s="44"/>
      <c r="R808" s="44"/>
      <c r="S808" s="44"/>
      <c r="T808" s="44"/>
      <c r="U808" s="44"/>
      <c r="V808" s="44"/>
      <c r="W808" s="44"/>
      <c r="X808" s="44"/>
      <c r="Y808" s="44"/>
      <c r="Z808" s="44"/>
      <c r="AA808" s="44"/>
      <c r="AB808" s="44"/>
      <c r="AC808" s="44"/>
      <c r="AD808" s="44"/>
      <c r="AE808" s="44"/>
      <c r="AF808" s="44"/>
    </row>
    <row r="809" spans="1:32" x14ac:dyDescent="0.3">
      <c r="A809" s="38" t="s">
        <v>254</v>
      </c>
      <c r="B809" s="38" t="s">
        <v>174</v>
      </c>
      <c r="C809" s="38" t="s">
        <v>179</v>
      </c>
      <c r="D809" s="39" t="s">
        <v>180</v>
      </c>
      <c r="E809" s="39" t="s">
        <v>177</v>
      </c>
      <c r="F809" s="38" t="s">
        <v>131</v>
      </c>
      <c r="G809" s="38" t="s">
        <v>130</v>
      </c>
      <c r="H809" s="44">
        <v>29577.33</v>
      </c>
      <c r="I809" s="44">
        <v>2344.35</v>
      </c>
      <c r="J809" s="44">
        <v>2002.15</v>
      </c>
      <c r="K809" s="44">
        <v>1709.62</v>
      </c>
      <c r="L809" s="44">
        <v>1706.69</v>
      </c>
      <c r="M809" s="44">
        <v>1497.29</v>
      </c>
      <c r="N809" s="44">
        <v>1306.75</v>
      </c>
      <c r="O809" s="44">
        <v>1248.0899999999999</v>
      </c>
      <c r="P809" s="44">
        <v>1308.0899999999999</v>
      </c>
      <c r="Q809" s="44">
        <v>1594.94</v>
      </c>
      <c r="R809" s="44">
        <v>1259.67</v>
      </c>
      <c r="S809" s="44">
        <v>1018.67</v>
      </c>
      <c r="T809" s="44">
        <v>1036.0899999999999</v>
      </c>
      <c r="U809" s="44">
        <v>2039.98</v>
      </c>
      <c r="V809" s="44">
        <v>963.32</v>
      </c>
      <c r="W809" s="44">
        <v>964.32</v>
      </c>
      <c r="X809" s="44">
        <v>964.32</v>
      </c>
      <c r="Y809" s="44">
        <v>963.99</v>
      </c>
      <c r="Z809" s="44">
        <v>842.35</v>
      </c>
      <c r="AA809" s="44">
        <v>836.34</v>
      </c>
      <c r="AB809" s="44">
        <v>835.34</v>
      </c>
      <c r="AC809" s="44">
        <v>824.76</v>
      </c>
      <c r="AD809" s="44">
        <v>780.14</v>
      </c>
      <c r="AE809" s="44">
        <v>765.2</v>
      </c>
      <c r="AF809" s="44">
        <v>764.87</v>
      </c>
    </row>
    <row r="810" spans="1:32" x14ac:dyDescent="0.3">
      <c r="A810" s="38" t="s">
        <v>254</v>
      </c>
      <c r="B810" s="38" t="s">
        <v>174</v>
      </c>
      <c r="C810" s="38" t="s">
        <v>179</v>
      </c>
      <c r="D810" s="39" t="s">
        <v>180</v>
      </c>
      <c r="E810" s="39" t="s">
        <v>177</v>
      </c>
      <c r="F810" s="38" t="s">
        <v>132</v>
      </c>
      <c r="G810" s="38" t="s">
        <v>130</v>
      </c>
      <c r="H810" s="44">
        <v>0</v>
      </c>
      <c r="I810" s="44">
        <v>0</v>
      </c>
      <c r="J810" s="44"/>
      <c r="K810" s="44"/>
      <c r="L810" s="44"/>
      <c r="M810" s="44"/>
      <c r="N810" s="44"/>
      <c r="O810" s="44"/>
      <c r="P810" s="44"/>
      <c r="Q810" s="44"/>
      <c r="R810" s="44"/>
      <c r="S810" s="44"/>
      <c r="T810" s="44"/>
      <c r="U810" s="44"/>
      <c r="V810" s="44"/>
      <c r="W810" s="44"/>
      <c r="X810" s="44"/>
      <c r="Y810" s="44"/>
      <c r="Z810" s="44"/>
      <c r="AA810" s="44"/>
      <c r="AB810" s="44"/>
      <c r="AC810" s="44"/>
      <c r="AD810" s="44"/>
      <c r="AE810" s="44"/>
      <c r="AF810" s="44"/>
    </row>
    <row r="811" spans="1:32" x14ac:dyDescent="0.3">
      <c r="A811" s="38" t="s">
        <v>254</v>
      </c>
      <c r="B811" s="38" t="s">
        <v>174</v>
      </c>
      <c r="C811" s="38" t="s">
        <v>179</v>
      </c>
      <c r="D811" s="39" t="s">
        <v>180</v>
      </c>
      <c r="E811" s="39" t="s">
        <v>177</v>
      </c>
      <c r="F811" s="38" t="s">
        <v>133</v>
      </c>
      <c r="G811" s="38" t="s">
        <v>130</v>
      </c>
      <c r="H811" s="44">
        <v>0</v>
      </c>
      <c r="I811" s="44">
        <v>0</v>
      </c>
      <c r="J811" s="44"/>
      <c r="K811" s="44"/>
      <c r="L811" s="44"/>
      <c r="M811" s="44"/>
      <c r="N811" s="44"/>
      <c r="O811" s="44"/>
      <c r="P811" s="44"/>
      <c r="Q811" s="44"/>
      <c r="R811" s="44"/>
      <c r="S811" s="44"/>
      <c r="T811" s="44"/>
      <c r="U811" s="44"/>
      <c r="V811" s="44"/>
      <c r="W811" s="44"/>
      <c r="X811" s="44"/>
      <c r="Y811" s="44"/>
      <c r="Z811" s="44"/>
      <c r="AA811" s="44"/>
      <c r="AB811" s="44"/>
      <c r="AC811" s="44"/>
      <c r="AD811" s="44"/>
      <c r="AE811" s="44"/>
      <c r="AF811" s="44"/>
    </row>
    <row r="812" spans="1:32" x14ac:dyDescent="0.3">
      <c r="A812" s="38" t="s">
        <v>254</v>
      </c>
      <c r="B812" s="38" t="s">
        <v>174</v>
      </c>
      <c r="C812" s="38" t="s">
        <v>179</v>
      </c>
      <c r="D812" s="39" t="s">
        <v>180</v>
      </c>
      <c r="E812" s="39" t="s">
        <v>177</v>
      </c>
      <c r="F812" s="38" t="s">
        <v>134</v>
      </c>
      <c r="G812" s="38" t="s">
        <v>130</v>
      </c>
      <c r="H812" s="44">
        <v>0</v>
      </c>
      <c r="I812" s="44">
        <v>0</v>
      </c>
      <c r="J812" s="44"/>
      <c r="K812" s="44"/>
      <c r="L812" s="44"/>
      <c r="M812" s="44"/>
      <c r="N812" s="44"/>
      <c r="O812" s="44"/>
      <c r="P812" s="44"/>
      <c r="Q812" s="44"/>
      <c r="R812" s="44"/>
      <c r="S812" s="44"/>
      <c r="T812" s="44"/>
      <c r="U812" s="44"/>
      <c r="V812" s="44"/>
      <c r="W812" s="44"/>
      <c r="X812" s="44"/>
      <c r="Y812" s="44"/>
      <c r="Z812" s="44"/>
      <c r="AA812" s="44"/>
      <c r="AB812" s="44"/>
      <c r="AC812" s="44"/>
      <c r="AD812" s="44"/>
      <c r="AE812" s="44"/>
      <c r="AF812" s="44"/>
    </row>
    <row r="813" spans="1:32" x14ac:dyDescent="0.3">
      <c r="A813" s="38" t="s">
        <v>254</v>
      </c>
      <c r="B813" s="38" t="s">
        <v>174</v>
      </c>
      <c r="C813" s="38" t="s">
        <v>179</v>
      </c>
      <c r="D813" s="39" t="s">
        <v>180</v>
      </c>
      <c r="E813" s="39" t="s">
        <v>177</v>
      </c>
      <c r="F813" s="38" t="s">
        <v>135</v>
      </c>
      <c r="G813" s="38" t="s">
        <v>130</v>
      </c>
      <c r="H813" s="44"/>
      <c r="I813" s="44"/>
      <c r="J813" s="44"/>
      <c r="K813" s="44"/>
      <c r="L813" s="44"/>
      <c r="M813" s="44"/>
      <c r="N813" s="44"/>
      <c r="O813" s="44"/>
      <c r="P813" s="44"/>
      <c r="Q813" s="44"/>
      <c r="R813" s="44"/>
      <c r="S813" s="44"/>
      <c r="T813" s="44"/>
      <c r="U813" s="44"/>
      <c r="V813" s="44"/>
      <c r="W813" s="44"/>
      <c r="X813" s="44"/>
      <c r="Y813" s="44"/>
      <c r="Z813" s="44"/>
      <c r="AA813" s="44"/>
      <c r="AB813" s="44"/>
      <c r="AC813" s="44"/>
      <c r="AD813" s="44"/>
      <c r="AE813" s="44"/>
      <c r="AF813" s="44"/>
    </row>
    <row r="814" spans="1:32" x14ac:dyDescent="0.3">
      <c r="A814" s="38" t="s">
        <v>254</v>
      </c>
      <c r="B814" s="38" t="s">
        <v>174</v>
      </c>
      <c r="C814" s="38" t="s">
        <v>179</v>
      </c>
      <c r="D814" s="39" t="s">
        <v>180</v>
      </c>
      <c r="E814" s="39" t="s">
        <v>177</v>
      </c>
      <c r="F814" s="38" t="s">
        <v>136</v>
      </c>
      <c r="G814" s="38" t="s">
        <v>130</v>
      </c>
      <c r="H814" s="44">
        <f>SUM(I814:AF814)</f>
        <v>0</v>
      </c>
      <c r="I814" s="44">
        <f t="shared" ref="I814:AF814" si="186">IF(AND(ISBLANK(I817) = TRUE,ISBLANK(I816) = TRUE),I815,I816+I817)</f>
        <v>0</v>
      </c>
      <c r="J814" s="44">
        <f t="shared" si="186"/>
        <v>0</v>
      </c>
      <c r="K814" s="44">
        <f t="shared" si="186"/>
        <v>0</v>
      </c>
      <c r="L814" s="44">
        <f t="shared" si="186"/>
        <v>0</v>
      </c>
      <c r="M814" s="44">
        <f t="shared" si="186"/>
        <v>0</v>
      </c>
      <c r="N814" s="44">
        <f t="shared" si="186"/>
        <v>0</v>
      </c>
      <c r="O814" s="44">
        <f t="shared" si="186"/>
        <v>0</v>
      </c>
      <c r="P814" s="44">
        <f t="shared" si="186"/>
        <v>0</v>
      </c>
      <c r="Q814" s="44">
        <f t="shared" si="186"/>
        <v>0</v>
      </c>
      <c r="R814" s="44">
        <f t="shared" si="186"/>
        <v>0</v>
      </c>
      <c r="S814" s="44">
        <f t="shared" si="186"/>
        <v>0</v>
      </c>
      <c r="T814" s="44">
        <f t="shared" si="186"/>
        <v>0</v>
      </c>
      <c r="U814" s="44">
        <f t="shared" si="186"/>
        <v>0</v>
      </c>
      <c r="V814" s="44">
        <f t="shared" si="186"/>
        <v>0</v>
      </c>
      <c r="W814" s="44">
        <f t="shared" si="186"/>
        <v>0</v>
      </c>
      <c r="X814" s="44">
        <f t="shared" si="186"/>
        <v>0</v>
      </c>
      <c r="Y814" s="44">
        <f t="shared" si="186"/>
        <v>0</v>
      </c>
      <c r="Z814" s="44">
        <f t="shared" si="186"/>
        <v>0</v>
      </c>
      <c r="AA814" s="44">
        <f t="shared" si="186"/>
        <v>0</v>
      </c>
      <c r="AB814" s="44">
        <f t="shared" si="186"/>
        <v>0</v>
      </c>
      <c r="AC814" s="44">
        <f t="shared" si="186"/>
        <v>0</v>
      </c>
      <c r="AD814" s="44">
        <f t="shared" si="186"/>
        <v>0</v>
      </c>
      <c r="AE814" s="44">
        <f t="shared" si="186"/>
        <v>0</v>
      </c>
      <c r="AF814" s="44">
        <f t="shared" si="186"/>
        <v>0</v>
      </c>
    </row>
    <row r="815" spans="1:32" x14ac:dyDescent="0.3">
      <c r="A815" s="38" t="s">
        <v>254</v>
      </c>
      <c r="B815" s="38" t="s">
        <v>174</v>
      </c>
      <c r="C815" s="38" t="s">
        <v>179</v>
      </c>
      <c r="D815" s="39" t="s">
        <v>180</v>
      </c>
      <c r="E815" s="39" t="s">
        <v>177</v>
      </c>
      <c r="F815" s="38" t="s">
        <v>124</v>
      </c>
      <c r="G815" s="38" t="s">
        <v>130</v>
      </c>
      <c r="H815" s="44"/>
      <c r="I815" s="44"/>
      <c r="J815" s="44"/>
      <c r="K815" s="44"/>
      <c r="L815" s="44"/>
      <c r="M815" s="44"/>
      <c r="N815" s="44"/>
      <c r="O815" s="44"/>
      <c r="P815" s="44"/>
      <c r="Q815" s="44"/>
      <c r="R815" s="44"/>
      <c r="S815" s="44"/>
      <c r="T815" s="44"/>
      <c r="U815" s="44"/>
      <c r="V815" s="44"/>
      <c r="W815" s="44"/>
      <c r="X815" s="44"/>
      <c r="Y815" s="44"/>
      <c r="Z815" s="44"/>
      <c r="AA815" s="44"/>
      <c r="AB815" s="44"/>
      <c r="AC815" s="44"/>
      <c r="AD815" s="44"/>
      <c r="AE815" s="44"/>
      <c r="AF815" s="44"/>
    </row>
    <row r="816" spans="1:32" x14ac:dyDescent="0.3">
      <c r="A816" s="38" t="s">
        <v>254</v>
      </c>
      <c r="B816" s="38" t="s">
        <v>174</v>
      </c>
      <c r="C816" s="38" t="s">
        <v>179</v>
      </c>
      <c r="D816" s="39" t="s">
        <v>180</v>
      </c>
      <c r="E816" s="39" t="s">
        <v>177</v>
      </c>
      <c r="F816" s="38" t="s">
        <v>137</v>
      </c>
      <c r="G816" s="38" t="s">
        <v>130</v>
      </c>
      <c r="H816" s="44">
        <f>SUM(I816:AF816)</f>
        <v>0</v>
      </c>
      <c r="I816" s="44"/>
      <c r="J816" s="44"/>
      <c r="K816" s="44"/>
      <c r="L816" s="44"/>
      <c r="M816" s="44"/>
      <c r="N816" s="44"/>
      <c r="O816" s="44"/>
      <c r="P816" s="44"/>
      <c r="Q816" s="44"/>
      <c r="R816" s="44"/>
      <c r="S816" s="44"/>
      <c r="T816" s="44"/>
      <c r="U816" s="44"/>
      <c r="V816" s="44"/>
      <c r="W816" s="44"/>
      <c r="X816" s="44"/>
      <c r="Y816" s="44"/>
      <c r="Z816" s="44"/>
      <c r="AA816" s="44"/>
      <c r="AB816" s="44"/>
      <c r="AC816" s="44"/>
      <c r="AD816" s="44"/>
      <c r="AE816" s="44"/>
      <c r="AF816" s="44"/>
    </row>
    <row r="817" spans="1:32" x14ac:dyDescent="0.3">
      <c r="A817" s="38" t="s">
        <v>254</v>
      </c>
      <c r="B817" s="38" t="s">
        <v>174</v>
      </c>
      <c r="C817" s="38" t="s">
        <v>179</v>
      </c>
      <c r="D817" s="39" t="s">
        <v>180</v>
      </c>
      <c r="E817" s="39" t="s">
        <v>177</v>
      </c>
      <c r="F817" s="38" t="s">
        <v>138</v>
      </c>
      <c r="G817" s="38" t="s">
        <v>130</v>
      </c>
      <c r="H817" s="44">
        <f>SUM(I817:AF817)</f>
        <v>0</v>
      </c>
      <c r="I817" s="44"/>
      <c r="J817" s="44"/>
      <c r="K817" s="44"/>
      <c r="L817" s="44"/>
      <c r="M817" s="44"/>
      <c r="N817" s="44"/>
      <c r="O817" s="44"/>
      <c r="P817" s="44"/>
      <c r="Q817" s="44"/>
      <c r="R817" s="44"/>
      <c r="S817" s="44"/>
      <c r="T817" s="44"/>
      <c r="U817" s="44"/>
      <c r="V817" s="44"/>
      <c r="W817" s="44"/>
      <c r="X817" s="44"/>
      <c r="Y817" s="44"/>
      <c r="Z817" s="44"/>
      <c r="AA817" s="44"/>
      <c r="AB817" s="44"/>
      <c r="AC817" s="44"/>
      <c r="AD817" s="44"/>
      <c r="AE817" s="44"/>
      <c r="AF817" s="44"/>
    </row>
    <row r="818" spans="1:32" x14ac:dyDescent="0.3">
      <c r="A818" s="38" t="s">
        <v>254</v>
      </c>
      <c r="B818" s="38" t="s">
        <v>174</v>
      </c>
      <c r="C818" s="38" t="s">
        <v>179</v>
      </c>
      <c r="D818" s="39" t="s">
        <v>180</v>
      </c>
      <c r="E818" s="39" t="s">
        <v>177</v>
      </c>
      <c r="F818" s="38" t="s">
        <v>139</v>
      </c>
      <c r="G818" s="38" t="s">
        <v>130</v>
      </c>
      <c r="H818" s="44"/>
      <c r="I818" s="44"/>
      <c r="J818" s="44"/>
      <c r="K818" s="44"/>
      <c r="L818" s="44"/>
      <c r="M818" s="44"/>
      <c r="N818" s="44"/>
      <c r="O818" s="44"/>
      <c r="P818" s="44"/>
      <c r="Q818" s="44"/>
      <c r="R818" s="44"/>
      <c r="S818" s="44"/>
      <c r="T818" s="44"/>
      <c r="U818" s="44"/>
      <c r="V818" s="44"/>
      <c r="W818" s="44"/>
      <c r="X818" s="44"/>
      <c r="Y818" s="44"/>
      <c r="Z818" s="44"/>
      <c r="AA818" s="44"/>
      <c r="AB818" s="44"/>
      <c r="AC818" s="44"/>
      <c r="AD818" s="44"/>
      <c r="AE818" s="44"/>
      <c r="AF818" s="44"/>
    </row>
    <row r="819" spans="1:32" x14ac:dyDescent="0.3">
      <c r="A819" s="38" t="s">
        <v>254</v>
      </c>
      <c r="B819" s="38" t="s">
        <v>174</v>
      </c>
      <c r="C819" s="38" t="s">
        <v>179</v>
      </c>
      <c r="D819" s="39" t="s">
        <v>180</v>
      </c>
      <c r="E819" s="39" t="s">
        <v>177</v>
      </c>
      <c r="F819" s="38" t="s">
        <v>140</v>
      </c>
      <c r="G819" s="38" t="s">
        <v>130</v>
      </c>
      <c r="H819" s="44"/>
      <c r="I819" s="44">
        <f>I814-(I809+I808)+(I813+I812+I811+I810)</f>
        <v>-7402.73</v>
      </c>
      <c r="J819" s="44">
        <f t="shared" ref="J819:AF819" si="187">I819+J814-J809</f>
        <v>-9404.8799999999992</v>
      </c>
      <c r="K819" s="44">
        <f t="shared" si="187"/>
        <v>-11114.5</v>
      </c>
      <c r="L819" s="44">
        <f t="shared" si="187"/>
        <v>-12821.19</v>
      </c>
      <c r="M819" s="44">
        <f t="shared" si="187"/>
        <v>-14318.48</v>
      </c>
      <c r="N819" s="44">
        <f t="shared" si="187"/>
        <v>-15625.23</v>
      </c>
      <c r="O819" s="44">
        <f t="shared" si="187"/>
        <v>-16873.32</v>
      </c>
      <c r="P819" s="44">
        <f t="shared" si="187"/>
        <v>-18181.41</v>
      </c>
      <c r="Q819" s="44">
        <f t="shared" si="187"/>
        <v>-19776.349999999999</v>
      </c>
      <c r="R819" s="44">
        <f t="shared" si="187"/>
        <v>-21036.019999999997</v>
      </c>
      <c r="S819" s="44">
        <f t="shared" si="187"/>
        <v>-22054.689999999995</v>
      </c>
      <c r="T819" s="44">
        <f t="shared" si="187"/>
        <v>-23090.779999999995</v>
      </c>
      <c r="U819" s="44">
        <f t="shared" si="187"/>
        <v>-25130.759999999995</v>
      </c>
      <c r="V819" s="44">
        <f t="shared" si="187"/>
        <v>-26094.079999999994</v>
      </c>
      <c r="W819" s="44">
        <f t="shared" si="187"/>
        <v>-27058.399999999994</v>
      </c>
      <c r="X819" s="44">
        <f t="shared" si="187"/>
        <v>-28022.719999999994</v>
      </c>
      <c r="Y819" s="44">
        <f t="shared" si="187"/>
        <v>-28986.709999999995</v>
      </c>
      <c r="Z819" s="44">
        <f t="shared" si="187"/>
        <v>-29829.059999999994</v>
      </c>
      <c r="AA819" s="44">
        <f t="shared" si="187"/>
        <v>-30665.399999999994</v>
      </c>
      <c r="AB819" s="44">
        <f t="shared" si="187"/>
        <v>-31500.739999999994</v>
      </c>
      <c r="AC819" s="44">
        <f t="shared" si="187"/>
        <v>-32325.499999999993</v>
      </c>
      <c r="AD819" s="44">
        <f t="shared" si="187"/>
        <v>-33105.639999999992</v>
      </c>
      <c r="AE819" s="44">
        <f t="shared" si="187"/>
        <v>-33870.839999999989</v>
      </c>
      <c r="AF819" s="44">
        <f t="shared" si="187"/>
        <v>-34635.709999999992</v>
      </c>
    </row>
    <row r="820" spans="1:32" ht="15" thickBot="1" x14ac:dyDescent="0.35">
      <c r="A820" s="40" t="s">
        <v>254</v>
      </c>
      <c r="B820" s="40" t="s">
        <v>174</v>
      </c>
      <c r="C820" s="40" t="s">
        <v>179</v>
      </c>
      <c r="D820" s="41" t="s">
        <v>180</v>
      </c>
      <c r="E820" s="41" t="s">
        <v>177</v>
      </c>
      <c r="F820" s="40" t="s">
        <v>141</v>
      </c>
      <c r="G820" s="40" t="s">
        <v>130</v>
      </c>
      <c r="H820" s="45"/>
      <c r="I820" s="45">
        <f>I814-I818</f>
        <v>0</v>
      </c>
      <c r="J820" s="45">
        <f t="shared" ref="J820:AF820" si="188">I820+J814-J818</f>
        <v>0</v>
      </c>
      <c r="K820" s="45">
        <f t="shared" si="188"/>
        <v>0</v>
      </c>
      <c r="L820" s="45">
        <f t="shared" si="188"/>
        <v>0</v>
      </c>
      <c r="M820" s="45">
        <f t="shared" si="188"/>
        <v>0</v>
      </c>
      <c r="N820" s="45">
        <f t="shared" si="188"/>
        <v>0</v>
      </c>
      <c r="O820" s="45">
        <f t="shared" si="188"/>
        <v>0</v>
      </c>
      <c r="P820" s="45">
        <f t="shared" si="188"/>
        <v>0</v>
      </c>
      <c r="Q820" s="45">
        <f t="shared" si="188"/>
        <v>0</v>
      </c>
      <c r="R820" s="45">
        <f t="shared" si="188"/>
        <v>0</v>
      </c>
      <c r="S820" s="45">
        <f t="shared" si="188"/>
        <v>0</v>
      </c>
      <c r="T820" s="45">
        <f t="shared" si="188"/>
        <v>0</v>
      </c>
      <c r="U820" s="45">
        <f t="shared" si="188"/>
        <v>0</v>
      </c>
      <c r="V820" s="45">
        <f t="shared" si="188"/>
        <v>0</v>
      </c>
      <c r="W820" s="45">
        <f t="shared" si="188"/>
        <v>0</v>
      </c>
      <c r="X820" s="45">
        <f t="shared" si="188"/>
        <v>0</v>
      </c>
      <c r="Y820" s="45">
        <f t="shared" si="188"/>
        <v>0</v>
      </c>
      <c r="Z820" s="45">
        <f t="shared" si="188"/>
        <v>0</v>
      </c>
      <c r="AA820" s="45">
        <f t="shared" si="188"/>
        <v>0</v>
      </c>
      <c r="AB820" s="45">
        <f t="shared" si="188"/>
        <v>0</v>
      </c>
      <c r="AC820" s="45">
        <f t="shared" si="188"/>
        <v>0</v>
      </c>
      <c r="AD820" s="45">
        <f t="shared" si="188"/>
        <v>0</v>
      </c>
      <c r="AE820" s="45">
        <f t="shared" si="188"/>
        <v>0</v>
      </c>
      <c r="AF820" s="45">
        <f t="shared" si="188"/>
        <v>0</v>
      </c>
    </row>
    <row r="821" spans="1:32" x14ac:dyDescent="0.3">
      <c r="A821" s="38" t="s">
        <v>255</v>
      </c>
      <c r="B821" s="38" t="s">
        <v>174</v>
      </c>
      <c r="C821" s="38" t="s">
        <v>179</v>
      </c>
      <c r="D821" s="39" t="s">
        <v>180</v>
      </c>
      <c r="E821" s="39" t="s">
        <v>177</v>
      </c>
      <c r="F821" s="38" t="s">
        <v>129</v>
      </c>
      <c r="G821" s="38" t="s">
        <v>130</v>
      </c>
      <c r="H821" s="44">
        <v>5637.44</v>
      </c>
      <c r="I821" s="44">
        <v>5637.44</v>
      </c>
      <c r="J821" s="44"/>
      <c r="K821" s="44"/>
      <c r="L821" s="44"/>
      <c r="M821" s="44"/>
      <c r="N821" s="44"/>
      <c r="O821" s="44"/>
      <c r="P821" s="44"/>
      <c r="Q821" s="44"/>
      <c r="R821" s="44"/>
      <c r="S821" s="44"/>
      <c r="T821" s="44"/>
      <c r="U821" s="44"/>
      <c r="V821" s="44"/>
      <c r="W821" s="44"/>
      <c r="X821" s="44"/>
      <c r="Y821" s="44"/>
      <c r="Z821" s="44"/>
      <c r="AA821" s="44"/>
      <c r="AB821" s="44"/>
      <c r="AC821" s="44"/>
      <c r="AD821" s="44"/>
      <c r="AE821" s="44"/>
      <c r="AF821" s="44"/>
    </row>
    <row r="822" spans="1:32" x14ac:dyDescent="0.3">
      <c r="A822" s="38" t="s">
        <v>255</v>
      </c>
      <c r="B822" s="38" t="s">
        <v>174</v>
      </c>
      <c r="C822" s="38" t="s">
        <v>179</v>
      </c>
      <c r="D822" s="39" t="s">
        <v>180</v>
      </c>
      <c r="E822" s="39" t="s">
        <v>177</v>
      </c>
      <c r="F822" s="38" t="s">
        <v>131</v>
      </c>
      <c r="G822" s="38" t="s">
        <v>130</v>
      </c>
      <c r="H822" s="44">
        <v>55456.59</v>
      </c>
      <c r="I822" s="44">
        <v>2058.21</v>
      </c>
      <c r="J822" s="44">
        <v>1984.17</v>
      </c>
      <c r="K822" s="44">
        <v>1695.85</v>
      </c>
      <c r="L822" s="44">
        <v>1958.5</v>
      </c>
      <c r="M822" s="44">
        <v>2463.75</v>
      </c>
      <c r="N822" s="44">
        <v>2729.71</v>
      </c>
      <c r="O822" s="44">
        <v>2534.67</v>
      </c>
      <c r="P822" s="44">
        <v>2536.67</v>
      </c>
      <c r="Q822" s="44">
        <v>2503.35</v>
      </c>
      <c r="R822" s="44">
        <v>2280.39</v>
      </c>
      <c r="S822" s="44">
        <v>2279.39</v>
      </c>
      <c r="T822" s="44">
        <v>2278.14</v>
      </c>
      <c r="U822" s="44">
        <v>3236.17</v>
      </c>
      <c r="V822" s="44">
        <v>2485.6799999999998</v>
      </c>
      <c r="W822" s="44">
        <v>2485.6799999999998</v>
      </c>
      <c r="X822" s="44">
        <v>2482.6799999999998</v>
      </c>
      <c r="Y822" s="44">
        <v>2305.6799999999998</v>
      </c>
      <c r="Z822" s="44">
        <v>2283.52</v>
      </c>
      <c r="AA822" s="44">
        <v>2303.83</v>
      </c>
      <c r="AB822" s="44">
        <v>2303.5</v>
      </c>
      <c r="AC822" s="44">
        <v>2303.25</v>
      </c>
      <c r="AD822" s="44">
        <v>2053.52</v>
      </c>
      <c r="AE822" s="44">
        <v>1955.14</v>
      </c>
      <c r="AF822" s="44">
        <v>1955.14</v>
      </c>
    </row>
    <row r="823" spans="1:32" x14ac:dyDescent="0.3">
      <c r="A823" s="38" t="s">
        <v>255</v>
      </c>
      <c r="B823" s="38" t="s">
        <v>174</v>
      </c>
      <c r="C823" s="38" t="s">
        <v>179</v>
      </c>
      <c r="D823" s="39" t="s">
        <v>180</v>
      </c>
      <c r="E823" s="39" t="s">
        <v>177</v>
      </c>
      <c r="F823" s="38" t="s">
        <v>132</v>
      </c>
      <c r="G823" s="38" t="s">
        <v>130</v>
      </c>
      <c r="H823" s="44">
        <v>21168</v>
      </c>
      <c r="I823" s="44">
        <v>21168</v>
      </c>
      <c r="J823" s="44"/>
      <c r="K823" s="44"/>
      <c r="L823" s="44"/>
      <c r="M823" s="44"/>
      <c r="N823" s="44"/>
      <c r="O823" s="44"/>
      <c r="P823" s="44"/>
      <c r="Q823" s="44"/>
      <c r="R823" s="44"/>
      <c r="S823" s="44"/>
      <c r="T823" s="44"/>
      <c r="U823" s="44"/>
      <c r="V823" s="44"/>
      <c r="W823" s="44"/>
      <c r="X823" s="44"/>
      <c r="Y823" s="44"/>
      <c r="Z823" s="44"/>
      <c r="AA823" s="44"/>
      <c r="AB823" s="44"/>
      <c r="AC823" s="44"/>
      <c r="AD823" s="44"/>
      <c r="AE823" s="44"/>
      <c r="AF823" s="44"/>
    </row>
    <row r="824" spans="1:32" x14ac:dyDescent="0.3">
      <c r="A824" s="38" t="s">
        <v>255</v>
      </c>
      <c r="B824" s="38" t="s">
        <v>174</v>
      </c>
      <c r="C824" s="38" t="s">
        <v>179</v>
      </c>
      <c r="D824" s="39" t="s">
        <v>180</v>
      </c>
      <c r="E824" s="39" t="s">
        <v>177</v>
      </c>
      <c r="F824" s="38" t="s">
        <v>133</v>
      </c>
      <c r="G824" s="38" t="s">
        <v>130</v>
      </c>
      <c r="H824" s="44">
        <v>0</v>
      </c>
      <c r="I824" s="44">
        <v>0</v>
      </c>
      <c r="J824" s="44"/>
      <c r="K824" s="44"/>
      <c r="L824" s="44"/>
      <c r="M824" s="44"/>
      <c r="N824" s="44"/>
      <c r="O824" s="44"/>
      <c r="P824" s="44"/>
      <c r="Q824" s="44"/>
      <c r="R824" s="44"/>
      <c r="S824" s="44"/>
      <c r="T824" s="44"/>
      <c r="U824" s="44"/>
      <c r="V824" s="44"/>
      <c r="W824" s="44"/>
      <c r="X824" s="44"/>
      <c r="Y824" s="44"/>
      <c r="Z824" s="44"/>
      <c r="AA824" s="44"/>
      <c r="AB824" s="44"/>
      <c r="AC824" s="44"/>
      <c r="AD824" s="44"/>
      <c r="AE824" s="44"/>
      <c r="AF824" s="44"/>
    </row>
    <row r="825" spans="1:32" x14ac:dyDescent="0.3">
      <c r="A825" s="38" t="s">
        <v>255</v>
      </c>
      <c r="B825" s="38" t="s">
        <v>174</v>
      </c>
      <c r="C825" s="38" t="s">
        <v>179</v>
      </c>
      <c r="D825" s="39" t="s">
        <v>180</v>
      </c>
      <c r="E825" s="39" t="s">
        <v>177</v>
      </c>
      <c r="F825" s="38" t="s">
        <v>134</v>
      </c>
      <c r="G825" s="38" t="s">
        <v>130</v>
      </c>
      <c r="H825" s="44">
        <v>37203</v>
      </c>
      <c r="I825" s="44">
        <v>37203</v>
      </c>
      <c r="J825" s="44"/>
      <c r="K825" s="44"/>
      <c r="L825" s="44"/>
      <c r="M825" s="44"/>
      <c r="N825" s="44"/>
      <c r="O825" s="44"/>
      <c r="P825" s="44"/>
      <c r="Q825" s="44"/>
      <c r="R825" s="44"/>
      <c r="S825" s="44"/>
      <c r="T825" s="44"/>
      <c r="U825" s="44"/>
      <c r="V825" s="44"/>
      <c r="W825" s="44"/>
      <c r="X825" s="44"/>
      <c r="Y825" s="44"/>
      <c r="Z825" s="44"/>
      <c r="AA825" s="44"/>
      <c r="AB825" s="44"/>
      <c r="AC825" s="44"/>
      <c r="AD825" s="44"/>
      <c r="AE825" s="44"/>
      <c r="AF825" s="44"/>
    </row>
    <row r="826" spans="1:32" x14ac:dyDescent="0.3">
      <c r="A826" s="38" t="s">
        <v>255</v>
      </c>
      <c r="B826" s="38" t="s">
        <v>174</v>
      </c>
      <c r="C826" s="38" t="s">
        <v>179</v>
      </c>
      <c r="D826" s="39" t="s">
        <v>180</v>
      </c>
      <c r="E826" s="39" t="s">
        <v>177</v>
      </c>
      <c r="F826" s="38" t="s">
        <v>135</v>
      </c>
      <c r="G826" s="38" t="s">
        <v>130</v>
      </c>
      <c r="H826" s="44">
        <v>50112</v>
      </c>
      <c r="I826" s="44">
        <v>50112</v>
      </c>
      <c r="J826" s="44"/>
      <c r="K826" s="44"/>
      <c r="L826" s="44"/>
      <c r="M826" s="44"/>
      <c r="N826" s="44"/>
      <c r="O826" s="44"/>
      <c r="P826" s="44"/>
      <c r="Q826" s="44"/>
      <c r="R826" s="44"/>
      <c r="S826" s="44"/>
      <c r="T826" s="44"/>
      <c r="U826" s="44"/>
      <c r="V826" s="44"/>
      <c r="W826" s="44"/>
      <c r="X826" s="44"/>
      <c r="Y826" s="44"/>
      <c r="Z826" s="44"/>
      <c r="AA826" s="44"/>
      <c r="AB826" s="44"/>
      <c r="AC826" s="44"/>
      <c r="AD826" s="44"/>
      <c r="AE826" s="44"/>
      <c r="AF826" s="44"/>
    </row>
    <row r="827" spans="1:32" x14ac:dyDescent="0.3">
      <c r="A827" s="38" t="s">
        <v>255</v>
      </c>
      <c r="B827" s="38" t="s">
        <v>174</v>
      </c>
      <c r="C827" s="38" t="s">
        <v>179</v>
      </c>
      <c r="D827" s="39" t="s">
        <v>180</v>
      </c>
      <c r="E827" s="39" t="s">
        <v>177</v>
      </c>
      <c r="F827" s="38" t="s">
        <v>136</v>
      </c>
      <c r="G827" s="38" t="s">
        <v>130</v>
      </c>
      <c r="H827" s="44">
        <f>SUM(I827:AF827)</f>
        <v>17280</v>
      </c>
      <c r="I827" s="44">
        <f t="shared" ref="I827:AF827" si="189">IF(AND(ISBLANK(I830) = TRUE,ISBLANK(I829) = TRUE),I828,I829+I830)</f>
        <v>0</v>
      </c>
      <c r="J827" s="44">
        <f t="shared" si="189"/>
        <v>0</v>
      </c>
      <c r="K827" s="44">
        <f t="shared" si="189"/>
        <v>0</v>
      </c>
      <c r="L827" s="44">
        <f t="shared" si="189"/>
        <v>0</v>
      </c>
      <c r="M827" s="44">
        <f t="shared" si="189"/>
        <v>0</v>
      </c>
      <c r="N827" s="44">
        <f t="shared" si="189"/>
        <v>0</v>
      </c>
      <c r="O827" s="44">
        <f t="shared" si="189"/>
        <v>0</v>
      </c>
      <c r="P827" s="44">
        <f t="shared" si="189"/>
        <v>0</v>
      </c>
      <c r="Q827" s="44">
        <f t="shared" si="189"/>
        <v>0</v>
      </c>
      <c r="R827" s="44">
        <f t="shared" si="189"/>
        <v>0</v>
      </c>
      <c r="S827" s="44">
        <f t="shared" si="189"/>
        <v>0</v>
      </c>
      <c r="T827" s="44">
        <f t="shared" si="189"/>
        <v>5760</v>
      </c>
      <c r="U827" s="44">
        <f t="shared" si="189"/>
        <v>5760</v>
      </c>
      <c r="V827" s="44">
        <f t="shared" si="189"/>
        <v>2880</v>
      </c>
      <c r="W827" s="44">
        <f t="shared" si="189"/>
        <v>2880</v>
      </c>
      <c r="X827" s="44">
        <f t="shared" si="189"/>
        <v>0</v>
      </c>
      <c r="Y827" s="44">
        <f t="shared" si="189"/>
        <v>0</v>
      </c>
      <c r="Z827" s="44">
        <f t="shared" si="189"/>
        <v>0</v>
      </c>
      <c r="AA827" s="44">
        <f t="shared" si="189"/>
        <v>0</v>
      </c>
      <c r="AB827" s="44">
        <f t="shared" si="189"/>
        <v>0</v>
      </c>
      <c r="AC827" s="44">
        <f t="shared" si="189"/>
        <v>0</v>
      </c>
      <c r="AD827" s="44">
        <f t="shared" si="189"/>
        <v>0</v>
      </c>
      <c r="AE827" s="44">
        <f t="shared" si="189"/>
        <v>0</v>
      </c>
      <c r="AF827" s="44">
        <f t="shared" si="189"/>
        <v>0</v>
      </c>
    </row>
    <row r="828" spans="1:32" x14ac:dyDescent="0.3">
      <c r="A828" s="38" t="s">
        <v>255</v>
      </c>
      <c r="B828" s="38" t="s">
        <v>174</v>
      </c>
      <c r="C828" s="38" t="s">
        <v>179</v>
      </c>
      <c r="D828" s="39" t="s">
        <v>180</v>
      </c>
      <c r="E828" s="39" t="s">
        <v>177</v>
      </c>
      <c r="F828" s="38" t="s">
        <v>124</v>
      </c>
      <c r="G828" s="38" t="s">
        <v>130</v>
      </c>
      <c r="H828" s="44">
        <v>17280</v>
      </c>
      <c r="I828" s="44"/>
      <c r="J828" s="44"/>
      <c r="K828" s="44"/>
      <c r="L828" s="44"/>
      <c r="M828" s="44"/>
      <c r="N828" s="44"/>
      <c r="O828" s="44"/>
      <c r="P828" s="44"/>
      <c r="Q828" s="44"/>
      <c r="R828" s="44"/>
      <c r="S828" s="44"/>
      <c r="T828" s="44">
        <v>5760</v>
      </c>
      <c r="U828" s="44">
        <v>5760</v>
      </c>
      <c r="V828" s="44">
        <v>2880</v>
      </c>
      <c r="W828" s="44">
        <v>2880</v>
      </c>
      <c r="X828" s="44"/>
      <c r="Y828" s="44"/>
      <c r="Z828" s="44"/>
      <c r="AA828" s="44"/>
      <c r="AB828" s="44"/>
      <c r="AC828" s="44"/>
      <c r="AD828" s="44"/>
      <c r="AE828" s="44"/>
      <c r="AF828" s="44"/>
    </row>
    <row r="829" spans="1:32" x14ac:dyDescent="0.3">
      <c r="A829" s="38" t="s">
        <v>255</v>
      </c>
      <c r="B829" s="38" t="s">
        <v>174</v>
      </c>
      <c r="C829" s="38" t="s">
        <v>179</v>
      </c>
      <c r="D829" s="39" t="s">
        <v>180</v>
      </c>
      <c r="E829" s="39" t="s">
        <v>177</v>
      </c>
      <c r="F829" s="38" t="s">
        <v>137</v>
      </c>
      <c r="G829" s="38" t="s">
        <v>130</v>
      </c>
      <c r="H829" s="44">
        <f>SUM(I829:AF829)</f>
        <v>0</v>
      </c>
      <c r="I829" s="44"/>
      <c r="J829" s="44"/>
      <c r="K829" s="44"/>
      <c r="L829" s="44"/>
      <c r="M829" s="44"/>
      <c r="N829" s="44"/>
      <c r="O829" s="44"/>
      <c r="P829" s="44"/>
      <c r="Q829" s="44"/>
      <c r="R829" s="44"/>
      <c r="S829" s="44"/>
      <c r="T829" s="44"/>
      <c r="U829" s="44"/>
      <c r="V829" s="44"/>
      <c r="W829" s="44"/>
      <c r="X829" s="44"/>
      <c r="Y829" s="44"/>
      <c r="Z829" s="44"/>
      <c r="AA829" s="44"/>
      <c r="AB829" s="44"/>
      <c r="AC829" s="44"/>
      <c r="AD829" s="44"/>
      <c r="AE829" s="44"/>
      <c r="AF829" s="44"/>
    </row>
    <row r="830" spans="1:32" x14ac:dyDescent="0.3">
      <c r="A830" s="38" t="s">
        <v>255</v>
      </c>
      <c r="B830" s="38" t="s">
        <v>174</v>
      </c>
      <c r="C830" s="38" t="s">
        <v>179</v>
      </c>
      <c r="D830" s="39" t="s">
        <v>180</v>
      </c>
      <c r="E830" s="39" t="s">
        <v>177</v>
      </c>
      <c r="F830" s="38" t="s">
        <v>138</v>
      </c>
      <c r="G830" s="38" t="s">
        <v>130</v>
      </c>
      <c r="H830" s="44">
        <f>SUM(I830:AF830)</f>
        <v>0</v>
      </c>
      <c r="I830" s="44"/>
      <c r="J830" s="44"/>
      <c r="K830" s="44"/>
      <c r="L830" s="44"/>
      <c r="M830" s="44"/>
      <c r="N830" s="44"/>
      <c r="O830" s="44"/>
      <c r="P830" s="44"/>
      <c r="Q830" s="44"/>
      <c r="R830" s="44"/>
      <c r="S830" s="44"/>
      <c r="T830" s="44"/>
      <c r="U830" s="44"/>
      <c r="V830" s="44"/>
      <c r="W830" s="44"/>
      <c r="X830" s="44"/>
      <c r="Y830" s="44"/>
      <c r="Z830" s="44"/>
      <c r="AA830" s="44"/>
      <c r="AB830" s="44"/>
      <c r="AC830" s="44"/>
      <c r="AD830" s="44"/>
      <c r="AE830" s="44"/>
      <c r="AF830" s="44"/>
    </row>
    <row r="831" spans="1:32" x14ac:dyDescent="0.3">
      <c r="A831" s="38" t="s">
        <v>255</v>
      </c>
      <c r="B831" s="38" t="s">
        <v>174</v>
      </c>
      <c r="C831" s="38" t="s">
        <v>179</v>
      </c>
      <c r="D831" s="39" t="s">
        <v>180</v>
      </c>
      <c r="E831" s="39" t="s">
        <v>177</v>
      </c>
      <c r="F831" s="38" t="s">
        <v>139</v>
      </c>
      <c r="G831" s="38" t="s">
        <v>130</v>
      </c>
      <c r="H831" s="44">
        <v>17280</v>
      </c>
      <c r="I831" s="44"/>
      <c r="J831" s="44"/>
      <c r="K831" s="44"/>
      <c r="L831" s="44"/>
      <c r="M831" s="44"/>
      <c r="N831" s="44"/>
      <c r="O831" s="44"/>
      <c r="P831" s="44"/>
      <c r="Q831" s="44"/>
      <c r="R831" s="44"/>
      <c r="S831" s="44"/>
      <c r="T831" s="44">
        <v>5760</v>
      </c>
      <c r="U831" s="44">
        <v>5760</v>
      </c>
      <c r="V831" s="44">
        <v>2880</v>
      </c>
      <c r="W831" s="44">
        <v>2880</v>
      </c>
      <c r="X831" s="44"/>
      <c r="Y831" s="44"/>
      <c r="Z831" s="44"/>
      <c r="AA831" s="44"/>
      <c r="AB831" s="44"/>
      <c r="AC831" s="44"/>
      <c r="AD831" s="44"/>
      <c r="AE831" s="44"/>
      <c r="AF831" s="44"/>
    </row>
    <row r="832" spans="1:32" x14ac:dyDescent="0.3">
      <c r="A832" s="38" t="s">
        <v>255</v>
      </c>
      <c r="B832" s="38" t="s">
        <v>174</v>
      </c>
      <c r="C832" s="38" t="s">
        <v>179</v>
      </c>
      <c r="D832" s="39" t="s">
        <v>180</v>
      </c>
      <c r="E832" s="39" t="s">
        <v>177</v>
      </c>
      <c r="F832" s="38" t="s">
        <v>140</v>
      </c>
      <c r="G832" s="38" t="s">
        <v>130</v>
      </c>
      <c r="H832" s="44"/>
      <c r="I832" s="44">
        <f>I827-(I822+I821)+(I826+I825+I824+I823)</f>
        <v>100787.35</v>
      </c>
      <c r="J832" s="44">
        <f t="shared" ref="J832:AF832" si="190">I832+J827-J822</f>
        <v>98803.180000000008</v>
      </c>
      <c r="K832" s="44">
        <f t="shared" si="190"/>
        <v>97107.33</v>
      </c>
      <c r="L832" s="44">
        <f t="shared" si="190"/>
        <v>95148.83</v>
      </c>
      <c r="M832" s="44">
        <f t="shared" si="190"/>
        <v>92685.08</v>
      </c>
      <c r="N832" s="44">
        <f t="shared" si="190"/>
        <v>89955.37</v>
      </c>
      <c r="O832" s="44">
        <f t="shared" si="190"/>
        <v>87420.7</v>
      </c>
      <c r="P832" s="44">
        <f t="shared" si="190"/>
        <v>84884.03</v>
      </c>
      <c r="Q832" s="44">
        <f t="shared" si="190"/>
        <v>82380.679999999993</v>
      </c>
      <c r="R832" s="44">
        <f t="shared" si="190"/>
        <v>80100.289999999994</v>
      </c>
      <c r="S832" s="44">
        <f t="shared" si="190"/>
        <v>77820.899999999994</v>
      </c>
      <c r="T832" s="44">
        <f t="shared" si="190"/>
        <v>81302.759999999995</v>
      </c>
      <c r="U832" s="44">
        <f t="shared" si="190"/>
        <v>83826.59</v>
      </c>
      <c r="V832" s="44">
        <f t="shared" si="190"/>
        <v>84220.91</v>
      </c>
      <c r="W832" s="44">
        <f t="shared" si="190"/>
        <v>84615.23000000001</v>
      </c>
      <c r="X832" s="44">
        <f t="shared" si="190"/>
        <v>82132.550000000017</v>
      </c>
      <c r="Y832" s="44">
        <f t="shared" si="190"/>
        <v>79826.870000000024</v>
      </c>
      <c r="Z832" s="44">
        <f t="shared" si="190"/>
        <v>77543.35000000002</v>
      </c>
      <c r="AA832" s="44">
        <f t="shared" si="190"/>
        <v>75239.520000000019</v>
      </c>
      <c r="AB832" s="44">
        <f t="shared" si="190"/>
        <v>72936.020000000019</v>
      </c>
      <c r="AC832" s="44">
        <f t="shared" si="190"/>
        <v>70632.770000000019</v>
      </c>
      <c r="AD832" s="44">
        <f t="shared" si="190"/>
        <v>68579.250000000015</v>
      </c>
      <c r="AE832" s="44">
        <f t="shared" si="190"/>
        <v>66624.110000000015</v>
      </c>
      <c r="AF832" s="44">
        <f t="shared" si="190"/>
        <v>64668.970000000016</v>
      </c>
    </row>
    <row r="833" spans="1:32" ht="15" thickBot="1" x14ac:dyDescent="0.35">
      <c r="A833" s="40" t="s">
        <v>255</v>
      </c>
      <c r="B833" s="40" t="s">
        <v>174</v>
      </c>
      <c r="C833" s="40" t="s">
        <v>179</v>
      </c>
      <c r="D833" s="41" t="s">
        <v>180</v>
      </c>
      <c r="E833" s="41" t="s">
        <v>177</v>
      </c>
      <c r="F833" s="40" t="s">
        <v>141</v>
      </c>
      <c r="G833" s="40" t="s">
        <v>130</v>
      </c>
      <c r="H833" s="45"/>
      <c r="I833" s="45">
        <f>I827-I831</f>
        <v>0</v>
      </c>
      <c r="J833" s="45">
        <f t="shared" ref="J833:AF833" si="191">I833+J827-J831</f>
        <v>0</v>
      </c>
      <c r="K833" s="45">
        <f t="shared" si="191"/>
        <v>0</v>
      </c>
      <c r="L833" s="45">
        <f t="shared" si="191"/>
        <v>0</v>
      </c>
      <c r="M833" s="45">
        <f t="shared" si="191"/>
        <v>0</v>
      </c>
      <c r="N833" s="45">
        <f t="shared" si="191"/>
        <v>0</v>
      </c>
      <c r="O833" s="45">
        <f t="shared" si="191"/>
        <v>0</v>
      </c>
      <c r="P833" s="45">
        <f t="shared" si="191"/>
        <v>0</v>
      </c>
      <c r="Q833" s="45">
        <f t="shared" si="191"/>
        <v>0</v>
      </c>
      <c r="R833" s="45">
        <f t="shared" si="191"/>
        <v>0</v>
      </c>
      <c r="S833" s="45">
        <f t="shared" si="191"/>
        <v>0</v>
      </c>
      <c r="T833" s="45">
        <f t="shared" si="191"/>
        <v>0</v>
      </c>
      <c r="U833" s="45">
        <f t="shared" si="191"/>
        <v>0</v>
      </c>
      <c r="V833" s="45">
        <f t="shared" si="191"/>
        <v>0</v>
      </c>
      <c r="W833" s="45">
        <f t="shared" si="191"/>
        <v>0</v>
      </c>
      <c r="X833" s="45">
        <f t="shared" si="191"/>
        <v>0</v>
      </c>
      <c r="Y833" s="45">
        <f t="shared" si="191"/>
        <v>0</v>
      </c>
      <c r="Z833" s="45">
        <f t="shared" si="191"/>
        <v>0</v>
      </c>
      <c r="AA833" s="45">
        <f t="shared" si="191"/>
        <v>0</v>
      </c>
      <c r="AB833" s="45">
        <f t="shared" si="191"/>
        <v>0</v>
      </c>
      <c r="AC833" s="45">
        <f t="shared" si="191"/>
        <v>0</v>
      </c>
      <c r="AD833" s="45">
        <f t="shared" si="191"/>
        <v>0</v>
      </c>
      <c r="AE833" s="45">
        <f t="shared" si="191"/>
        <v>0</v>
      </c>
      <c r="AF833" s="45">
        <f t="shared" si="191"/>
        <v>0</v>
      </c>
    </row>
    <row r="834" spans="1:32" x14ac:dyDescent="0.3">
      <c r="A834" s="38" t="s">
        <v>256</v>
      </c>
      <c r="B834" s="38" t="s">
        <v>174</v>
      </c>
      <c r="C834" s="38" t="s">
        <v>182</v>
      </c>
      <c r="D834" s="39" t="s">
        <v>180</v>
      </c>
      <c r="E834" s="39" t="s">
        <v>177</v>
      </c>
      <c r="F834" s="38" t="s">
        <v>129</v>
      </c>
      <c r="G834" s="38" t="s">
        <v>130</v>
      </c>
      <c r="H834" s="44">
        <v>61</v>
      </c>
      <c r="I834" s="44">
        <v>61</v>
      </c>
      <c r="J834" s="44"/>
      <c r="K834" s="44"/>
      <c r="L834" s="44"/>
      <c r="M834" s="44"/>
      <c r="N834" s="44"/>
      <c r="O834" s="44"/>
      <c r="P834" s="44"/>
      <c r="Q834" s="44"/>
      <c r="R834" s="44"/>
      <c r="S834" s="44"/>
      <c r="T834" s="44"/>
      <c r="U834" s="44"/>
      <c r="V834" s="44"/>
      <c r="W834" s="44"/>
      <c r="X834" s="44"/>
      <c r="Y834" s="44"/>
      <c r="Z834" s="44"/>
      <c r="AA834" s="44"/>
      <c r="AB834" s="44"/>
      <c r="AC834" s="44"/>
      <c r="AD834" s="44"/>
      <c r="AE834" s="44"/>
      <c r="AF834" s="44"/>
    </row>
    <row r="835" spans="1:32" x14ac:dyDescent="0.3">
      <c r="A835" s="38" t="s">
        <v>256</v>
      </c>
      <c r="B835" s="38" t="s">
        <v>174</v>
      </c>
      <c r="C835" s="38" t="s">
        <v>182</v>
      </c>
      <c r="D835" s="39" t="s">
        <v>180</v>
      </c>
      <c r="E835" s="39" t="s">
        <v>177</v>
      </c>
      <c r="F835" s="38" t="s">
        <v>131</v>
      </c>
      <c r="G835" s="38" t="s">
        <v>130</v>
      </c>
      <c r="H835" s="44">
        <v>1123</v>
      </c>
      <c r="I835" s="44">
        <v>125</v>
      </c>
      <c r="J835" s="44">
        <v>5</v>
      </c>
      <c r="K835" s="44">
        <v>993</v>
      </c>
      <c r="L835" s="44">
        <v>0</v>
      </c>
      <c r="M835" s="44">
        <v>0</v>
      </c>
      <c r="N835" s="44">
        <v>0</v>
      </c>
      <c r="O835" s="44">
        <v>0</v>
      </c>
      <c r="P835" s="44">
        <v>0</v>
      </c>
      <c r="Q835" s="44">
        <v>0</v>
      </c>
      <c r="R835" s="44">
        <v>0</v>
      </c>
      <c r="S835" s="44">
        <v>0</v>
      </c>
      <c r="T835" s="44">
        <v>0</v>
      </c>
      <c r="U835" s="44">
        <v>0</v>
      </c>
      <c r="V835" s="44">
        <v>0</v>
      </c>
      <c r="W835" s="44">
        <v>0</v>
      </c>
      <c r="X835" s="44">
        <v>0</v>
      </c>
      <c r="Y835" s="44">
        <v>0</v>
      </c>
      <c r="Z835" s="44">
        <v>0</v>
      </c>
      <c r="AA835" s="44">
        <v>0</v>
      </c>
      <c r="AB835" s="44">
        <v>0</v>
      </c>
      <c r="AC835" s="44">
        <v>0</v>
      </c>
      <c r="AD835" s="44">
        <v>0</v>
      </c>
      <c r="AE835" s="44">
        <v>0</v>
      </c>
      <c r="AF835" s="44">
        <v>0</v>
      </c>
    </row>
    <row r="836" spans="1:32" x14ac:dyDescent="0.3">
      <c r="A836" s="38" t="s">
        <v>256</v>
      </c>
      <c r="B836" s="38" t="s">
        <v>174</v>
      </c>
      <c r="C836" s="38" t="s">
        <v>182</v>
      </c>
      <c r="D836" s="39" t="s">
        <v>180</v>
      </c>
      <c r="E836" s="39" t="s">
        <v>177</v>
      </c>
      <c r="F836" s="38" t="s">
        <v>132</v>
      </c>
      <c r="G836" s="38" t="s">
        <v>130</v>
      </c>
      <c r="H836" s="44"/>
      <c r="I836" s="44"/>
      <c r="J836" s="44"/>
      <c r="K836" s="44"/>
      <c r="L836" s="44"/>
      <c r="M836" s="44"/>
      <c r="N836" s="44"/>
      <c r="O836" s="44"/>
      <c r="P836" s="44"/>
      <c r="Q836" s="44"/>
      <c r="R836" s="44"/>
      <c r="S836" s="44"/>
      <c r="T836" s="44"/>
      <c r="U836" s="44"/>
      <c r="V836" s="44"/>
      <c r="W836" s="44"/>
      <c r="X836" s="44"/>
      <c r="Y836" s="44"/>
      <c r="Z836" s="44"/>
      <c r="AA836" s="44"/>
      <c r="AB836" s="44"/>
      <c r="AC836" s="44"/>
      <c r="AD836" s="44"/>
      <c r="AE836" s="44"/>
      <c r="AF836" s="44"/>
    </row>
    <row r="837" spans="1:32" x14ac:dyDescent="0.3">
      <c r="A837" s="38" t="s">
        <v>256</v>
      </c>
      <c r="B837" s="38" t="s">
        <v>174</v>
      </c>
      <c r="C837" s="38" t="s">
        <v>182</v>
      </c>
      <c r="D837" s="39" t="s">
        <v>180</v>
      </c>
      <c r="E837" s="39" t="s">
        <v>177</v>
      </c>
      <c r="F837" s="38" t="s">
        <v>133</v>
      </c>
      <c r="G837" s="38" t="s">
        <v>130</v>
      </c>
      <c r="H837" s="44"/>
      <c r="I837" s="44"/>
      <c r="J837" s="44"/>
      <c r="K837" s="44"/>
      <c r="L837" s="44"/>
      <c r="M837" s="44"/>
      <c r="N837" s="44"/>
      <c r="O837" s="44"/>
      <c r="P837" s="44"/>
      <c r="Q837" s="44"/>
      <c r="R837" s="44"/>
      <c r="S837" s="44"/>
      <c r="T837" s="44"/>
      <c r="U837" s="44"/>
      <c r="V837" s="44"/>
      <c r="W837" s="44"/>
      <c r="X837" s="44"/>
      <c r="Y837" s="44"/>
      <c r="Z837" s="44"/>
      <c r="AA837" s="44"/>
      <c r="AB837" s="44"/>
      <c r="AC837" s="44"/>
      <c r="AD837" s="44"/>
      <c r="AE837" s="44"/>
      <c r="AF837" s="44"/>
    </row>
    <row r="838" spans="1:32" x14ac:dyDescent="0.3">
      <c r="A838" s="38" t="s">
        <v>256</v>
      </c>
      <c r="B838" s="38" t="s">
        <v>174</v>
      </c>
      <c r="C838" s="38" t="s">
        <v>182</v>
      </c>
      <c r="D838" s="39" t="s">
        <v>180</v>
      </c>
      <c r="E838" s="39" t="s">
        <v>177</v>
      </c>
      <c r="F838" s="38" t="s">
        <v>134</v>
      </c>
      <c r="G838" s="38" t="s">
        <v>130</v>
      </c>
      <c r="H838" s="44"/>
      <c r="I838" s="44"/>
      <c r="J838" s="44"/>
      <c r="K838" s="44"/>
      <c r="L838" s="44"/>
      <c r="M838" s="44"/>
      <c r="N838" s="44"/>
      <c r="O838" s="44"/>
      <c r="P838" s="44"/>
      <c r="Q838" s="44"/>
      <c r="R838" s="44"/>
      <c r="S838" s="44"/>
      <c r="T838" s="44"/>
      <c r="U838" s="44"/>
      <c r="V838" s="44"/>
      <c r="W838" s="44"/>
      <c r="X838" s="44"/>
      <c r="Y838" s="44"/>
      <c r="Z838" s="44"/>
      <c r="AA838" s="44"/>
      <c r="AB838" s="44"/>
      <c r="AC838" s="44"/>
      <c r="AD838" s="44"/>
      <c r="AE838" s="44"/>
      <c r="AF838" s="44"/>
    </row>
    <row r="839" spans="1:32" x14ac:dyDescent="0.3">
      <c r="A839" s="38" t="s">
        <v>256</v>
      </c>
      <c r="B839" s="38" t="s">
        <v>174</v>
      </c>
      <c r="C839" s="38" t="s">
        <v>182</v>
      </c>
      <c r="D839" s="39" t="s">
        <v>180</v>
      </c>
      <c r="E839" s="39" t="s">
        <v>177</v>
      </c>
      <c r="F839" s="38" t="s">
        <v>135</v>
      </c>
      <c r="G839" s="38" t="s">
        <v>130</v>
      </c>
      <c r="H839" s="44"/>
      <c r="I839" s="44"/>
      <c r="J839" s="44"/>
      <c r="K839" s="44"/>
      <c r="L839" s="44"/>
      <c r="M839" s="44"/>
      <c r="N839" s="44"/>
      <c r="O839" s="44"/>
      <c r="P839" s="44"/>
      <c r="Q839" s="44"/>
      <c r="R839" s="44"/>
      <c r="S839" s="44"/>
      <c r="T839" s="44"/>
      <c r="U839" s="44"/>
      <c r="V839" s="44"/>
      <c r="W839" s="44"/>
      <c r="X839" s="44"/>
      <c r="Y839" s="44"/>
      <c r="Z839" s="44"/>
      <c r="AA839" s="44"/>
      <c r="AB839" s="44"/>
      <c r="AC839" s="44"/>
      <c r="AD839" s="44"/>
      <c r="AE839" s="44"/>
      <c r="AF839" s="44"/>
    </row>
    <row r="840" spans="1:32" x14ac:dyDescent="0.3">
      <c r="A840" s="38" t="s">
        <v>256</v>
      </c>
      <c r="B840" s="38" t="s">
        <v>174</v>
      </c>
      <c r="C840" s="38" t="s">
        <v>182</v>
      </c>
      <c r="D840" s="39" t="s">
        <v>180</v>
      </c>
      <c r="E840" s="39" t="s">
        <v>177</v>
      </c>
      <c r="F840" s="38" t="s">
        <v>136</v>
      </c>
      <c r="G840" s="38" t="s">
        <v>130</v>
      </c>
      <c r="H840" s="44">
        <f>SUM(I840:AF840)</f>
        <v>0</v>
      </c>
      <c r="I840" s="44">
        <f t="shared" ref="I840:AF840" si="192">IF(AND(ISBLANK(I843) = TRUE,ISBLANK(I842) = TRUE),I841,I842+I843)</f>
        <v>0</v>
      </c>
      <c r="J840" s="44">
        <f t="shared" si="192"/>
        <v>0</v>
      </c>
      <c r="K840" s="44">
        <f t="shared" si="192"/>
        <v>0</v>
      </c>
      <c r="L840" s="44">
        <f t="shared" si="192"/>
        <v>0</v>
      </c>
      <c r="M840" s="44">
        <f t="shared" si="192"/>
        <v>0</v>
      </c>
      <c r="N840" s="44">
        <f t="shared" si="192"/>
        <v>0</v>
      </c>
      <c r="O840" s="44">
        <f t="shared" si="192"/>
        <v>0</v>
      </c>
      <c r="P840" s="44">
        <f t="shared" si="192"/>
        <v>0</v>
      </c>
      <c r="Q840" s="44">
        <f t="shared" si="192"/>
        <v>0</v>
      </c>
      <c r="R840" s="44">
        <f t="shared" si="192"/>
        <v>0</v>
      </c>
      <c r="S840" s="44">
        <f t="shared" si="192"/>
        <v>0</v>
      </c>
      <c r="T840" s="44">
        <f t="shared" si="192"/>
        <v>0</v>
      </c>
      <c r="U840" s="44">
        <f t="shared" si="192"/>
        <v>0</v>
      </c>
      <c r="V840" s="44">
        <f t="shared" si="192"/>
        <v>0</v>
      </c>
      <c r="W840" s="44">
        <f t="shared" si="192"/>
        <v>0</v>
      </c>
      <c r="X840" s="44">
        <f t="shared" si="192"/>
        <v>0</v>
      </c>
      <c r="Y840" s="44">
        <f t="shared" si="192"/>
        <v>0</v>
      </c>
      <c r="Z840" s="44">
        <f t="shared" si="192"/>
        <v>0</v>
      </c>
      <c r="AA840" s="44">
        <f t="shared" si="192"/>
        <v>0</v>
      </c>
      <c r="AB840" s="44">
        <f t="shared" si="192"/>
        <v>0</v>
      </c>
      <c r="AC840" s="44">
        <f t="shared" si="192"/>
        <v>0</v>
      </c>
      <c r="AD840" s="44">
        <f t="shared" si="192"/>
        <v>0</v>
      </c>
      <c r="AE840" s="44">
        <f t="shared" si="192"/>
        <v>0</v>
      </c>
      <c r="AF840" s="44">
        <f t="shared" si="192"/>
        <v>0</v>
      </c>
    </row>
    <row r="841" spans="1:32" x14ac:dyDescent="0.3">
      <c r="A841" s="38" t="s">
        <v>256</v>
      </c>
      <c r="B841" s="38" t="s">
        <v>174</v>
      </c>
      <c r="C841" s="38" t="s">
        <v>182</v>
      </c>
      <c r="D841" s="39" t="s">
        <v>180</v>
      </c>
      <c r="E841" s="39" t="s">
        <v>177</v>
      </c>
      <c r="F841" s="38" t="s">
        <v>124</v>
      </c>
      <c r="G841" s="38" t="s">
        <v>130</v>
      </c>
      <c r="H841" s="44"/>
      <c r="I841" s="44"/>
      <c r="J841" s="44"/>
      <c r="K841" s="44"/>
      <c r="L841" s="44"/>
      <c r="M841" s="44"/>
      <c r="N841" s="44"/>
      <c r="O841" s="44"/>
      <c r="P841" s="44"/>
      <c r="Q841" s="44"/>
      <c r="R841" s="44"/>
      <c r="S841" s="44"/>
      <c r="T841" s="44"/>
      <c r="U841" s="44"/>
      <c r="V841" s="44"/>
      <c r="W841" s="44"/>
      <c r="X841" s="44"/>
      <c r="Y841" s="44"/>
      <c r="Z841" s="44"/>
      <c r="AA841" s="44"/>
      <c r="AB841" s="44"/>
      <c r="AC841" s="44"/>
      <c r="AD841" s="44"/>
      <c r="AE841" s="44"/>
      <c r="AF841" s="44"/>
    </row>
    <row r="842" spans="1:32" x14ac:dyDescent="0.3">
      <c r="A842" s="38" t="s">
        <v>256</v>
      </c>
      <c r="B842" s="38" t="s">
        <v>174</v>
      </c>
      <c r="C842" s="38" t="s">
        <v>182</v>
      </c>
      <c r="D842" s="39" t="s">
        <v>180</v>
      </c>
      <c r="E842" s="39" t="s">
        <v>177</v>
      </c>
      <c r="F842" s="38" t="s">
        <v>137</v>
      </c>
      <c r="G842" s="38" t="s">
        <v>130</v>
      </c>
      <c r="H842" s="44">
        <f>SUM(I842:AF842)</f>
        <v>0</v>
      </c>
      <c r="I842" s="44"/>
      <c r="J842" s="44"/>
      <c r="K842" s="44"/>
      <c r="L842" s="44"/>
      <c r="M842" s="44"/>
      <c r="N842" s="44"/>
      <c r="O842" s="44"/>
      <c r="P842" s="44"/>
      <c r="Q842" s="44"/>
      <c r="R842" s="44"/>
      <c r="S842" s="44"/>
      <c r="T842" s="44"/>
      <c r="U842" s="44"/>
      <c r="V842" s="44"/>
      <c r="W842" s="44"/>
      <c r="X842" s="44"/>
      <c r="Y842" s="44"/>
      <c r="Z842" s="44"/>
      <c r="AA842" s="44"/>
      <c r="AB842" s="44"/>
      <c r="AC842" s="44"/>
      <c r="AD842" s="44"/>
      <c r="AE842" s="44"/>
      <c r="AF842" s="44"/>
    </row>
    <row r="843" spans="1:32" x14ac:dyDescent="0.3">
      <c r="A843" s="38" t="s">
        <v>256</v>
      </c>
      <c r="B843" s="38" t="s">
        <v>174</v>
      </c>
      <c r="C843" s="38" t="s">
        <v>182</v>
      </c>
      <c r="D843" s="39" t="s">
        <v>180</v>
      </c>
      <c r="E843" s="39" t="s">
        <v>177</v>
      </c>
      <c r="F843" s="38" t="s">
        <v>138</v>
      </c>
      <c r="G843" s="38" t="s">
        <v>130</v>
      </c>
      <c r="H843" s="44">
        <f>SUM(I843:AF843)</f>
        <v>0</v>
      </c>
      <c r="I843" s="44"/>
      <c r="J843" s="44"/>
      <c r="K843" s="44"/>
      <c r="L843" s="44"/>
      <c r="M843" s="44"/>
      <c r="N843" s="44"/>
      <c r="O843" s="44"/>
      <c r="P843" s="44"/>
      <c r="Q843" s="44"/>
      <c r="R843" s="44"/>
      <c r="S843" s="44"/>
      <c r="T843" s="44"/>
      <c r="U843" s="44"/>
      <c r="V843" s="44"/>
      <c r="W843" s="44"/>
      <c r="X843" s="44"/>
      <c r="Y843" s="44"/>
      <c r="Z843" s="44"/>
      <c r="AA843" s="44"/>
      <c r="AB843" s="44"/>
      <c r="AC843" s="44"/>
      <c r="AD843" s="44"/>
      <c r="AE843" s="44"/>
      <c r="AF843" s="44"/>
    </row>
    <row r="844" spans="1:32" x14ac:dyDescent="0.3">
      <c r="A844" s="38" t="s">
        <v>256</v>
      </c>
      <c r="B844" s="38" t="s">
        <v>174</v>
      </c>
      <c r="C844" s="38" t="s">
        <v>182</v>
      </c>
      <c r="D844" s="39" t="s">
        <v>180</v>
      </c>
      <c r="E844" s="39" t="s">
        <v>177</v>
      </c>
      <c r="F844" s="38" t="s">
        <v>139</v>
      </c>
      <c r="G844" s="38" t="s">
        <v>130</v>
      </c>
      <c r="H844" s="44"/>
      <c r="I844" s="44"/>
      <c r="J844" s="44"/>
      <c r="K844" s="44"/>
      <c r="L844" s="44"/>
      <c r="M844" s="44"/>
      <c r="N844" s="44"/>
      <c r="O844" s="44"/>
      <c r="P844" s="44"/>
      <c r="Q844" s="44"/>
      <c r="R844" s="44"/>
      <c r="S844" s="44"/>
      <c r="T844" s="44"/>
      <c r="U844" s="44"/>
      <c r="V844" s="44"/>
      <c r="W844" s="44"/>
      <c r="X844" s="44"/>
      <c r="Y844" s="44"/>
      <c r="Z844" s="44"/>
      <c r="AA844" s="44"/>
      <c r="AB844" s="44"/>
      <c r="AC844" s="44"/>
      <c r="AD844" s="44"/>
      <c r="AE844" s="44"/>
      <c r="AF844" s="44"/>
    </row>
    <row r="845" spans="1:32" x14ac:dyDescent="0.3">
      <c r="A845" s="38" t="s">
        <v>256</v>
      </c>
      <c r="B845" s="38" t="s">
        <v>174</v>
      </c>
      <c r="C845" s="38" t="s">
        <v>182</v>
      </c>
      <c r="D845" s="39" t="s">
        <v>180</v>
      </c>
      <c r="E845" s="39" t="s">
        <v>177</v>
      </c>
      <c r="F845" s="38" t="s">
        <v>140</v>
      </c>
      <c r="G845" s="38" t="s">
        <v>130</v>
      </c>
      <c r="H845" s="44"/>
      <c r="I845" s="44">
        <f>I840-(I835+I834)+(I839+I838+I837+I836)</f>
        <v>-186</v>
      </c>
      <c r="J845" s="44">
        <f t="shared" ref="J845:AF845" si="193">I845+J840-J835</f>
        <v>-191</v>
      </c>
      <c r="K845" s="44">
        <f t="shared" si="193"/>
        <v>-1184</v>
      </c>
      <c r="L845" s="44">
        <f t="shared" si="193"/>
        <v>-1184</v>
      </c>
      <c r="M845" s="44">
        <f t="shared" si="193"/>
        <v>-1184</v>
      </c>
      <c r="N845" s="44">
        <f t="shared" si="193"/>
        <v>-1184</v>
      </c>
      <c r="O845" s="44">
        <f t="shared" si="193"/>
        <v>-1184</v>
      </c>
      <c r="P845" s="44">
        <f t="shared" si="193"/>
        <v>-1184</v>
      </c>
      <c r="Q845" s="44">
        <f t="shared" si="193"/>
        <v>-1184</v>
      </c>
      <c r="R845" s="44">
        <f t="shared" si="193"/>
        <v>-1184</v>
      </c>
      <c r="S845" s="44">
        <f t="shared" si="193"/>
        <v>-1184</v>
      </c>
      <c r="T845" s="44">
        <f t="shared" si="193"/>
        <v>-1184</v>
      </c>
      <c r="U845" s="44">
        <f t="shared" si="193"/>
        <v>-1184</v>
      </c>
      <c r="V845" s="44">
        <f t="shared" si="193"/>
        <v>-1184</v>
      </c>
      <c r="W845" s="44">
        <f t="shared" si="193"/>
        <v>-1184</v>
      </c>
      <c r="X845" s="44">
        <f t="shared" si="193"/>
        <v>-1184</v>
      </c>
      <c r="Y845" s="44">
        <f t="shared" si="193"/>
        <v>-1184</v>
      </c>
      <c r="Z845" s="44">
        <f t="shared" si="193"/>
        <v>-1184</v>
      </c>
      <c r="AA845" s="44">
        <f t="shared" si="193"/>
        <v>-1184</v>
      </c>
      <c r="AB845" s="44">
        <f t="shared" si="193"/>
        <v>-1184</v>
      </c>
      <c r="AC845" s="44">
        <f t="shared" si="193"/>
        <v>-1184</v>
      </c>
      <c r="AD845" s="44">
        <f t="shared" si="193"/>
        <v>-1184</v>
      </c>
      <c r="AE845" s="44">
        <f t="shared" si="193"/>
        <v>-1184</v>
      </c>
      <c r="AF845" s="44">
        <f t="shared" si="193"/>
        <v>-1184</v>
      </c>
    </row>
    <row r="846" spans="1:32" ht="15" thickBot="1" x14ac:dyDescent="0.35">
      <c r="A846" s="40" t="s">
        <v>256</v>
      </c>
      <c r="B846" s="40" t="s">
        <v>174</v>
      </c>
      <c r="C846" s="40" t="s">
        <v>182</v>
      </c>
      <c r="D846" s="41" t="s">
        <v>180</v>
      </c>
      <c r="E846" s="41" t="s">
        <v>177</v>
      </c>
      <c r="F846" s="40" t="s">
        <v>141</v>
      </c>
      <c r="G846" s="40" t="s">
        <v>130</v>
      </c>
      <c r="H846" s="45"/>
      <c r="I846" s="45">
        <f>I840-I844</f>
        <v>0</v>
      </c>
      <c r="J846" s="45">
        <f t="shared" ref="J846:AF846" si="194">I846+J840-J844</f>
        <v>0</v>
      </c>
      <c r="K846" s="45">
        <f t="shared" si="194"/>
        <v>0</v>
      </c>
      <c r="L846" s="45">
        <f t="shared" si="194"/>
        <v>0</v>
      </c>
      <c r="M846" s="45">
        <f t="shared" si="194"/>
        <v>0</v>
      </c>
      <c r="N846" s="45">
        <f t="shared" si="194"/>
        <v>0</v>
      </c>
      <c r="O846" s="45">
        <f t="shared" si="194"/>
        <v>0</v>
      </c>
      <c r="P846" s="45">
        <f t="shared" si="194"/>
        <v>0</v>
      </c>
      <c r="Q846" s="45">
        <f t="shared" si="194"/>
        <v>0</v>
      </c>
      <c r="R846" s="45">
        <f t="shared" si="194"/>
        <v>0</v>
      </c>
      <c r="S846" s="45">
        <f t="shared" si="194"/>
        <v>0</v>
      </c>
      <c r="T846" s="45">
        <f t="shared" si="194"/>
        <v>0</v>
      </c>
      <c r="U846" s="45">
        <f t="shared" si="194"/>
        <v>0</v>
      </c>
      <c r="V846" s="45">
        <f t="shared" si="194"/>
        <v>0</v>
      </c>
      <c r="W846" s="45">
        <f t="shared" si="194"/>
        <v>0</v>
      </c>
      <c r="X846" s="45">
        <f t="shared" si="194"/>
        <v>0</v>
      </c>
      <c r="Y846" s="45">
        <f t="shared" si="194"/>
        <v>0</v>
      </c>
      <c r="Z846" s="45">
        <f t="shared" si="194"/>
        <v>0</v>
      </c>
      <c r="AA846" s="45">
        <f t="shared" si="194"/>
        <v>0</v>
      </c>
      <c r="AB846" s="45">
        <f t="shared" si="194"/>
        <v>0</v>
      </c>
      <c r="AC846" s="45">
        <f t="shared" si="194"/>
        <v>0</v>
      </c>
      <c r="AD846" s="45">
        <f t="shared" si="194"/>
        <v>0</v>
      </c>
      <c r="AE846" s="45">
        <f t="shared" si="194"/>
        <v>0</v>
      </c>
      <c r="AF846" s="45">
        <f t="shared" si="194"/>
        <v>0</v>
      </c>
    </row>
    <row r="847" spans="1:32" x14ac:dyDescent="0.3">
      <c r="A847" s="38" t="s">
        <v>257</v>
      </c>
      <c r="B847" s="38" t="s">
        <v>174</v>
      </c>
      <c r="C847" s="38" t="s">
        <v>258</v>
      </c>
      <c r="D847" s="39" t="s">
        <v>198</v>
      </c>
      <c r="E847" s="39" t="s">
        <v>177</v>
      </c>
      <c r="F847" s="38" t="s">
        <v>129</v>
      </c>
      <c r="G847" s="38" t="s">
        <v>130</v>
      </c>
      <c r="H847" s="44">
        <v>299</v>
      </c>
      <c r="I847" s="44">
        <v>299</v>
      </c>
      <c r="J847" s="44"/>
      <c r="K847" s="44"/>
      <c r="L847" s="44"/>
      <c r="M847" s="44"/>
      <c r="N847" s="44"/>
      <c r="O847" s="44"/>
      <c r="P847" s="44"/>
      <c r="Q847" s="44"/>
      <c r="R847" s="44"/>
      <c r="S847" s="44"/>
      <c r="T847" s="44"/>
      <c r="U847" s="44"/>
      <c r="V847" s="44"/>
      <c r="W847" s="44"/>
      <c r="X847" s="44"/>
      <c r="Y847" s="44"/>
      <c r="Z847" s="44"/>
      <c r="AA847" s="44"/>
      <c r="AB847" s="44"/>
      <c r="AC847" s="44"/>
      <c r="AD847" s="44"/>
      <c r="AE847" s="44"/>
      <c r="AF847" s="44"/>
    </row>
    <row r="848" spans="1:32" x14ac:dyDescent="0.3">
      <c r="A848" s="38" t="s">
        <v>257</v>
      </c>
      <c r="B848" s="38" t="s">
        <v>174</v>
      </c>
      <c r="C848" s="38" t="s">
        <v>258</v>
      </c>
      <c r="D848" s="39" t="s">
        <v>198</v>
      </c>
      <c r="E848" s="39" t="s">
        <v>177</v>
      </c>
      <c r="F848" s="38" t="s">
        <v>131</v>
      </c>
      <c r="G848" s="38" t="s">
        <v>130</v>
      </c>
      <c r="H848" s="44">
        <v>5937</v>
      </c>
      <c r="I848" s="44">
        <v>525</v>
      </c>
      <c r="J848" s="44">
        <v>355</v>
      </c>
      <c r="K848" s="44">
        <v>349</v>
      </c>
      <c r="L848" s="44">
        <v>354</v>
      </c>
      <c r="M848" s="44">
        <v>103</v>
      </c>
      <c r="N848" s="44">
        <v>101</v>
      </c>
      <c r="O848" s="44">
        <v>91</v>
      </c>
      <c r="P848" s="44">
        <v>91</v>
      </c>
      <c r="Q848" s="44">
        <v>1780</v>
      </c>
      <c r="R848" s="44">
        <v>131</v>
      </c>
      <c r="S848" s="44">
        <v>111</v>
      </c>
      <c r="T848" s="44">
        <v>111</v>
      </c>
      <c r="U848" s="44">
        <v>165</v>
      </c>
      <c r="V848" s="44">
        <v>127</v>
      </c>
      <c r="W848" s="44">
        <v>177</v>
      </c>
      <c r="X848" s="44">
        <v>427</v>
      </c>
      <c r="Y848" s="44">
        <v>126</v>
      </c>
      <c r="Z848" s="44">
        <v>116</v>
      </c>
      <c r="AA848" s="44">
        <v>120</v>
      </c>
      <c r="AB848" s="44">
        <v>120</v>
      </c>
      <c r="AC848" s="44">
        <v>120</v>
      </c>
      <c r="AD848" s="44">
        <v>113</v>
      </c>
      <c r="AE848" s="44">
        <v>112</v>
      </c>
      <c r="AF848" s="44">
        <v>112</v>
      </c>
    </row>
    <row r="849" spans="1:32" x14ac:dyDescent="0.3">
      <c r="A849" s="38" t="s">
        <v>257</v>
      </c>
      <c r="B849" s="38" t="s">
        <v>174</v>
      </c>
      <c r="C849" s="38" t="s">
        <v>258</v>
      </c>
      <c r="D849" s="39" t="s">
        <v>198</v>
      </c>
      <c r="E849" s="39" t="s">
        <v>177</v>
      </c>
      <c r="F849" s="38" t="s">
        <v>132</v>
      </c>
      <c r="G849" s="38" t="s">
        <v>130</v>
      </c>
      <c r="H849" s="44">
        <v>145026</v>
      </c>
      <c r="I849" s="44">
        <v>145026</v>
      </c>
      <c r="J849" s="44"/>
      <c r="K849" s="44"/>
      <c r="L849" s="44"/>
      <c r="M849" s="44"/>
      <c r="N849" s="44"/>
      <c r="O849" s="44"/>
      <c r="P849" s="44"/>
      <c r="Q849" s="44"/>
      <c r="R849" s="44"/>
      <c r="S849" s="44"/>
      <c r="T849" s="44"/>
      <c r="U849" s="44"/>
      <c r="V849" s="44"/>
      <c r="W849" s="44"/>
      <c r="X849" s="44"/>
      <c r="Y849" s="44"/>
      <c r="Z849" s="44"/>
      <c r="AA849" s="44"/>
      <c r="AB849" s="44"/>
      <c r="AC849" s="44"/>
      <c r="AD849" s="44"/>
      <c r="AE849" s="44"/>
      <c r="AF849" s="44"/>
    </row>
    <row r="850" spans="1:32" x14ac:dyDescent="0.3">
      <c r="A850" s="38" t="s">
        <v>257</v>
      </c>
      <c r="B850" s="38" t="s">
        <v>174</v>
      </c>
      <c r="C850" s="38" t="s">
        <v>258</v>
      </c>
      <c r="D850" s="39" t="s">
        <v>198</v>
      </c>
      <c r="E850" s="39" t="s">
        <v>177</v>
      </c>
      <c r="F850" s="38" t="s">
        <v>133</v>
      </c>
      <c r="G850" s="38" t="s">
        <v>130</v>
      </c>
      <c r="H850" s="44">
        <v>0</v>
      </c>
      <c r="I850" s="44">
        <v>0</v>
      </c>
      <c r="J850" s="44"/>
      <c r="K850" s="44"/>
      <c r="L850" s="44"/>
      <c r="M850" s="44"/>
      <c r="N850" s="44"/>
      <c r="O850" s="44"/>
      <c r="P850" s="44"/>
      <c r="Q850" s="44"/>
      <c r="R850" s="44"/>
      <c r="S850" s="44"/>
      <c r="T850" s="44"/>
      <c r="U850" s="44"/>
      <c r="V850" s="44"/>
      <c r="W850" s="44"/>
      <c r="X850" s="44"/>
      <c r="Y850" s="44"/>
      <c r="Z850" s="44"/>
      <c r="AA850" s="44"/>
      <c r="AB850" s="44"/>
      <c r="AC850" s="44"/>
      <c r="AD850" s="44"/>
      <c r="AE850" s="44"/>
      <c r="AF850" s="44"/>
    </row>
    <row r="851" spans="1:32" x14ac:dyDescent="0.3">
      <c r="A851" s="38" t="s">
        <v>257</v>
      </c>
      <c r="B851" s="38" t="s">
        <v>174</v>
      </c>
      <c r="C851" s="38" t="s">
        <v>258</v>
      </c>
      <c r="D851" s="39" t="s">
        <v>198</v>
      </c>
      <c r="E851" s="39" t="s">
        <v>177</v>
      </c>
      <c r="F851" s="38" t="s">
        <v>134</v>
      </c>
      <c r="G851" s="38" t="s">
        <v>130</v>
      </c>
      <c r="H851" s="44">
        <v>4346</v>
      </c>
      <c r="I851" s="44">
        <v>4346</v>
      </c>
      <c r="J851" s="44"/>
      <c r="K851" s="44"/>
      <c r="L851" s="44"/>
      <c r="M851" s="44"/>
      <c r="N851" s="44"/>
      <c r="O851" s="44"/>
      <c r="P851" s="44"/>
      <c r="Q851" s="44"/>
      <c r="R851" s="44"/>
      <c r="S851" s="44"/>
      <c r="T851" s="44"/>
      <c r="U851" s="44"/>
      <c r="V851" s="44"/>
      <c r="W851" s="44"/>
      <c r="X851" s="44"/>
      <c r="Y851" s="44"/>
      <c r="Z851" s="44"/>
      <c r="AA851" s="44"/>
      <c r="AB851" s="44"/>
      <c r="AC851" s="44"/>
      <c r="AD851" s="44"/>
      <c r="AE851" s="44"/>
      <c r="AF851" s="44"/>
    </row>
    <row r="852" spans="1:32" x14ac:dyDescent="0.3">
      <c r="A852" s="38" t="s">
        <v>257</v>
      </c>
      <c r="B852" s="38" t="s">
        <v>174</v>
      </c>
      <c r="C852" s="38" t="s">
        <v>258</v>
      </c>
      <c r="D852" s="39" t="s">
        <v>198</v>
      </c>
      <c r="E852" s="39" t="s">
        <v>177</v>
      </c>
      <c r="F852" s="38" t="s">
        <v>135</v>
      </c>
      <c r="G852" s="38" t="s">
        <v>130</v>
      </c>
      <c r="H852" s="44">
        <v>31824</v>
      </c>
      <c r="I852" s="44">
        <v>31824</v>
      </c>
      <c r="J852" s="44"/>
      <c r="K852" s="44"/>
      <c r="L852" s="44"/>
      <c r="M852" s="44"/>
      <c r="N852" s="44"/>
      <c r="O852" s="44"/>
      <c r="P852" s="44"/>
      <c r="Q852" s="44"/>
      <c r="R852" s="44"/>
      <c r="S852" s="44"/>
      <c r="T852" s="44"/>
      <c r="U852" s="44"/>
      <c r="V852" s="44"/>
      <c r="W852" s="44"/>
      <c r="X852" s="44"/>
      <c r="Y852" s="44"/>
      <c r="Z852" s="44"/>
      <c r="AA852" s="44"/>
      <c r="AB852" s="44"/>
      <c r="AC852" s="44"/>
      <c r="AD852" s="44"/>
      <c r="AE852" s="44"/>
      <c r="AF852" s="44"/>
    </row>
    <row r="853" spans="1:32" x14ac:dyDescent="0.3">
      <c r="A853" s="38" t="s">
        <v>257</v>
      </c>
      <c r="B853" s="38" t="s">
        <v>174</v>
      </c>
      <c r="C853" s="38" t="s">
        <v>258</v>
      </c>
      <c r="D853" s="39" t="s">
        <v>198</v>
      </c>
      <c r="E853" s="39" t="s">
        <v>177</v>
      </c>
      <c r="F853" s="38" t="s">
        <v>136</v>
      </c>
      <c r="G853" s="38" t="s">
        <v>130</v>
      </c>
      <c r="H853" s="44">
        <f>SUM(I853:AF853)</f>
        <v>178080</v>
      </c>
      <c r="I853" s="44">
        <f t="shared" ref="I853:AF853" si="195">IF(AND(ISBLANK(I856) = TRUE,ISBLANK(I855) = TRUE),I854,I855+I856)</f>
        <v>28080</v>
      </c>
      <c r="J853" s="44">
        <f t="shared" si="195"/>
        <v>0</v>
      </c>
      <c r="K853" s="44">
        <f t="shared" si="195"/>
        <v>0</v>
      </c>
      <c r="L853" s="44">
        <f t="shared" si="195"/>
        <v>0</v>
      </c>
      <c r="M853" s="44">
        <f t="shared" si="195"/>
        <v>0</v>
      </c>
      <c r="N853" s="44">
        <f t="shared" si="195"/>
        <v>50000</v>
      </c>
      <c r="O853" s="44">
        <f t="shared" si="195"/>
        <v>0</v>
      </c>
      <c r="P853" s="44">
        <f t="shared" si="195"/>
        <v>0</v>
      </c>
      <c r="Q853" s="44">
        <f t="shared" si="195"/>
        <v>50000</v>
      </c>
      <c r="R853" s="44">
        <f t="shared" si="195"/>
        <v>50000</v>
      </c>
      <c r="S853" s="44">
        <f t="shared" si="195"/>
        <v>0</v>
      </c>
      <c r="T853" s="44">
        <f t="shared" si="195"/>
        <v>0</v>
      </c>
      <c r="U853" s="44">
        <f t="shared" si="195"/>
        <v>0</v>
      </c>
      <c r="V853" s="44">
        <f t="shared" si="195"/>
        <v>0</v>
      </c>
      <c r="W853" s="44">
        <f t="shared" si="195"/>
        <v>0</v>
      </c>
      <c r="X853" s="44">
        <f t="shared" si="195"/>
        <v>0</v>
      </c>
      <c r="Y853" s="44">
        <f t="shared" si="195"/>
        <v>0</v>
      </c>
      <c r="Z853" s="44">
        <f t="shared" si="195"/>
        <v>0</v>
      </c>
      <c r="AA853" s="44">
        <f t="shared" si="195"/>
        <v>0</v>
      </c>
      <c r="AB853" s="44">
        <f t="shared" si="195"/>
        <v>0</v>
      </c>
      <c r="AC853" s="44">
        <f t="shared" si="195"/>
        <v>0</v>
      </c>
      <c r="AD853" s="44">
        <f t="shared" si="195"/>
        <v>0</v>
      </c>
      <c r="AE853" s="44">
        <f t="shared" si="195"/>
        <v>0</v>
      </c>
      <c r="AF853" s="44">
        <f t="shared" si="195"/>
        <v>0</v>
      </c>
    </row>
    <row r="854" spans="1:32" x14ac:dyDescent="0.3">
      <c r="A854" s="38" t="s">
        <v>257</v>
      </c>
      <c r="B854" s="38" t="s">
        <v>174</v>
      </c>
      <c r="C854" s="38" t="s">
        <v>258</v>
      </c>
      <c r="D854" s="39" t="s">
        <v>198</v>
      </c>
      <c r="E854" s="39" t="s">
        <v>177</v>
      </c>
      <c r="F854" s="38" t="s">
        <v>124</v>
      </c>
      <c r="G854" s="38" t="s">
        <v>130</v>
      </c>
      <c r="H854" s="44">
        <v>178080</v>
      </c>
      <c r="I854" s="44">
        <v>28080</v>
      </c>
      <c r="J854" s="44"/>
      <c r="K854" s="44"/>
      <c r="L854" s="44"/>
      <c r="M854" s="44"/>
      <c r="N854" s="44">
        <v>50000</v>
      </c>
      <c r="O854" s="44"/>
      <c r="P854" s="44"/>
      <c r="Q854" s="44">
        <v>50000</v>
      </c>
      <c r="R854" s="44">
        <v>50000</v>
      </c>
      <c r="S854" s="44"/>
      <c r="T854" s="44"/>
      <c r="U854" s="44"/>
      <c r="V854" s="44"/>
      <c r="W854" s="44"/>
      <c r="X854" s="44"/>
      <c r="Y854" s="44"/>
      <c r="Z854" s="44"/>
      <c r="AA854" s="44"/>
      <c r="AB854" s="44"/>
      <c r="AC854" s="44"/>
      <c r="AD854" s="44"/>
      <c r="AE854" s="44"/>
      <c r="AF854" s="44"/>
    </row>
    <row r="855" spans="1:32" x14ac:dyDescent="0.3">
      <c r="A855" s="38" t="s">
        <v>257</v>
      </c>
      <c r="B855" s="38" t="s">
        <v>174</v>
      </c>
      <c r="C855" s="38" t="s">
        <v>258</v>
      </c>
      <c r="D855" s="39" t="s">
        <v>198</v>
      </c>
      <c r="E855" s="39" t="s">
        <v>177</v>
      </c>
      <c r="F855" s="38" t="s">
        <v>137</v>
      </c>
      <c r="G855" s="38" t="s">
        <v>130</v>
      </c>
      <c r="H855" s="44">
        <f>SUM(I855:AF855)</f>
        <v>0</v>
      </c>
      <c r="I855" s="44"/>
      <c r="J855" s="44"/>
      <c r="K855" s="44"/>
      <c r="L855" s="44"/>
      <c r="M855" s="44"/>
      <c r="N855" s="44"/>
      <c r="O855" s="44"/>
      <c r="P855" s="44"/>
      <c r="Q855" s="44"/>
      <c r="R855" s="44"/>
      <c r="S855" s="44"/>
      <c r="T855" s="44"/>
      <c r="U855" s="44"/>
      <c r="V855" s="44"/>
      <c r="W855" s="44"/>
      <c r="X855" s="44"/>
      <c r="Y855" s="44"/>
      <c r="Z855" s="44"/>
      <c r="AA855" s="44"/>
      <c r="AB855" s="44"/>
      <c r="AC855" s="44"/>
      <c r="AD855" s="44"/>
      <c r="AE855" s="44"/>
      <c r="AF855" s="44"/>
    </row>
    <row r="856" spans="1:32" x14ac:dyDescent="0.3">
      <c r="A856" s="38" t="s">
        <v>257</v>
      </c>
      <c r="B856" s="38" t="s">
        <v>174</v>
      </c>
      <c r="C856" s="38" t="s">
        <v>258</v>
      </c>
      <c r="D856" s="39" t="s">
        <v>198</v>
      </c>
      <c r="E856" s="39" t="s">
        <v>177</v>
      </c>
      <c r="F856" s="38" t="s">
        <v>138</v>
      </c>
      <c r="G856" s="38" t="s">
        <v>130</v>
      </c>
      <c r="H856" s="44">
        <f>SUM(I856:AF856)</f>
        <v>0</v>
      </c>
      <c r="I856" s="44"/>
      <c r="J856" s="44"/>
      <c r="K856" s="44"/>
      <c r="L856" s="44"/>
      <c r="M856" s="44"/>
      <c r="N856" s="44"/>
      <c r="O856" s="44"/>
      <c r="P856" s="44"/>
      <c r="Q856" s="44"/>
      <c r="R856" s="44"/>
      <c r="S856" s="44"/>
      <c r="T856" s="44"/>
      <c r="U856" s="44"/>
      <c r="V856" s="44"/>
      <c r="W856" s="44"/>
      <c r="X856" s="44"/>
      <c r="Y856" s="44"/>
      <c r="Z856" s="44"/>
      <c r="AA856" s="44"/>
      <c r="AB856" s="44"/>
      <c r="AC856" s="44"/>
      <c r="AD856" s="44"/>
      <c r="AE856" s="44"/>
      <c r="AF856" s="44"/>
    </row>
    <row r="857" spans="1:32" x14ac:dyDescent="0.3">
      <c r="A857" s="38" t="s">
        <v>257</v>
      </c>
      <c r="B857" s="38" t="s">
        <v>174</v>
      </c>
      <c r="C857" s="38" t="s">
        <v>258</v>
      </c>
      <c r="D857" s="39" t="s">
        <v>198</v>
      </c>
      <c r="E857" s="39" t="s">
        <v>177</v>
      </c>
      <c r="F857" s="38" t="s">
        <v>139</v>
      </c>
      <c r="G857" s="38" t="s">
        <v>130</v>
      </c>
      <c r="H857" s="44">
        <v>178080</v>
      </c>
      <c r="I857" s="44">
        <v>28080</v>
      </c>
      <c r="J857" s="44"/>
      <c r="K857" s="44"/>
      <c r="L857" s="44"/>
      <c r="M857" s="44"/>
      <c r="N857" s="44">
        <v>50000</v>
      </c>
      <c r="O857" s="44"/>
      <c r="P857" s="44"/>
      <c r="Q857" s="44">
        <v>50000</v>
      </c>
      <c r="R857" s="44">
        <v>50000</v>
      </c>
      <c r="S857" s="44"/>
      <c r="T857" s="44"/>
      <c r="U857" s="44"/>
      <c r="V857" s="44"/>
      <c r="W857" s="44"/>
      <c r="X857" s="44"/>
      <c r="Y857" s="44"/>
      <c r="Z857" s="44"/>
      <c r="AA857" s="44"/>
      <c r="AB857" s="44"/>
      <c r="AC857" s="44"/>
      <c r="AD857" s="44"/>
      <c r="AE857" s="44"/>
      <c r="AF857" s="44"/>
    </row>
    <row r="858" spans="1:32" x14ac:dyDescent="0.3">
      <c r="A858" s="38" t="s">
        <v>257</v>
      </c>
      <c r="B858" s="38" t="s">
        <v>174</v>
      </c>
      <c r="C858" s="38" t="s">
        <v>258</v>
      </c>
      <c r="D858" s="39" t="s">
        <v>198</v>
      </c>
      <c r="E858" s="39" t="s">
        <v>177</v>
      </c>
      <c r="F858" s="38" t="s">
        <v>140</v>
      </c>
      <c r="G858" s="38" t="s">
        <v>130</v>
      </c>
      <c r="H858" s="44"/>
      <c r="I858" s="44">
        <f>I853-(I848+I847)+(I852+I851+I850+I849)</f>
        <v>208452</v>
      </c>
      <c r="J858" s="44">
        <f t="shared" ref="J858:AF858" si="196">I858+J853-J848</f>
        <v>208097</v>
      </c>
      <c r="K858" s="44">
        <f t="shared" si="196"/>
        <v>207748</v>
      </c>
      <c r="L858" s="44">
        <f t="shared" si="196"/>
        <v>207394</v>
      </c>
      <c r="M858" s="44">
        <f t="shared" si="196"/>
        <v>207291</v>
      </c>
      <c r="N858" s="44">
        <f t="shared" si="196"/>
        <v>257190</v>
      </c>
      <c r="O858" s="44">
        <f t="shared" si="196"/>
        <v>257099</v>
      </c>
      <c r="P858" s="44">
        <f t="shared" si="196"/>
        <v>257008</v>
      </c>
      <c r="Q858" s="44">
        <f t="shared" si="196"/>
        <v>305228</v>
      </c>
      <c r="R858" s="44">
        <f t="shared" si="196"/>
        <v>355097</v>
      </c>
      <c r="S858" s="44">
        <f t="shared" si="196"/>
        <v>354986</v>
      </c>
      <c r="T858" s="44">
        <f t="shared" si="196"/>
        <v>354875</v>
      </c>
      <c r="U858" s="44">
        <f t="shared" si="196"/>
        <v>354710</v>
      </c>
      <c r="V858" s="44">
        <f t="shared" si="196"/>
        <v>354583</v>
      </c>
      <c r="W858" s="44">
        <f t="shared" si="196"/>
        <v>354406</v>
      </c>
      <c r="X858" s="44">
        <f t="shared" si="196"/>
        <v>353979</v>
      </c>
      <c r="Y858" s="44">
        <f t="shared" si="196"/>
        <v>353853</v>
      </c>
      <c r="Z858" s="44">
        <f t="shared" si="196"/>
        <v>353737</v>
      </c>
      <c r="AA858" s="44">
        <f t="shared" si="196"/>
        <v>353617</v>
      </c>
      <c r="AB858" s="44">
        <f t="shared" si="196"/>
        <v>353497</v>
      </c>
      <c r="AC858" s="44">
        <f t="shared" si="196"/>
        <v>353377</v>
      </c>
      <c r="AD858" s="44">
        <f t="shared" si="196"/>
        <v>353264</v>
      </c>
      <c r="AE858" s="44">
        <f t="shared" si="196"/>
        <v>353152</v>
      </c>
      <c r="AF858" s="44">
        <f t="shared" si="196"/>
        <v>353040</v>
      </c>
    </row>
    <row r="859" spans="1:32" ht="15" thickBot="1" x14ac:dyDescent="0.35">
      <c r="A859" s="40" t="s">
        <v>257</v>
      </c>
      <c r="B859" s="40" t="s">
        <v>174</v>
      </c>
      <c r="C859" s="40" t="s">
        <v>258</v>
      </c>
      <c r="D859" s="41" t="s">
        <v>198</v>
      </c>
      <c r="E859" s="41" t="s">
        <v>177</v>
      </c>
      <c r="F859" s="40" t="s">
        <v>141</v>
      </c>
      <c r="G859" s="40" t="s">
        <v>130</v>
      </c>
      <c r="H859" s="45"/>
      <c r="I859" s="45">
        <f>I853-I857</f>
        <v>0</v>
      </c>
      <c r="J859" s="45">
        <f t="shared" ref="J859:AF859" si="197">I859+J853-J857</f>
        <v>0</v>
      </c>
      <c r="K859" s="45">
        <f t="shared" si="197"/>
        <v>0</v>
      </c>
      <c r="L859" s="45">
        <f t="shared" si="197"/>
        <v>0</v>
      </c>
      <c r="M859" s="45">
        <f t="shared" si="197"/>
        <v>0</v>
      </c>
      <c r="N859" s="45">
        <f t="shared" si="197"/>
        <v>0</v>
      </c>
      <c r="O859" s="45">
        <f t="shared" si="197"/>
        <v>0</v>
      </c>
      <c r="P859" s="45">
        <f t="shared" si="197"/>
        <v>0</v>
      </c>
      <c r="Q859" s="45">
        <f t="shared" si="197"/>
        <v>0</v>
      </c>
      <c r="R859" s="45">
        <f t="shared" si="197"/>
        <v>0</v>
      </c>
      <c r="S859" s="45">
        <f t="shared" si="197"/>
        <v>0</v>
      </c>
      <c r="T859" s="45">
        <f t="shared" si="197"/>
        <v>0</v>
      </c>
      <c r="U859" s="45">
        <f t="shared" si="197"/>
        <v>0</v>
      </c>
      <c r="V859" s="45">
        <f t="shared" si="197"/>
        <v>0</v>
      </c>
      <c r="W859" s="45">
        <f t="shared" si="197"/>
        <v>0</v>
      </c>
      <c r="X859" s="45">
        <f t="shared" si="197"/>
        <v>0</v>
      </c>
      <c r="Y859" s="45">
        <f t="shared" si="197"/>
        <v>0</v>
      </c>
      <c r="Z859" s="45">
        <f t="shared" si="197"/>
        <v>0</v>
      </c>
      <c r="AA859" s="45">
        <f t="shared" si="197"/>
        <v>0</v>
      </c>
      <c r="AB859" s="45">
        <f t="shared" si="197"/>
        <v>0</v>
      </c>
      <c r="AC859" s="45">
        <f t="shared" si="197"/>
        <v>0</v>
      </c>
      <c r="AD859" s="45">
        <f t="shared" si="197"/>
        <v>0</v>
      </c>
      <c r="AE859" s="45">
        <f t="shared" si="197"/>
        <v>0</v>
      </c>
      <c r="AF859" s="45">
        <f t="shared" si="197"/>
        <v>0</v>
      </c>
    </row>
    <row r="860" spans="1:32" x14ac:dyDescent="0.3">
      <c r="A860" s="38" t="s">
        <v>259</v>
      </c>
      <c r="B860" s="38" t="s">
        <v>174</v>
      </c>
      <c r="C860" s="38" t="s">
        <v>258</v>
      </c>
      <c r="D860" s="39" t="s">
        <v>183</v>
      </c>
      <c r="E860" s="39" t="s">
        <v>195</v>
      </c>
      <c r="F860" s="38" t="s">
        <v>129</v>
      </c>
      <c r="G860" s="38" t="s">
        <v>130</v>
      </c>
      <c r="H860" s="44">
        <v>8578</v>
      </c>
      <c r="I860" s="44">
        <v>8578</v>
      </c>
      <c r="J860" s="44"/>
      <c r="K860" s="44"/>
      <c r="L860" s="44"/>
      <c r="M860" s="44"/>
      <c r="N860" s="44"/>
      <c r="O860" s="44"/>
      <c r="P860" s="44"/>
      <c r="Q860" s="44"/>
      <c r="R860" s="44"/>
      <c r="S860" s="44"/>
      <c r="T860" s="44"/>
      <c r="U860" s="44"/>
      <c r="V860" s="44"/>
      <c r="W860" s="44"/>
      <c r="X860" s="44"/>
      <c r="Y860" s="44"/>
      <c r="Z860" s="44"/>
      <c r="AA860" s="44"/>
      <c r="AB860" s="44"/>
      <c r="AC860" s="44"/>
      <c r="AD860" s="44"/>
      <c r="AE860" s="44"/>
      <c r="AF860" s="44"/>
    </row>
    <row r="861" spans="1:32" x14ac:dyDescent="0.3">
      <c r="A861" s="38" t="s">
        <v>259</v>
      </c>
      <c r="B861" s="38" t="s">
        <v>174</v>
      </c>
      <c r="C861" s="38" t="s">
        <v>258</v>
      </c>
      <c r="D861" s="39" t="s">
        <v>183</v>
      </c>
      <c r="E861" s="39" t="s">
        <v>195</v>
      </c>
      <c r="F861" s="38" t="s">
        <v>131</v>
      </c>
      <c r="G861" s="38" t="s">
        <v>130</v>
      </c>
      <c r="H861" s="44">
        <v>58310</v>
      </c>
      <c r="I861" s="44">
        <v>4804</v>
      </c>
      <c r="J861" s="44">
        <v>5942</v>
      </c>
      <c r="K861" s="44">
        <v>4019</v>
      </c>
      <c r="L861" s="44">
        <v>3261</v>
      </c>
      <c r="M861" s="44">
        <v>2993</v>
      </c>
      <c r="N861" s="44">
        <v>3834</v>
      </c>
      <c r="O861" s="44">
        <v>2932</v>
      </c>
      <c r="P861" s="44">
        <v>2931</v>
      </c>
      <c r="Q861" s="44">
        <v>2933</v>
      </c>
      <c r="R861" s="44">
        <v>3506</v>
      </c>
      <c r="S861" s="44">
        <v>2613</v>
      </c>
      <c r="T861" s="44">
        <v>2808</v>
      </c>
      <c r="U861" s="44">
        <v>2417</v>
      </c>
      <c r="V861" s="44">
        <v>1427</v>
      </c>
      <c r="W861" s="44">
        <v>2309</v>
      </c>
      <c r="X861" s="44">
        <v>1409</v>
      </c>
      <c r="Y861" s="44">
        <v>1409</v>
      </c>
      <c r="Z861" s="44">
        <v>1397</v>
      </c>
      <c r="AA861" s="44">
        <v>2260</v>
      </c>
      <c r="AB861" s="44">
        <v>1359</v>
      </c>
      <c r="AC861" s="44">
        <v>1359</v>
      </c>
      <c r="AD861" s="44">
        <v>388</v>
      </c>
      <c r="AE861" s="44">
        <v>0</v>
      </c>
      <c r="AF861" s="44">
        <v>0</v>
      </c>
    </row>
    <row r="862" spans="1:32" x14ac:dyDescent="0.3">
      <c r="A862" s="38" t="s">
        <v>259</v>
      </c>
      <c r="B862" s="38" t="s">
        <v>174</v>
      </c>
      <c r="C862" s="38" t="s">
        <v>258</v>
      </c>
      <c r="D862" s="39" t="s">
        <v>183</v>
      </c>
      <c r="E862" s="39" t="s">
        <v>195</v>
      </c>
      <c r="F862" s="38" t="s">
        <v>132</v>
      </c>
      <c r="G862" s="38" t="s">
        <v>130</v>
      </c>
      <c r="H862" s="44">
        <v>4656</v>
      </c>
      <c r="I862" s="44">
        <v>4656</v>
      </c>
      <c r="J862" s="44"/>
      <c r="K862" s="44"/>
      <c r="L862" s="44"/>
      <c r="M862" s="44"/>
      <c r="N862" s="44"/>
      <c r="O862" s="44"/>
      <c r="P862" s="44"/>
      <c r="Q862" s="44"/>
      <c r="R862" s="44"/>
      <c r="S862" s="44"/>
      <c r="T862" s="44"/>
      <c r="U862" s="44"/>
      <c r="V862" s="44"/>
      <c r="W862" s="44"/>
      <c r="X862" s="44"/>
      <c r="Y862" s="44"/>
      <c r="Z862" s="44"/>
      <c r="AA862" s="44"/>
      <c r="AB862" s="44"/>
      <c r="AC862" s="44"/>
      <c r="AD862" s="44"/>
      <c r="AE862" s="44"/>
      <c r="AF862" s="44"/>
    </row>
    <row r="863" spans="1:32" x14ac:dyDescent="0.3">
      <c r="A863" s="38" t="s">
        <v>259</v>
      </c>
      <c r="B863" s="38" t="s">
        <v>174</v>
      </c>
      <c r="C863" s="38" t="s">
        <v>258</v>
      </c>
      <c r="D863" s="39" t="s">
        <v>183</v>
      </c>
      <c r="E863" s="39" t="s">
        <v>195</v>
      </c>
      <c r="F863" s="38" t="s">
        <v>133</v>
      </c>
      <c r="G863" s="38" t="s">
        <v>130</v>
      </c>
      <c r="H863" s="44">
        <v>0</v>
      </c>
      <c r="I863" s="44">
        <v>0</v>
      </c>
      <c r="J863" s="44"/>
      <c r="K863" s="44"/>
      <c r="L863" s="44"/>
      <c r="M863" s="44"/>
      <c r="N863" s="44"/>
      <c r="O863" s="44"/>
      <c r="P863" s="44"/>
      <c r="Q863" s="44"/>
      <c r="R863" s="44"/>
      <c r="S863" s="44"/>
      <c r="T863" s="44"/>
      <c r="U863" s="44"/>
      <c r="V863" s="44"/>
      <c r="W863" s="44"/>
      <c r="X863" s="44"/>
      <c r="Y863" s="44"/>
      <c r="Z863" s="44"/>
      <c r="AA863" s="44"/>
      <c r="AB863" s="44"/>
      <c r="AC863" s="44"/>
      <c r="AD863" s="44"/>
      <c r="AE863" s="44"/>
      <c r="AF863" s="44"/>
    </row>
    <row r="864" spans="1:32" x14ac:dyDescent="0.3">
      <c r="A864" s="38" t="s">
        <v>259</v>
      </c>
      <c r="B864" s="38" t="s">
        <v>174</v>
      </c>
      <c r="C864" s="38" t="s">
        <v>258</v>
      </c>
      <c r="D864" s="39" t="s">
        <v>183</v>
      </c>
      <c r="E864" s="39" t="s">
        <v>195</v>
      </c>
      <c r="F864" s="38" t="s">
        <v>134</v>
      </c>
      <c r="G864" s="38" t="s">
        <v>130</v>
      </c>
      <c r="H864" s="44">
        <v>1110</v>
      </c>
      <c r="I864" s="44">
        <v>1110</v>
      </c>
      <c r="J864" s="44"/>
      <c r="K864" s="44"/>
      <c r="L864" s="44"/>
      <c r="M864" s="44"/>
      <c r="N864" s="44"/>
      <c r="O864" s="44"/>
      <c r="P864" s="44"/>
      <c r="Q864" s="44"/>
      <c r="R864" s="44"/>
      <c r="S864" s="44"/>
      <c r="T864" s="44"/>
      <c r="U864" s="44"/>
      <c r="V864" s="44"/>
      <c r="W864" s="44"/>
      <c r="X864" s="44"/>
      <c r="Y864" s="44"/>
      <c r="Z864" s="44"/>
      <c r="AA864" s="44"/>
      <c r="AB864" s="44"/>
      <c r="AC864" s="44"/>
      <c r="AD864" s="44"/>
      <c r="AE864" s="44"/>
      <c r="AF864" s="44"/>
    </row>
    <row r="865" spans="1:32" x14ac:dyDescent="0.3">
      <c r="A865" s="38" t="s">
        <v>259</v>
      </c>
      <c r="B865" s="38" t="s">
        <v>174</v>
      </c>
      <c r="C865" s="38" t="s">
        <v>258</v>
      </c>
      <c r="D865" s="39" t="s">
        <v>183</v>
      </c>
      <c r="E865" s="39" t="s">
        <v>195</v>
      </c>
      <c r="F865" s="38" t="s">
        <v>135</v>
      </c>
      <c r="G865" s="38" t="s">
        <v>130</v>
      </c>
      <c r="H865" s="44"/>
      <c r="I865" s="44"/>
      <c r="J865" s="44"/>
      <c r="K865" s="44"/>
      <c r="L865" s="44"/>
      <c r="M865" s="44"/>
      <c r="N865" s="44"/>
      <c r="O865" s="44"/>
      <c r="P865" s="44"/>
      <c r="Q865" s="44"/>
      <c r="R865" s="44"/>
      <c r="S865" s="44"/>
      <c r="T865" s="44"/>
      <c r="U865" s="44"/>
      <c r="V865" s="44"/>
      <c r="W865" s="44"/>
      <c r="X865" s="44"/>
      <c r="Y865" s="44"/>
      <c r="Z865" s="44"/>
      <c r="AA865" s="44"/>
      <c r="AB865" s="44"/>
      <c r="AC865" s="44"/>
      <c r="AD865" s="44"/>
      <c r="AE865" s="44"/>
      <c r="AF865" s="44"/>
    </row>
    <row r="866" spans="1:32" x14ac:dyDescent="0.3">
      <c r="A866" s="38" t="s">
        <v>259</v>
      </c>
      <c r="B866" s="38" t="s">
        <v>174</v>
      </c>
      <c r="C866" s="38" t="s">
        <v>258</v>
      </c>
      <c r="D866" s="39" t="s">
        <v>183</v>
      </c>
      <c r="E866" s="39" t="s">
        <v>195</v>
      </c>
      <c r="F866" s="38" t="s">
        <v>136</v>
      </c>
      <c r="G866" s="38" t="s">
        <v>130</v>
      </c>
      <c r="H866" s="44">
        <f>SUM(I866:AF866)</f>
        <v>36000</v>
      </c>
      <c r="I866" s="44">
        <f t="shared" ref="I866:AF866" si="198">IF(AND(ISBLANK(I869) = TRUE,ISBLANK(I868) = TRUE),I867,I868+I869)</f>
        <v>0</v>
      </c>
      <c r="J866" s="44">
        <f t="shared" si="198"/>
        <v>0</v>
      </c>
      <c r="K866" s="44">
        <f t="shared" si="198"/>
        <v>0</v>
      </c>
      <c r="L866" s="44">
        <f t="shared" si="198"/>
        <v>14400</v>
      </c>
      <c r="M866" s="44">
        <f t="shared" si="198"/>
        <v>0</v>
      </c>
      <c r="N866" s="44">
        <f t="shared" si="198"/>
        <v>14400</v>
      </c>
      <c r="O866" s="44">
        <f t="shared" si="198"/>
        <v>0</v>
      </c>
      <c r="P866" s="44">
        <f t="shared" si="198"/>
        <v>0</v>
      </c>
      <c r="Q866" s="44">
        <f t="shared" si="198"/>
        <v>0</v>
      </c>
      <c r="R866" s="44">
        <f t="shared" si="198"/>
        <v>0</v>
      </c>
      <c r="S866" s="44">
        <f t="shared" si="198"/>
        <v>0</v>
      </c>
      <c r="T866" s="44">
        <f t="shared" si="198"/>
        <v>0</v>
      </c>
      <c r="U866" s="44">
        <f t="shared" si="198"/>
        <v>7200</v>
      </c>
      <c r="V866" s="44">
        <f t="shared" si="198"/>
        <v>0</v>
      </c>
      <c r="W866" s="44">
        <f t="shared" si="198"/>
        <v>0</v>
      </c>
      <c r="X866" s="44">
        <f t="shared" si="198"/>
        <v>0</v>
      </c>
      <c r="Y866" s="44">
        <f t="shared" si="198"/>
        <v>0</v>
      </c>
      <c r="Z866" s="44">
        <f t="shared" si="198"/>
        <v>0</v>
      </c>
      <c r="AA866" s="44">
        <f t="shared" si="198"/>
        <v>0</v>
      </c>
      <c r="AB866" s="44">
        <f t="shared" si="198"/>
        <v>0</v>
      </c>
      <c r="AC866" s="44">
        <f t="shared" si="198"/>
        <v>0</v>
      </c>
      <c r="AD866" s="44">
        <f t="shared" si="198"/>
        <v>0</v>
      </c>
      <c r="AE866" s="44">
        <f t="shared" si="198"/>
        <v>0</v>
      </c>
      <c r="AF866" s="44">
        <f t="shared" si="198"/>
        <v>0</v>
      </c>
    </row>
    <row r="867" spans="1:32" x14ac:dyDescent="0.3">
      <c r="A867" s="38" t="s">
        <v>259</v>
      </c>
      <c r="B867" s="38" t="s">
        <v>174</v>
      </c>
      <c r="C867" s="38" t="s">
        <v>258</v>
      </c>
      <c r="D867" s="39" t="s">
        <v>183</v>
      </c>
      <c r="E867" s="39" t="s">
        <v>195</v>
      </c>
      <c r="F867" s="38" t="s">
        <v>124</v>
      </c>
      <c r="G867" s="38" t="s">
        <v>130</v>
      </c>
      <c r="H867" s="44">
        <v>36000</v>
      </c>
      <c r="I867" s="44"/>
      <c r="J867" s="44"/>
      <c r="K867" s="44"/>
      <c r="L867" s="44">
        <v>14400</v>
      </c>
      <c r="M867" s="44"/>
      <c r="N867" s="44">
        <v>14400</v>
      </c>
      <c r="O867" s="44"/>
      <c r="P867" s="44"/>
      <c r="Q867" s="44"/>
      <c r="R867" s="44"/>
      <c r="S867" s="44"/>
      <c r="T867" s="44"/>
      <c r="U867" s="44">
        <v>7200</v>
      </c>
      <c r="V867" s="44"/>
      <c r="W867" s="44"/>
      <c r="X867" s="44"/>
      <c r="Y867" s="44"/>
      <c r="Z867" s="44"/>
      <c r="AA867" s="44"/>
      <c r="AB867" s="44"/>
      <c r="AC867" s="44"/>
      <c r="AD867" s="44"/>
      <c r="AE867" s="44"/>
      <c r="AF867" s="44"/>
    </row>
    <row r="868" spans="1:32" x14ac:dyDescent="0.3">
      <c r="A868" s="38" t="s">
        <v>259</v>
      </c>
      <c r="B868" s="38" t="s">
        <v>174</v>
      </c>
      <c r="C868" s="38" t="s">
        <v>258</v>
      </c>
      <c r="D868" s="39" t="s">
        <v>183</v>
      </c>
      <c r="E868" s="39" t="s">
        <v>195</v>
      </c>
      <c r="F868" s="38" t="s">
        <v>137</v>
      </c>
      <c r="G868" s="38" t="s">
        <v>130</v>
      </c>
      <c r="H868" s="44">
        <f>SUM(I868:AF868)</f>
        <v>0</v>
      </c>
      <c r="I868" s="44"/>
      <c r="J868" s="44"/>
      <c r="K868" s="44"/>
      <c r="L868" s="44"/>
      <c r="M868" s="44"/>
      <c r="N868" s="44"/>
      <c r="O868" s="44"/>
      <c r="P868" s="44"/>
      <c r="Q868" s="44"/>
      <c r="R868" s="44"/>
      <c r="S868" s="44"/>
      <c r="T868" s="44"/>
      <c r="U868" s="44"/>
      <c r="V868" s="44"/>
      <c r="W868" s="44"/>
      <c r="X868" s="44"/>
      <c r="Y868" s="44"/>
      <c r="Z868" s="44"/>
      <c r="AA868" s="44"/>
      <c r="AB868" s="44"/>
      <c r="AC868" s="44"/>
      <c r="AD868" s="44"/>
      <c r="AE868" s="44"/>
      <c r="AF868" s="44"/>
    </row>
    <row r="869" spans="1:32" x14ac:dyDescent="0.3">
      <c r="A869" s="38" t="s">
        <v>259</v>
      </c>
      <c r="B869" s="38" t="s">
        <v>174</v>
      </c>
      <c r="C869" s="38" t="s">
        <v>258</v>
      </c>
      <c r="D869" s="39" t="s">
        <v>183</v>
      </c>
      <c r="E869" s="39" t="s">
        <v>195</v>
      </c>
      <c r="F869" s="38" t="s">
        <v>138</v>
      </c>
      <c r="G869" s="38" t="s">
        <v>130</v>
      </c>
      <c r="H869" s="44">
        <f>SUM(I869:AF869)</f>
        <v>0</v>
      </c>
      <c r="I869" s="44"/>
      <c r="J869" s="44"/>
      <c r="K869" s="44"/>
      <c r="L869" s="44"/>
      <c r="M869" s="44"/>
      <c r="N869" s="44"/>
      <c r="O869" s="44"/>
      <c r="P869" s="44"/>
      <c r="Q869" s="44"/>
      <c r="R869" s="44"/>
      <c r="S869" s="44"/>
      <c r="T869" s="44"/>
      <c r="U869" s="44"/>
      <c r="V869" s="44"/>
      <c r="W869" s="44"/>
      <c r="X869" s="44"/>
      <c r="Y869" s="44"/>
      <c r="Z869" s="44"/>
      <c r="AA869" s="44"/>
      <c r="AB869" s="44"/>
      <c r="AC869" s="44"/>
      <c r="AD869" s="44"/>
      <c r="AE869" s="44"/>
      <c r="AF869" s="44"/>
    </row>
    <row r="870" spans="1:32" x14ac:dyDescent="0.3">
      <c r="A870" s="38" t="s">
        <v>259</v>
      </c>
      <c r="B870" s="38" t="s">
        <v>174</v>
      </c>
      <c r="C870" s="38" t="s">
        <v>258</v>
      </c>
      <c r="D870" s="39" t="s">
        <v>183</v>
      </c>
      <c r="E870" s="39" t="s">
        <v>195</v>
      </c>
      <c r="F870" s="38" t="s">
        <v>139</v>
      </c>
      <c r="G870" s="38" t="s">
        <v>130</v>
      </c>
      <c r="H870" s="44">
        <v>36000</v>
      </c>
      <c r="I870" s="44"/>
      <c r="J870" s="44"/>
      <c r="K870" s="44"/>
      <c r="L870" s="44">
        <v>14400</v>
      </c>
      <c r="M870" s="44"/>
      <c r="N870" s="44">
        <v>14400</v>
      </c>
      <c r="O870" s="44"/>
      <c r="P870" s="44"/>
      <c r="Q870" s="44"/>
      <c r="R870" s="44"/>
      <c r="S870" s="44"/>
      <c r="T870" s="44"/>
      <c r="U870" s="44">
        <v>7200</v>
      </c>
      <c r="V870" s="44"/>
      <c r="W870" s="44"/>
      <c r="X870" s="44"/>
      <c r="Y870" s="44"/>
      <c r="Z870" s="44"/>
      <c r="AA870" s="44"/>
      <c r="AB870" s="44"/>
      <c r="AC870" s="44"/>
      <c r="AD870" s="44"/>
      <c r="AE870" s="44"/>
      <c r="AF870" s="44"/>
    </row>
    <row r="871" spans="1:32" x14ac:dyDescent="0.3">
      <c r="A871" s="38" t="s">
        <v>259</v>
      </c>
      <c r="B871" s="38" t="s">
        <v>174</v>
      </c>
      <c r="C871" s="38" t="s">
        <v>258</v>
      </c>
      <c r="D871" s="39" t="s">
        <v>183</v>
      </c>
      <c r="E871" s="39" t="s">
        <v>195</v>
      </c>
      <c r="F871" s="38" t="s">
        <v>140</v>
      </c>
      <c r="G871" s="38" t="s">
        <v>130</v>
      </c>
      <c r="H871" s="44"/>
      <c r="I871" s="44">
        <f>I866-(I861+I860)+(I865+I864+I863+I862)</f>
        <v>-7616</v>
      </c>
      <c r="J871" s="44">
        <f t="shared" ref="J871:AF871" si="199">I871+J866-J861</f>
        <v>-13558</v>
      </c>
      <c r="K871" s="44">
        <f t="shared" si="199"/>
        <v>-17577</v>
      </c>
      <c r="L871" s="44">
        <f t="shared" si="199"/>
        <v>-6438</v>
      </c>
      <c r="M871" s="44">
        <f t="shared" si="199"/>
        <v>-9431</v>
      </c>
      <c r="N871" s="44">
        <f t="shared" si="199"/>
        <v>1135</v>
      </c>
      <c r="O871" s="44">
        <f t="shared" si="199"/>
        <v>-1797</v>
      </c>
      <c r="P871" s="44">
        <f t="shared" si="199"/>
        <v>-4728</v>
      </c>
      <c r="Q871" s="44">
        <f t="shared" si="199"/>
        <v>-7661</v>
      </c>
      <c r="R871" s="44">
        <f t="shared" si="199"/>
        <v>-11167</v>
      </c>
      <c r="S871" s="44">
        <f t="shared" si="199"/>
        <v>-13780</v>
      </c>
      <c r="T871" s="44">
        <f t="shared" si="199"/>
        <v>-16588</v>
      </c>
      <c r="U871" s="44">
        <f t="shared" si="199"/>
        <v>-11805</v>
      </c>
      <c r="V871" s="44">
        <f t="shared" si="199"/>
        <v>-13232</v>
      </c>
      <c r="W871" s="44">
        <f t="shared" si="199"/>
        <v>-15541</v>
      </c>
      <c r="X871" s="44">
        <f t="shared" si="199"/>
        <v>-16950</v>
      </c>
      <c r="Y871" s="44">
        <f t="shared" si="199"/>
        <v>-18359</v>
      </c>
      <c r="Z871" s="44">
        <f t="shared" si="199"/>
        <v>-19756</v>
      </c>
      <c r="AA871" s="44">
        <f t="shared" si="199"/>
        <v>-22016</v>
      </c>
      <c r="AB871" s="44">
        <f t="shared" si="199"/>
        <v>-23375</v>
      </c>
      <c r="AC871" s="44">
        <f t="shared" si="199"/>
        <v>-24734</v>
      </c>
      <c r="AD871" s="44">
        <f t="shared" si="199"/>
        <v>-25122</v>
      </c>
      <c r="AE871" s="44">
        <f t="shared" si="199"/>
        <v>-25122</v>
      </c>
      <c r="AF871" s="44">
        <f t="shared" si="199"/>
        <v>-25122</v>
      </c>
    </row>
    <row r="872" spans="1:32" ht="15" thickBot="1" x14ac:dyDescent="0.35">
      <c r="A872" s="40" t="s">
        <v>259</v>
      </c>
      <c r="B872" s="40" t="s">
        <v>174</v>
      </c>
      <c r="C872" s="40" t="s">
        <v>258</v>
      </c>
      <c r="D872" s="41" t="s">
        <v>183</v>
      </c>
      <c r="E872" s="41" t="s">
        <v>195</v>
      </c>
      <c r="F872" s="40" t="s">
        <v>141</v>
      </c>
      <c r="G872" s="40" t="s">
        <v>130</v>
      </c>
      <c r="H872" s="45"/>
      <c r="I872" s="45">
        <f>I866-I870</f>
        <v>0</v>
      </c>
      <c r="J872" s="45">
        <f t="shared" ref="J872:AF872" si="200">I872+J866-J870</f>
        <v>0</v>
      </c>
      <c r="K872" s="45">
        <f t="shared" si="200"/>
        <v>0</v>
      </c>
      <c r="L872" s="45">
        <f t="shared" si="200"/>
        <v>0</v>
      </c>
      <c r="M872" s="45">
        <f t="shared" si="200"/>
        <v>0</v>
      </c>
      <c r="N872" s="45">
        <f t="shared" si="200"/>
        <v>0</v>
      </c>
      <c r="O872" s="45">
        <f t="shared" si="200"/>
        <v>0</v>
      </c>
      <c r="P872" s="45">
        <f t="shared" si="200"/>
        <v>0</v>
      </c>
      <c r="Q872" s="45">
        <f t="shared" si="200"/>
        <v>0</v>
      </c>
      <c r="R872" s="45">
        <f t="shared" si="200"/>
        <v>0</v>
      </c>
      <c r="S872" s="45">
        <f t="shared" si="200"/>
        <v>0</v>
      </c>
      <c r="T872" s="45">
        <f t="shared" si="200"/>
        <v>0</v>
      </c>
      <c r="U872" s="45">
        <f t="shared" si="200"/>
        <v>0</v>
      </c>
      <c r="V872" s="45">
        <f t="shared" si="200"/>
        <v>0</v>
      </c>
      <c r="W872" s="45">
        <f t="shared" si="200"/>
        <v>0</v>
      </c>
      <c r="X872" s="45">
        <f t="shared" si="200"/>
        <v>0</v>
      </c>
      <c r="Y872" s="45">
        <f t="shared" si="200"/>
        <v>0</v>
      </c>
      <c r="Z872" s="45">
        <f t="shared" si="200"/>
        <v>0</v>
      </c>
      <c r="AA872" s="45">
        <f t="shared" si="200"/>
        <v>0</v>
      </c>
      <c r="AB872" s="45">
        <f t="shared" si="200"/>
        <v>0</v>
      </c>
      <c r="AC872" s="45">
        <f t="shared" si="200"/>
        <v>0</v>
      </c>
      <c r="AD872" s="45">
        <f t="shared" si="200"/>
        <v>0</v>
      </c>
      <c r="AE872" s="45">
        <f t="shared" si="200"/>
        <v>0</v>
      </c>
      <c r="AF872" s="45">
        <f t="shared" si="200"/>
        <v>0</v>
      </c>
    </row>
    <row r="873" spans="1:32" x14ac:dyDescent="0.3">
      <c r="A873" s="38" t="s">
        <v>259</v>
      </c>
      <c r="B873" s="38" t="s">
        <v>174</v>
      </c>
      <c r="C873" s="38" t="s">
        <v>258</v>
      </c>
      <c r="D873" s="39" t="s">
        <v>183</v>
      </c>
      <c r="E873" s="39" t="s">
        <v>177</v>
      </c>
      <c r="F873" s="38" t="s">
        <v>129</v>
      </c>
      <c r="G873" s="38" t="s">
        <v>130</v>
      </c>
      <c r="H873" s="44">
        <v>86193.02</v>
      </c>
      <c r="I873" s="44">
        <v>86193.02</v>
      </c>
      <c r="J873" s="44"/>
      <c r="K873" s="44"/>
      <c r="L873" s="44"/>
      <c r="M873" s="44"/>
      <c r="N873" s="44"/>
      <c r="O873" s="44"/>
      <c r="P873" s="44"/>
      <c r="Q873" s="44"/>
      <c r="R873" s="44"/>
      <c r="S873" s="44"/>
      <c r="T873" s="44"/>
      <c r="U873" s="44"/>
      <c r="V873" s="44"/>
      <c r="W873" s="44"/>
      <c r="X873" s="44"/>
      <c r="Y873" s="44"/>
      <c r="Z873" s="44"/>
      <c r="AA873" s="44"/>
      <c r="AB873" s="44"/>
      <c r="AC873" s="44"/>
      <c r="AD873" s="44"/>
      <c r="AE873" s="44"/>
      <c r="AF873" s="44"/>
    </row>
    <row r="874" spans="1:32" x14ac:dyDescent="0.3">
      <c r="A874" s="38" t="s">
        <v>259</v>
      </c>
      <c r="B874" s="38" t="s">
        <v>174</v>
      </c>
      <c r="C874" s="38" t="s">
        <v>258</v>
      </c>
      <c r="D874" s="39" t="s">
        <v>183</v>
      </c>
      <c r="E874" s="39" t="s">
        <v>177</v>
      </c>
      <c r="F874" s="38" t="s">
        <v>131</v>
      </c>
      <c r="G874" s="38" t="s">
        <v>130</v>
      </c>
      <c r="H874" s="44">
        <v>1628342.36</v>
      </c>
      <c r="I874" s="44">
        <v>91871.7</v>
      </c>
      <c r="J874" s="44">
        <v>80285.600000000006</v>
      </c>
      <c r="K874" s="44">
        <v>75397.539999999994</v>
      </c>
      <c r="L874" s="44">
        <v>63412.22</v>
      </c>
      <c r="M874" s="44">
        <v>77849.960000000006</v>
      </c>
      <c r="N874" s="44">
        <v>78583.759999999995</v>
      </c>
      <c r="O874" s="44">
        <v>76934.399999999994</v>
      </c>
      <c r="P874" s="44">
        <v>77491.38</v>
      </c>
      <c r="Q874" s="44">
        <v>79105.399999999994</v>
      </c>
      <c r="R874" s="44">
        <v>80146.720000000001</v>
      </c>
      <c r="S874" s="44">
        <v>78952.36</v>
      </c>
      <c r="T874" s="44">
        <v>79031.679999999993</v>
      </c>
      <c r="U874" s="44">
        <v>75961.64</v>
      </c>
      <c r="V874" s="44">
        <v>57880.38</v>
      </c>
      <c r="W874" s="44">
        <v>57824</v>
      </c>
      <c r="X874" s="44">
        <v>57819.34</v>
      </c>
      <c r="Y874" s="44">
        <v>57820</v>
      </c>
      <c r="Z874" s="44">
        <v>58506.86</v>
      </c>
      <c r="AA874" s="44">
        <v>59445.02</v>
      </c>
      <c r="AB874" s="44">
        <v>58856.68</v>
      </c>
      <c r="AC874" s="44">
        <v>58973.68</v>
      </c>
      <c r="AD874" s="44">
        <v>50848.32</v>
      </c>
      <c r="AE874" s="44">
        <v>47668.2</v>
      </c>
      <c r="AF874" s="44">
        <v>47675.519999999997</v>
      </c>
    </row>
    <row r="875" spans="1:32" x14ac:dyDescent="0.3">
      <c r="A875" s="38" t="s">
        <v>259</v>
      </c>
      <c r="B875" s="38" t="s">
        <v>174</v>
      </c>
      <c r="C875" s="38" t="s">
        <v>258</v>
      </c>
      <c r="D875" s="39" t="s">
        <v>183</v>
      </c>
      <c r="E875" s="39" t="s">
        <v>177</v>
      </c>
      <c r="F875" s="38" t="s">
        <v>132</v>
      </c>
      <c r="G875" s="38" t="s">
        <v>130</v>
      </c>
      <c r="H875" s="44">
        <v>119568</v>
      </c>
      <c r="I875" s="44">
        <v>119568</v>
      </c>
      <c r="J875" s="44"/>
      <c r="K875" s="44"/>
      <c r="L875" s="44"/>
      <c r="M875" s="44"/>
      <c r="N875" s="44"/>
      <c r="O875" s="44"/>
      <c r="P875" s="44"/>
      <c r="Q875" s="44"/>
      <c r="R875" s="44"/>
      <c r="S875" s="44"/>
      <c r="T875" s="44"/>
      <c r="U875" s="44"/>
      <c r="V875" s="44"/>
      <c r="W875" s="44"/>
      <c r="X875" s="44"/>
      <c r="Y875" s="44"/>
      <c r="Z875" s="44"/>
      <c r="AA875" s="44"/>
      <c r="AB875" s="44"/>
      <c r="AC875" s="44"/>
      <c r="AD875" s="44"/>
      <c r="AE875" s="44"/>
      <c r="AF875" s="44"/>
    </row>
    <row r="876" spans="1:32" x14ac:dyDescent="0.3">
      <c r="A876" s="38" t="s">
        <v>259</v>
      </c>
      <c r="B876" s="38" t="s">
        <v>174</v>
      </c>
      <c r="C876" s="38" t="s">
        <v>258</v>
      </c>
      <c r="D876" s="39" t="s">
        <v>183</v>
      </c>
      <c r="E876" s="39" t="s">
        <v>177</v>
      </c>
      <c r="F876" s="38" t="s">
        <v>133</v>
      </c>
      <c r="G876" s="38" t="s">
        <v>130</v>
      </c>
      <c r="H876" s="44">
        <v>1488</v>
      </c>
      <c r="I876" s="44">
        <v>1488</v>
      </c>
      <c r="J876" s="44"/>
      <c r="K876" s="44"/>
      <c r="L876" s="44"/>
      <c r="M876" s="44"/>
      <c r="N876" s="44"/>
      <c r="O876" s="44"/>
      <c r="P876" s="44"/>
      <c r="Q876" s="44"/>
      <c r="R876" s="44"/>
      <c r="S876" s="44"/>
      <c r="T876" s="44"/>
      <c r="U876" s="44"/>
      <c r="V876" s="44"/>
      <c r="W876" s="44"/>
      <c r="X876" s="44"/>
      <c r="Y876" s="44"/>
      <c r="Z876" s="44"/>
      <c r="AA876" s="44"/>
      <c r="AB876" s="44"/>
      <c r="AC876" s="44"/>
      <c r="AD876" s="44"/>
      <c r="AE876" s="44"/>
      <c r="AF876" s="44"/>
    </row>
    <row r="877" spans="1:32" x14ac:dyDescent="0.3">
      <c r="A877" s="38" t="s">
        <v>259</v>
      </c>
      <c r="B877" s="38" t="s">
        <v>174</v>
      </c>
      <c r="C877" s="38" t="s">
        <v>258</v>
      </c>
      <c r="D877" s="39" t="s">
        <v>183</v>
      </c>
      <c r="E877" s="39" t="s">
        <v>177</v>
      </c>
      <c r="F877" s="38" t="s">
        <v>134</v>
      </c>
      <c r="G877" s="38" t="s">
        <v>130</v>
      </c>
      <c r="H877" s="44">
        <v>1693</v>
      </c>
      <c r="I877" s="44">
        <v>1693</v>
      </c>
      <c r="J877" s="44"/>
      <c r="K877" s="44"/>
      <c r="L877" s="44"/>
      <c r="M877" s="44"/>
      <c r="N877" s="44"/>
      <c r="O877" s="44"/>
      <c r="P877" s="44"/>
      <c r="Q877" s="44"/>
      <c r="R877" s="44"/>
      <c r="S877" s="44"/>
      <c r="T877" s="44"/>
      <c r="U877" s="44"/>
      <c r="V877" s="44"/>
      <c r="W877" s="44"/>
      <c r="X877" s="44"/>
      <c r="Y877" s="44"/>
      <c r="Z877" s="44"/>
      <c r="AA877" s="44"/>
      <c r="AB877" s="44"/>
      <c r="AC877" s="44"/>
      <c r="AD877" s="44"/>
      <c r="AE877" s="44"/>
      <c r="AF877" s="44"/>
    </row>
    <row r="878" spans="1:32" x14ac:dyDescent="0.3">
      <c r="A878" s="38" t="s">
        <v>259</v>
      </c>
      <c r="B878" s="38" t="s">
        <v>174</v>
      </c>
      <c r="C878" s="38" t="s">
        <v>258</v>
      </c>
      <c r="D878" s="39" t="s">
        <v>183</v>
      </c>
      <c r="E878" s="39" t="s">
        <v>177</v>
      </c>
      <c r="F878" s="38" t="s">
        <v>135</v>
      </c>
      <c r="G878" s="38" t="s">
        <v>130</v>
      </c>
      <c r="H878" s="44"/>
      <c r="I878" s="44"/>
      <c r="J878" s="44"/>
      <c r="K878" s="44"/>
      <c r="L878" s="44"/>
      <c r="M878" s="44"/>
      <c r="N878" s="44"/>
      <c r="O878" s="44"/>
      <c r="P878" s="44"/>
      <c r="Q878" s="44"/>
      <c r="R878" s="44"/>
      <c r="S878" s="44"/>
      <c r="T878" s="44"/>
      <c r="U878" s="44"/>
      <c r="V878" s="44"/>
      <c r="W878" s="44"/>
      <c r="X878" s="44"/>
      <c r="Y878" s="44"/>
      <c r="Z878" s="44"/>
      <c r="AA878" s="44"/>
      <c r="AB878" s="44"/>
      <c r="AC878" s="44"/>
      <c r="AD878" s="44"/>
      <c r="AE878" s="44"/>
      <c r="AF878" s="44"/>
    </row>
    <row r="879" spans="1:32" x14ac:dyDescent="0.3">
      <c r="A879" s="38" t="s">
        <v>259</v>
      </c>
      <c r="B879" s="38" t="s">
        <v>174</v>
      </c>
      <c r="C879" s="38" t="s">
        <v>258</v>
      </c>
      <c r="D879" s="39" t="s">
        <v>183</v>
      </c>
      <c r="E879" s="39" t="s">
        <v>177</v>
      </c>
      <c r="F879" s="38" t="s">
        <v>136</v>
      </c>
      <c r="G879" s="38" t="s">
        <v>130</v>
      </c>
      <c r="H879" s="44">
        <f>SUM(I879:AF879)</f>
        <v>345600</v>
      </c>
      <c r="I879" s="44">
        <f t="shared" ref="I879:AF879" si="201">IF(AND(ISBLANK(I882) = TRUE,ISBLANK(I881) = TRUE),I880,I881+I882)</f>
        <v>0</v>
      </c>
      <c r="J879" s="44">
        <f t="shared" si="201"/>
        <v>0</v>
      </c>
      <c r="K879" s="44">
        <f t="shared" si="201"/>
        <v>28800</v>
      </c>
      <c r="L879" s="44">
        <f t="shared" si="201"/>
        <v>28800</v>
      </c>
      <c r="M879" s="44">
        <f t="shared" si="201"/>
        <v>28800</v>
      </c>
      <c r="N879" s="44">
        <f t="shared" si="201"/>
        <v>28800</v>
      </c>
      <c r="O879" s="44">
        <f t="shared" si="201"/>
        <v>0</v>
      </c>
      <c r="P879" s="44">
        <f t="shared" si="201"/>
        <v>28800</v>
      </c>
      <c r="Q879" s="44">
        <f t="shared" si="201"/>
        <v>28800</v>
      </c>
      <c r="R879" s="44">
        <f t="shared" si="201"/>
        <v>57600</v>
      </c>
      <c r="S879" s="44">
        <f t="shared" si="201"/>
        <v>28800</v>
      </c>
      <c r="T879" s="44">
        <f t="shared" si="201"/>
        <v>28800</v>
      </c>
      <c r="U879" s="44">
        <f t="shared" si="201"/>
        <v>28800</v>
      </c>
      <c r="V879" s="44">
        <f t="shared" si="201"/>
        <v>28800</v>
      </c>
      <c r="W879" s="44">
        <f t="shared" si="201"/>
        <v>0</v>
      </c>
      <c r="X879" s="44">
        <f t="shared" si="201"/>
        <v>0</v>
      </c>
      <c r="Y879" s="44">
        <f t="shared" si="201"/>
        <v>0</v>
      </c>
      <c r="Z879" s="44">
        <f t="shared" si="201"/>
        <v>0</v>
      </c>
      <c r="AA879" s="44">
        <f t="shared" si="201"/>
        <v>0</v>
      </c>
      <c r="AB879" s="44">
        <f t="shared" si="201"/>
        <v>0</v>
      </c>
      <c r="AC879" s="44">
        <f t="shared" si="201"/>
        <v>0</v>
      </c>
      <c r="AD879" s="44">
        <f t="shared" si="201"/>
        <v>0</v>
      </c>
      <c r="AE879" s="44">
        <f t="shared" si="201"/>
        <v>0</v>
      </c>
      <c r="AF879" s="44">
        <f t="shared" si="201"/>
        <v>0</v>
      </c>
    </row>
    <row r="880" spans="1:32" x14ac:dyDescent="0.3">
      <c r="A880" s="38" t="s">
        <v>259</v>
      </c>
      <c r="B880" s="38" t="s">
        <v>174</v>
      </c>
      <c r="C880" s="38" t="s">
        <v>258</v>
      </c>
      <c r="D880" s="39" t="s">
        <v>183</v>
      </c>
      <c r="E880" s="39" t="s">
        <v>177</v>
      </c>
      <c r="F880" s="38" t="s">
        <v>124</v>
      </c>
      <c r="G880" s="38" t="s">
        <v>130</v>
      </c>
      <c r="H880" s="44">
        <v>345600</v>
      </c>
      <c r="I880" s="44"/>
      <c r="J880" s="44"/>
      <c r="K880" s="44">
        <v>28800</v>
      </c>
      <c r="L880" s="44">
        <v>28800</v>
      </c>
      <c r="M880" s="44">
        <v>28800</v>
      </c>
      <c r="N880" s="44">
        <v>28800</v>
      </c>
      <c r="O880" s="44"/>
      <c r="P880" s="44">
        <v>28800</v>
      </c>
      <c r="Q880" s="44">
        <v>28800</v>
      </c>
      <c r="R880" s="44">
        <v>57600</v>
      </c>
      <c r="S880" s="44">
        <v>28800</v>
      </c>
      <c r="T880" s="44">
        <v>28800</v>
      </c>
      <c r="U880" s="44">
        <v>28800</v>
      </c>
      <c r="V880" s="44">
        <v>28800</v>
      </c>
      <c r="W880" s="44"/>
      <c r="X880" s="44"/>
      <c r="Y880" s="44"/>
      <c r="Z880" s="44"/>
      <c r="AA880" s="44"/>
      <c r="AB880" s="44"/>
      <c r="AC880" s="44"/>
      <c r="AD880" s="44"/>
      <c r="AE880" s="44"/>
      <c r="AF880" s="44"/>
    </row>
    <row r="881" spans="1:32" x14ac:dyDescent="0.3">
      <c r="A881" s="38" t="s">
        <v>259</v>
      </c>
      <c r="B881" s="38" t="s">
        <v>174</v>
      </c>
      <c r="C881" s="38" t="s">
        <v>258</v>
      </c>
      <c r="D881" s="39" t="s">
        <v>183</v>
      </c>
      <c r="E881" s="39" t="s">
        <v>177</v>
      </c>
      <c r="F881" s="38" t="s">
        <v>137</v>
      </c>
      <c r="G881" s="38" t="s">
        <v>130</v>
      </c>
      <c r="H881" s="44">
        <f>SUM(I881:AF881)</f>
        <v>0</v>
      </c>
      <c r="I881" s="44"/>
      <c r="J881" s="44"/>
      <c r="K881" s="44"/>
      <c r="L881" s="44"/>
      <c r="M881" s="44"/>
      <c r="N881" s="44"/>
      <c r="O881" s="44"/>
      <c r="P881" s="44"/>
      <c r="Q881" s="44"/>
      <c r="R881" s="44"/>
      <c r="S881" s="44"/>
      <c r="T881" s="44"/>
      <c r="U881" s="44"/>
      <c r="V881" s="44"/>
      <c r="W881" s="44"/>
      <c r="X881" s="44"/>
      <c r="Y881" s="44"/>
      <c r="Z881" s="44"/>
      <c r="AA881" s="44"/>
      <c r="AB881" s="44"/>
      <c r="AC881" s="44"/>
      <c r="AD881" s="44"/>
      <c r="AE881" s="44"/>
      <c r="AF881" s="44"/>
    </row>
    <row r="882" spans="1:32" x14ac:dyDescent="0.3">
      <c r="A882" s="38" t="s">
        <v>259</v>
      </c>
      <c r="B882" s="38" t="s">
        <v>174</v>
      </c>
      <c r="C882" s="38" t="s">
        <v>258</v>
      </c>
      <c r="D882" s="39" t="s">
        <v>183</v>
      </c>
      <c r="E882" s="39" t="s">
        <v>177</v>
      </c>
      <c r="F882" s="38" t="s">
        <v>138</v>
      </c>
      <c r="G882" s="38" t="s">
        <v>130</v>
      </c>
      <c r="H882" s="44">
        <f>SUM(I882:AF882)</f>
        <v>0</v>
      </c>
      <c r="I882" s="44"/>
      <c r="J882" s="44"/>
      <c r="K882" s="44"/>
      <c r="L882" s="44"/>
      <c r="M882" s="44"/>
      <c r="N882" s="44"/>
      <c r="O882" s="44"/>
      <c r="P882" s="44"/>
      <c r="Q882" s="44"/>
      <c r="R882" s="44"/>
      <c r="S882" s="44"/>
      <c r="T882" s="44"/>
      <c r="U882" s="44"/>
      <c r="V882" s="44"/>
      <c r="W882" s="44"/>
      <c r="X882" s="44"/>
      <c r="Y882" s="44"/>
      <c r="Z882" s="44"/>
      <c r="AA882" s="44"/>
      <c r="AB882" s="44"/>
      <c r="AC882" s="44"/>
      <c r="AD882" s="44"/>
      <c r="AE882" s="44"/>
      <c r="AF882" s="44"/>
    </row>
    <row r="883" spans="1:32" x14ac:dyDescent="0.3">
      <c r="A883" s="38" t="s">
        <v>259</v>
      </c>
      <c r="B883" s="38" t="s">
        <v>174</v>
      </c>
      <c r="C883" s="38" t="s">
        <v>258</v>
      </c>
      <c r="D883" s="39" t="s">
        <v>183</v>
      </c>
      <c r="E883" s="39" t="s">
        <v>177</v>
      </c>
      <c r="F883" s="38" t="s">
        <v>139</v>
      </c>
      <c r="G883" s="38" t="s">
        <v>130</v>
      </c>
      <c r="H883" s="44">
        <v>345600</v>
      </c>
      <c r="I883" s="44"/>
      <c r="J883" s="44"/>
      <c r="K883" s="44">
        <v>28800</v>
      </c>
      <c r="L883" s="44">
        <v>28800</v>
      </c>
      <c r="M883" s="44">
        <v>28800</v>
      </c>
      <c r="N883" s="44">
        <v>28800</v>
      </c>
      <c r="O883" s="44"/>
      <c r="P883" s="44">
        <v>28800</v>
      </c>
      <c r="Q883" s="44">
        <v>28800</v>
      </c>
      <c r="R883" s="44">
        <v>57600</v>
      </c>
      <c r="S883" s="44">
        <v>28800</v>
      </c>
      <c r="T883" s="44">
        <v>28800</v>
      </c>
      <c r="U883" s="44">
        <v>28800</v>
      </c>
      <c r="V883" s="44">
        <v>28800</v>
      </c>
      <c r="W883" s="44"/>
      <c r="X883" s="44"/>
      <c r="Y883" s="44"/>
      <c r="Z883" s="44"/>
      <c r="AA883" s="44"/>
      <c r="AB883" s="44"/>
      <c r="AC883" s="44"/>
      <c r="AD883" s="44"/>
      <c r="AE883" s="44"/>
      <c r="AF883" s="44"/>
    </row>
    <row r="884" spans="1:32" x14ac:dyDescent="0.3">
      <c r="A884" s="38" t="s">
        <v>259</v>
      </c>
      <c r="B884" s="38" t="s">
        <v>174</v>
      </c>
      <c r="C884" s="38" t="s">
        <v>258</v>
      </c>
      <c r="D884" s="39" t="s">
        <v>183</v>
      </c>
      <c r="E884" s="39" t="s">
        <v>177</v>
      </c>
      <c r="F884" s="38" t="s">
        <v>140</v>
      </c>
      <c r="G884" s="38" t="s">
        <v>130</v>
      </c>
      <c r="H884" s="44"/>
      <c r="I884" s="44">
        <f>I879-(I874+I873)+(I878+I877+I876+I875)</f>
        <v>-55315.72</v>
      </c>
      <c r="J884" s="44">
        <f t="shared" ref="J884:AF884" si="202">I884+J879-J874</f>
        <v>-135601.32</v>
      </c>
      <c r="K884" s="44">
        <f t="shared" si="202"/>
        <v>-182198.86</v>
      </c>
      <c r="L884" s="44">
        <f t="shared" si="202"/>
        <v>-216811.08</v>
      </c>
      <c r="M884" s="44">
        <f t="shared" si="202"/>
        <v>-265861.03999999998</v>
      </c>
      <c r="N884" s="44">
        <f t="shared" si="202"/>
        <v>-315644.79999999999</v>
      </c>
      <c r="O884" s="44">
        <f t="shared" si="202"/>
        <v>-392579.19999999995</v>
      </c>
      <c r="P884" s="44">
        <f t="shared" si="202"/>
        <v>-441270.57999999996</v>
      </c>
      <c r="Q884" s="44">
        <f t="shared" si="202"/>
        <v>-491575.98</v>
      </c>
      <c r="R884" s="44">
        <f t="shared" si="202"/>
        <v>-514122.69999999995</v>
      </c>
      <c r="S884" s="44">
        <f t="shared" si="202"/>
        <v>-564275.05999999994</v>
      </c>
      <c r="T884" s="44">
        <f t="shared" si="202"/>
        <v>-614506.74</v>
      </c>
      <c r="U884" s="44">
        <f t="shared" si="202"/>
        <v>-661668.38</v>
      </c>
      <c r="V884" s="44">
        <f t="shared" si="202"/>
        <v>-690748.76</v>
      </c>
      <c r="W884" s="44">
        <f t="shared" si="202"/>
        <v>-748572.76</v>
      </c>
      <c r="X884" s="44">
        <f t="shared" si="202"/>
        <v>-806392.1</v>
      </c>
      <c r="Y884" s="44">
        <f t="shared" si="202"/>
        <v>-864212.1</v>
      </c>
      <c r="Z884" s="44">
        <f t="shared" si="202"/>
        <v>-922718.96</v>
      </c>
      <c r="AA884" s="44">
        <f t="shared" si="202"/>
        <v>-982163.98</v>
      </c>
      <c r="AB884" s="44">
        <f t="shared" si="202"/>
        <v>-1041020.66</v>
      </c>
      <c r="AC884" s="44">
        <f t="shared" si="202"/>
        <v>-1099994.3400000001</v>
      </c>
      <c r="AD884" s="44">
        <f t="shared" si="202"/>
        <v>-1150842.6600000001</v>
      </c>
      <c r="AE884" s="44">
        <f t="shared" si="202"/>
        <v>-1198510.8600000001</v>
      </c>
      <c r="AF884" s="44">
        <f t="shared" si="202"/>
        <v>-1246186.3800000001</v>
      </c>
    </row>
    <row r="885" spans="1:32" ht="15" thickBot="1" x14ac:dyDescent="0.35">
      <c r="A885" s="40" t="s">
        <v>259</v>
      </c>
      <c r="B885" s="40" t="s">
        <v>174</v>
      </c>
      <c r="C885" s="40" t="s">
        <v>258</v>
      </c>
      <c r="D885" s="41" t="s">
        <v>183</v>
      </c>
      <c r="E885" s="41" t="s">
        <v>177</v>
      </c>
      <c r="F885" s="40" t="s">
        <v>141</v>
      </c>
      <c r="G885" s="40" t="s">
        <v>130</v>
      </c>
      <c r="H885" s="45"/>
      <c r="I885" s="45">
        <f>I879-I883</f>
        <v>0</v>
      </c>
      <c r="J885" s="45">
        <f t="shared" ref="J885:AF885" si="203">I885+J879-J883</f>
        <v>0</v>
      </c>
      <c r="K885" s="45">
        <f t="shared" si="203"/>
        <v>0</v>
      </c>
      <c r="L885" s="45">
        <f t="shared" si="203"/>
        <v>0</v>
      </c>
      <c r="M885" s="45">
        <f t="shared" si="203"/>
        <v>0</v>
      </c>
      <c r="N885" s="45">
        <f t="shared" si="203"/>
        <v>0</v>
      </c>
      <c r="O885" s="45">
        <f t="shared" si="203"/>
        <v>0</v>
      </c>
      <c r="P885" s="45">
        <f t="shared" si="203"/>
        <v>0</v>
      </c>
      <c r="Q885" s="45">
        <f t="shared" si="203"/>
        <v>0</v>
      </c>
      <c r="R885" s="45">
        <f t="shared" si="203"/>
        <v>0</v>
      </c>
      <c r="S885" s="45">
        <f t="shared" si="203"/>
        <v>0</v>
      </c>
      <c r="T885" s="45">
        <f t="shared" si="203"/>
        <v>0</v>
      </c>
      <c r="U885" s="45">
        <f t="shared" si="203"/>
        <v>0</v>
      </c>
      <c r="V885" s="45">
        <f t="shared" si="203"/>
        <v>0</v>
      </c>
      <c r="W885" s="45">
        <f t="shared" si="203"/>
        <v>0</v>
      </c>
      <c r="X885" s="45">
        <f t="shared" si="203"/>
        <v>0</v>
      </c>
      <c r="Y885" s="45">
        <f t="shared" si="203"/>
        <v>0</v>
      </c>
      <c r="Z885" s="45">
        <f t="shared" si="203"/>
        <v>0</v>
      </c>
      <c r="AA885" s="45">
        <f t="shared" si="203"/>
        <v>0</v>
      </c>
      <c r="AB885" s="45">
        <f t="shared" si="203"/>
        <v>0</v>
      </c>
      <c r="AC885" s="45">
        <f t="shared" si="203"/>
        <v>0</v>
      </c>
      <c r="AD885" s="45">
        <f t="shared" si="203"/>
        <v>0</v>
      </c>
      <c r="AE885" s="45">
        <f t="shared" si="203"/>
        <v>0</v>
      </c>
      <c r="AF885" s="45">
        <f t="shared" si="203"/>
        <v>0</v>
      </c>
    </row>
    <row r="886" spans="1:32" x14ac:dyDescent="0.3">
      <c r="A886" s="38" t="s">
        <v>260</v>
      </c>
      <c r="B886" s="38" t="s">
        <v>174</v>
      </c>
      <c r="C886" s="38" t="s">
        <v>258</v>
      </c>
      <c r="D886" s="39" t="s">
        <v>180</v>
      </c>
      <c r="E886" s="39" t="s">
        <v>177</v>
      </c>
      <c r="F886" s="38" t="s">
        <v>129</v>
      </c>
      <c r="G886" s="38" t="s">
        <v>130</v>
      </c>
      <c r="H886" s="44">
        <v>2217.4899999999998</v>
      </c>
      <c r="I886" s="44">
        <v>2217.4899999999998</v>
      </c>
      <c r="J886" s="44"/>
      <c r="K886" s="44"/>
      <c r="L886" s="44"/>
      <c r="M886" s="44"/>
      <c r="N886" s="44"/>
      <c r="O886" s="44"/>
      <c r="P886" s="44"/>
      <c r="Q886" s="44"/>
      <c r="R886" s="44"/>
      <c r="S886" s="44"/>
      <c r="T886" s="44"/>
      <c r="U886" s="44"/>
      <c r="V886" s="44"/>
      <c r="W886" s="44"/>
      <c r="X886" s="44"/>
      <c r="Y886" s="44"/>
      <c r="Z886" s="44"/>
      <c r="AA886" s="44"/>
      <c r="AB886" s="44"/>
      <c r="AC886" s="44"/>
      <c r="AD886" s="44"/>
      <c r="AE886" s="44"/>
      <c r="AF886" s="44"/>
    </row>
    <row r="887" spans="1:32" x14ac:dyDescent="0.3">
      <c r="A887" s="38" t="s">
        <v>260</v>
      </c>
      <c r="B887" s="38" t="s">
        <v>174</v>
      </c>
      <c r="C887" s="38" t="s">
        <v>258</v>
      </c>
      <c r="D887" s="39" t="s">
        <v>180</v>
      </c>
      <c r="E887" s="39" t="s">
        <v>177</v>
      </c>
      <c r="F887" s="38" t="s">
        <v>131</v>
      </c>
      <c r="G887" s="38" t="s">
        <v>130</v>
      </c>
      <c r="H887" s="44">
        <v>7835.32</v>
      </c>
      <c r="I887" s="44">
        <v>493.15</v>
      </c>
      <c r="J887" s="44">
        <v>926.2</v>
      </c>
      <c r="K887" s="44">
        <v>873.73</v>
      </c>
      <c r="L887" s="44">
        <v>266.39</v>
      </c>
      <c r="M887" s="44">
        <v>230.02</v>
      </c>
      <c r="N887" s="44">
        <v>217.12</v>
      </c>
      <c r="O887" s="44">
        <v>214.8</v>
      </c>
      <c r="P887" s="44">
        <v>221.81</v>
      </c>
      <c r="Q887" s="44">
        <v>219.8</v>
      </c>
      <c r="R887" s="44">
        <v>216.14</v>
      </c>
      <c r="S887" s="44">
        <v>214.82</v>
      </c>
      <c r="T887" s="44">
        <v>214.16</v>
      </c>
      <c r="U887" s="44">
        <v>226.68</v>
      </c>
      <c r="V887" s="44">
        <v>306.81</v>
      </c>
      <c r="W887" s="44">
        <v>304.5</v>
      </c>
      <c r="X887" s="44">
        <v>303.83</v>
      </c>
      <c r="Y887" s="44">
        <v>304.5</v>
      </c>
      <c r="Z887" s="44">
        <v>282.07</v>
      </c>
      <c r="AA887" s="44">
        <v>272.49</v>
      </c>
      <c r="AB887" s="44">
        <v>270.16000000000003</v>
      </c>
      <c r="AC887" s="44">
        <v>260.16000000000003</v>
      </c>
      <c r="AD887" s="44">
        <v>316.83999999999997</v>
      </c>
      <c r="AE887" s="44">
        <v>339.9</v>
      </c>
      <c r="AF887" s="44">
        <v>339.24</v>
      </c>
    </row>
    <row r="888" spans="1:32" x14ac:dyDescent="0.3">
      <c r="A888" s="38" t="s">
        <v>260</v>
      </c>
      <c r="B888" s="38" t="s">
        <v>174</v>
      </c>
      <c r="C888" s="38" t="s">
        <v>258</v>
      </c>
      <c r="D888" s="39" t="s">
        <v>180</v>
      </c>
      <c r="E888" s="39" t="s">
        <v>177</v>
      </c>
      <c r="F888" s="38" t="s">
        <v>132</v>
      </c>
      <c r="G888" s="38" t="s">
        <v>130</v>
      </c>
      <c r="H888" s="44">
        <v>117420</v>
      </c>
      <c r="I888" s="44">
        <v>117420</v>
      </c>
      <c r="J888" s="44"/>
      <c r="K888" s="44"/>
      <c r="L888" s="44"/>
      <c r="M888" s="44"/>
      <c r="N888" s="44"/>
      <c r="O888" s="44"/>
      <c r="P888" s="44"/>
      <c r="Q888" s="44"/>
      <c r="R888" s="44"/>
      <c r="S888" s="44"/>
      <c r="T888" s="44"/>
      <c r="U888" s="44"/>
      <c r="V888" s="44"/>
      <c r="W888" s="44"/>
      <c r="X888" s="44"/>
      <c r="Y888" s="44"/>
      <c r="Z888" s="44"/>
      <c r="AA888" s="44"/>
      <c r="AB888" s="44"/>
      <c r="AC888" s="44"/>
      <c r="AD888" s="44"/>
      <c r="AE888" s="44"/>
      <c r="AF888" s="44"/>
    </row>
    <row r="889" spans="1:32" x14ac:dyDescent="0.3">
      <c r="A889" s="38" t="s">
        <v>260</v>
      </c>
      <c r="B889" s="38" t="s">
        <v>174</v>
      </c>
      <c r="C889" s="38" t="s">
        <v>258</v>
      </c>
      <c r="D889" s="39" t="s">
        <v>180</v>
      </c>
      <c r="E889" s="39" t="s">
        <v>177</v>
      </c>
      <c r="F889" s="38" t="s">
        <v>133</v>
      </c>
      <c r="G889" s="38" t="s">
        <v>130</v>
      </c>
      <c r="H889" s="44">
        <v>420</v>
      </c>
      <c r="I889" s="44">
        <v>420</v>
      </c>
      <c r="J889" s="44"/>
      <c r="K889" s="44"/>
      <c r="L889" s="44"/>
      <c r="M889" s="44"/>
      <c r="N889" s="44"/>
      <c r="O889" s="44"/>
      <c r="P889" s="44"/>
      <c r="Q889" s="44"/>
      <c r="R889" s="44"/>
      <c r="S889" s="44"/>
      <c r="T889" s="44"/>
      <c r="U889" s="44"/>
      <c r="V889" s="44"/>
      <c r="W889" s="44"/>
      <c r="X889" s="44"/>
      <c r="Y889" s="44"/>
      <c r="Z889" s="44"/>
      <c r="AA889" s="44"/>
      <c r="AB889" s="44"/>
      <c r="AC889" s="44"/>
      <c r="AD889" s="44"/>
      <c r="AE889" s="44"/>
      <c r="AF889" s="44"/>
    </row>
    <row r="890" spans="1:32" x14ac:dyDescent="0.3">
      <c r="A890" s="38" t="s">
        <v>260</v>
      </c>
      <c r="B890" s="38" t="s">
        <v>174</v>
      </c>
      <c r="C890" s="38" t="s">
        <v>258</v>
      </c>
      <c r="D890" s="39" t="s">
        <v>180</v>
      </c>
      <c r="E890" s="39" t="s">
        <v>177</v>
      </c>
      <c r="F890" s="38" t="s">
        <v>134</v>
      </c>
      <c r="G890" s="38" t="s">
        <v>130</v>
      </c>
      <c r="H890" s="44">
        <v>159</v>
      </c>
      <c r="I890" s="44">
        <v>159</v>
      </c>
      <c r="J890" s="44"/>
      <c r="K890" s="44"/>
      <c r="L890" s="44"/>
      <c r="M890" s="44"/>
      <c r="N890" s="44"/>
      <c r="O890" s="44"/>
      <c r="P890" s="44"/>
      <c r="Q890" s="44"/>
      <c r="R890" s="44"/>
      <c r="S890" s="44"/>
      <c r="T890" s="44"/>
      <c r="U890" s="44"/>
      <c r="V890" s="44"/>
      <c r="W890" s="44"/>
      <c r="X890" s="44"/>
      <c r="Y890" s="44"/>
      <c r="Z890" s="44"/>
      <c r="AA890" s="44"/>
      <c r="AB890" s="44"/>
      <c r="AC890" s="44"/>
      <c r="AD890" s="44"/>
      <c r="AE890" s="44"/>
      <c r="AF890" s="44"/>
    </row>
    <row r="891" spans="1:32" x14ac:dyDescent="0.3">
      <c r="A891" s="38" t="s">
        <v>260</v>
      </c>
      <c r="B891" s="38" t="s">
        <v>174</v>
      </c>
      <c r="C891" s="38" t="s">
        <v>258</v>
      </c>
      <c r="D891" s="39" t="s">
        <v>180</v>
      </c>
      <c r="E891" s="39" t="s">
        <v>177</v>
      </c>
      <c r="F891" s="38" t="s">
        <v>135</v>
      </c>
      <c r="G891" s="38" t="s">
        <v>130</v>
      </c>
      <c r="H891" s="44"/>
      <c r="I891" s="44"/>
      <c r="J891" s="44"/>
      <c r="K891" s="44"/>
      <c r="L891" s="44"/>
      <c r="M891" s="44"/>
      <c r="N891" s="44"/>
      <c r="O891" s="44"/>
      <c r="P891" s="44"/>
      <c r="Q891" s="44"/>
      <c r="R891" s="44"/>
      <c r="S891" s="44"/>
      <c r="T891" s="44"/>
      <c r="U891" s="44"/>
      <c r="V891" s="44"/>
      <c r="W891" s="44"/>
      <c r="X891" s="44"/>
      <c r="Y891" s="44"/>
      <c r="Z891" s="44"/>
      <c r="AA891" s="44"/>
      <c r="AB891" s="44"/>
      <c r="AC891" s="44"/>
      <c r="AD891" s="44"/>
      <c r="AE891" s="44"/>
      <c r="AF891" s="44"/>
    </row>
    <row r="892" spans="1:32" x14ac:dyDescent="0.3">
      <c r="A892" s="38" t="s">
        <v>260</v>
      </c>
      <c r="B892" s="38" t="s">
        <v>174</v>
      </c>
      <c r="C892" s="38" t="s">
        <v>258</v>
      </c>
      <c r="D892" s="39" t="s">
        <v>180</v>
      </c>
      <c r="E892" s="39" t="s">
        <v>177</v>
      </c>
      <c r="F892" s="38" t="s">
        <v>136</v>
      </c>
      <c r="G892" s="38" t="s">
        <v>130</v>
      </c>
      <c r="H892" s="44">
        <f>SUM(I892:AF892)</f>
        <v>230400</v>
      </c>
      <c r="I892" s="44">
        <f t="shared" ref="I892:AF892" si="204">IF(AND(ISBLANK(I895) = TRUE,ISBLANK(I894) = TRUE),I893,I894+I895)</f>
        <v>0</v>
      </c>
      <c r="J892" s="44">
        <f t="shared" si="204"/>
        <v>0</v>
      </c>
      <c r="K892" s="44">
        <f t="shared" si="204"/>
        <v>14400</v>
      </c>
      <c r="L892" s="44">
        <f t="shared" si="204"/>
        <v>21600</v>
      </c>
      <c r="M892" s="44">
        <f t="shared" si="204"/>
        <v>21600</v>
      </c>
      <c r="N892" s="44">
        <f t="shared" si="204"/>
        <v>21600</v>
      </c>
      <c r="O892" s="44">
        <f t="shared" si="204"/>
        <v>21600</v>
      </c>
      <c r="P892" s="44">
        <f t="shared" si="204"/>
        <v>21600</v>
      </c>
      <c r="Q892" s="44">
        <f t="shared" si="204"/>
        <v>21600</v>
      </c>
      <c r="R892" s="44">
        <f t="shared" si="204"/>
        <v>21600</v>
      </c>
      <c r="S892" s="44">
        <f t="shared" si="204"/>
        <v>21600</v>
      </c>
      <c r="T892" s="44">
        <f t="shared" si="204"/>
        <v>0</v>
      </c>
      <c r="U892" s="44">
        <f t="shared" si="204"/>
        <v>14400</v>
      </c>
      <c r="V892" s="44">
        <f t="shared" si="204"/>
        <v>14400</v>
      </c>
      <c r="W892" s="44">
        <f t="shared" si="204"/>
        <v>14400</v>
      </c>
      <c r="X892" s="44">
        <f t="shared" si="204"/>
        <v>0</v>
      </c>
      <c r="Y892" s="44">
        <f t="shared" si="204"/>
        <v>0</v>
      </c>
      <c r="Z892" s="44">
        <f t="shared" si="204"/>
        <v>0</v>
      </c>
      <c r="AA892" s="44">
        <f t="shared" si="204"/>
        <v>0</v>
      </c>
      <c r="AB892" s="44">
        <f t="shared" si="204"/>
        <v>0</v>
      </c>
      <c r="AC892" s="44">
        <f t="shared" si="204"/>
        <v>0</v>
      </c>
      <c r="AD892" s="44">
        <f t="shared" si="204"/>
        <v>0</v>
      </c>
      <c r="AE892" s="44">
        <f t="shared" si="204"/>
        <v>0</v>
      </c>
      <c r="AF892" s="44">
        <f t="shared" si="204"/>
        <v>0</v>
      </c>
    </row>
    <row r="893" spans="1:32" x14ac:dyDescent="0.3">
      <c r="A893" s="38" t="s">
        <v>260</v>
      </c>
      <c r="B893" s="38" t="s">
        <v>174</v>
      </c>
      <c r="C893" s="38" t="s">
        <v>258</v>
      </c>
      <c r="D893" s="39" t="s">
        <v>180</v>
      </c>
      <c r="E893" s="39" t="s">
        <v>177</v>
      </c>
      <c r="F893" s="38" t="s">
        <v>124</v>
      </c>
      <c r="G893" s="38" t="s">
        <v>130</v>
      </c>
      <c r="H893" s="44">
        <v>230400</v>
      </c>
      <c r="I893" s="44"/>
      <c r="J893" s="44"/>
      <c r="K893" s="44">
        <v>14400</v>
      </c>
      <c r="L893" s="44">
        <v>21600</v>
      </c>
      <c r="M893" s="44">
        <v>21600</v>
      </c>
      <c r="N893" s="44">
        <v>21600</v>
      </c>
      <c r="O893" s="44">
        <v>21600</v>
      </c>
      <c r="P893" s="44">
        <v>21600</v>
      </c>
      <c r="Q893" s="44">
        <v>21600</v>
      </c>
      <c r="R893" s="44">
        <v>21600</v>
      </c>
      <c r="S893" s="44">
        <v>21600</v>
      </c>
      <c r="T893" s="44"/>
      <c r="U893" s="44">
        <v>14400</v>
      </c>
      <c r="V893" s="44">
        <v>14400</v>
      </c>
      <c r="W893" s="44">
        <v>14400</v>
      </c>
      <c r="X893" s="44"/>
      <c r="Y893" s="44"/>
      <c r="Z893" s="44"/>
      <c r="AA893" s="44"/>
      <c r="AB893" s="44"/>
      <c r="AC893" s="44"/>
      <c r="AD893" s="44"/>
      <c r="AE893" s="44"/>
      <c r="AF893" s="44"/>
    </row>
    <row r="894" spans="1:32" x14ac:dyDescent="0.3">
      <c r="A894" s="38" t="s">
        <v>260</v>
      </c>
      <c r="B894" s="38" t="s">
        <v>174</v>
      </c>
      <c r="C894" s="38" t="s">
        <v>258</v>
      </c>
      <c r="D894" s="39" t="s">
        <v>180</v>
      </c>
      <c r="E894" s="39" t="s">
        <v>177</v>
      </c>
      <c r="F894" s="38" t="s">
        <v>137</v>
      </c>
      <c r="G894" s="38" t="s">
        <v>130</v>
      </c>
      <c r="H894" s="44">
        <f>SUM(I894:AF894)</f>
        <v>0</v>
      </c>
      <c r="I894" s="44"/>
      <c r="J894" s="44"/>
      <c r="K894" s="44"/>
      <c r="L894" s="44"/>
      <c r="M894" s="44"/>
      <c r="N894" s="44"/>
      <c r="O894" s="44"/>
      <c r="P894" s="44"/>
      <c r="Q894" s="44"/>
      <c r="R894" s="44"/>
      <c r="S894" s="44"/>
      <c r="T894" s="44"/>
      <c r="U894" s="44"/>
      <c r="V894" s="44"/>
      <c r="W894" s="44"/>
      <c r="X894" s="44"/>
      <c r="Y894" s="44"/>
      <c r="Z894" s="44"/>
      <c r="AA894" s="44"/>
      <c r="AB894" s="44"/>
      <c r="AC894" s="44"/>
      <c r="AD894" s="44"/>
      <c r="AE894" s="44"/>
      <c r="AF894" s="44"/>
    </row>
    <row r="895" spans="1:32" x14ac:dyDescent="0.3">
      <c r="A895" s="38" t="s">
        <v>260</v>
      </c>
      <c r="B895" s="38" t="s">
        <v>174</v>
      </c>
      <c r="C895" s="38" t="s">
        <v>258</v>
      </c>
      <c r="D895" s="39" t="s">
        <v>180</v>
      </c>
      <c r="E895" s="39" t="s">
        <v>177</v>
      </c>
      <c r="F895" s="38" t="s">
        <v>138</v>
      </c>
      <c r="G895" s="38" t="s">
        <v>130</v>
      </c>
      <c r="H895" s="44">
        <f>SUM(I895:AF895)</f>
        <v>0</v>
      </c>
      <c r="I895" s="44"/>
      <c r="J895" s="44"/>
      <c r="K895" s="44"/>
      <c r="L895" s="44"/>
      <c r="M895" s="44"/>
      <c r="N895" s="44"/>
      <c r="O895" s="44"/>
      <c r="P895" s="44"/>
      <c r="Q895" s="44"/>
      <c r="R895" s="44"/>
      <c r="S895" s="44"/>
      <c r="T895" s="44"/>
      <c r="U895" s="44"/>
      <c r="V895" s="44"/>
      <c r="W895" s="44"/>
      <c r="X895" s="44"/>
      <c r="Y895" s="44"/>
      <c r="Z895" s="44"/>
      <c r="AA895" s="44"/>
      <c r="AB895" s="44"/>
      <c r="AC895" s="44"/>
      <c r="AD895" s="44"/>
      <c r="AE895" s="44"/>
      <c r="AF895" s="44"/>
    </row>
    <row r="896" spans="1:32" x14ac:dyDescent="0.3">
      <c r="A896" s="38" t="s">
        <v>260</v>
      </c>
      <c r="B896" s="38" t="s">
        <v>174</v>
      </c>
      <c r="C896" s="38" t="s">
        <v>258</v>
      </c>
      <c r="D896" s="39" t="s">
        <v>180</v>
      </c>
      <c r="E896" s="39" t="s">
        <v>177</v>
      </c>
      <c r="F896" s="38" t="s">
        <v>139</v>
      </c>
      <c r="G896" s="38" t="s">
        <v>130</v>
      </c>
      <c r="H896" s="44">
        <v>230400</v>
      </c>
      <c r="I896" s="44"/>
      <c r="J896" s="44"/>
      <c r="K896" s="44">
        <v>14400</v>
      </c>
      <c r="L896" s="44">
        <v>21600</v>
      </c>
      <c r="M896" s="44">
        <v>21600</v>
      </c>
      <c r="N896" s="44">
        <v>21600</v>
      </c>
      <c r="O896" s="44">
        <v>21600</v>
      </c>
      <c r="P896" s="44">
        <v>21600</v>
      </c>
      <c r="Q896" s="44">
        <v>21600</v>
      </c>
      <c r="R896" s="44">
        <v>21600</v>
      </c>
      <c r="S896" s="44">
        <v>21600</v>
      </c>
      <c r="T896" s="44"/>
      <c r="U896" s="44">
        <v>14400</v>
      </c>
      <c r="V896" s="44">
        <v>14400</v>
      </c>
      <c r="W896" s="44">
        <v>14400</v>
      </c>
      <c r="X896" s="44"/>
      <c r="Y896" s="44"/>
      <c r="Z896" s="44"/>
      <c r="AA896" s="44"/>
      <c r="AB896" s="44"/>
      <c r="AC896" s="44"/>
      <c r="AD896" s="44"/>
      <c r="AE896" s="44"/>
      <c r="AF896" s="44"/>
    </row>
    <row r="897" spans="1:32" x14ac:dyDescent="0.3">
      <c r="A897" s="38" t="s">
        <v>260</v>
      </c>
      <c r="B897" s="38" t="s">
        <v>174</v>
      </c>
      <c r="C897" s="38" t="s">
        <v>258</v>
      </c>
      <c r="D897" s="39" t="s">
        <v>180</v>
      </c>
      <c r="E897" s="39" t="s">
        <v>177</v>
      </c>
      <c r="F897" s="38" t="s">
        <v>140</v>
      </c>
      <c r="G897" s="38" t="s">
        <v>130</v>
      </c>
      <c r="H897" s="44"/>
      <c r="I897" s="44">
        <f>I892-(I887+I886)+(I891+I890+I889+I888)</f>
        <v>115288.36</v>
      </c>
      <c r="J897" s="44">
        <f t="shared" ref="J897:AF897" si="205">I897+J892-J887</f>
        <v>114362.16</v>
      </c>
      <c r="K897" s="44">
        <f t="shared" si="205"/>
        <v>127888.43000000001</v>
      </c>
      <c r="L897" s="44">
        <f t="shared" si="205"/>
        <v>149222.03999999998</v>
      </c>
      <c r="M897" s="44">
        <f t="shared" si="205"/>
        <v>170592.02</v>
      </c>
      <c r="N897" s="44">
        <f t="shared" si="205"/>
        <v>191974.9</v>
      </c>
      <c r="O897" s="44">
        <f t="shared" si="205"/>
        <v>213360.1</v>
      </c>
      <c r="P897" s="44">
        <f t="shared" si="205"/>
        <v>234738.29</v>
      </c>
      <c r="Q897" s="44">
        <f t="shared" si="205"/>
        <v>256118.49000000002</v>
      </c>
      <c r="R897" s="44">
        <f t="shared" si="205"/>
        <v>277502.34999999998</v>
      </c>
      <c r="S897" s="44">
        <f t="shared" si="205"/>
        <v>298887.52999999997</v>
      </c>
      <c r="T897" s="44">
        <f t="shared" si="205"/>
        <v>298673.37</v>
      </c>
      <c r="U897" s="44">
        <f t="shared" si="205"/>
        <v>312846.69</v>
      </c>
      <c r="V897" s="44">
        <f t="shared" si="205"/>
        <v>326939.88</v>
      </c>
      <c r="W897" s="44">
        <f t="shared" si="205"/>
        <v>341035.38</v>
      </c>
      <c r="X897" s="44">
        <f t="shared" si="205"/>
        <v>340731.55</v>
      </c>
      <c r="Y897" s="44">
        <f t="shared" si="205"/>
        <v>340427.05</v>
      </c>
      <c r="Z897" s="44">
        <f t="shared" si="205"/>
        <v>340144.98</v>
      </c>
      <c r="AA897" s="44">
        <f t="shared" si="205"/>
        <v>339872.49</v>
      </c>
      <c r="AB897" s="44">
        <f t="shared" si="205"/>
        <v>339602.33</v>
      </c>
      <c r="AC897" s="44">
        <f t="shared" si="205"/>
        <v>339342.17000000004</v>
      </c>
      <c r="AD897" s="44">
        <f t="shared" si="205"/>
        <v>339025.33</v>
      </c>
      <c r="AE897" s="44">
        <f t="shared" si="205"/>
        <v>338685.43</v>
      </c>
      <c r="AF897" s="44">
        <f t="shared" si="205"/>
        <v>338346.19</v>
      </c>
    </row>
    <row r="898" spans="1:32" ht="15" thickBot="1" x14ac:dyDescent="0.35">
      <c r="A898" s="40" t="s">
        <v>260</v>
      </c>
      <c r="B898" s="40" t="s">
        <v>174</v>
      </c>
      <c r="C898" s="40" t="s">
        <v>258</v>
      </c>
      <c r="D898" s="41" t="s">
        <v>180</v>
      </c>
      <c r="E898" s="41" t="s">
        <v>177</v>
      </c>
      <c r="F898" s="40" t="s">
        <v>141</v>
      </c>
      <c r="G898" s="40" t="s">
        <v>130</v>
      </c>
      <c r="H898" s="45"/>
      <c r="I898" s="45">
        <f>I892-I896</f>
        <v>0</v>
      </c>
      <c r="J898" s="45">
        <f t="shared" ref="J898:AF898" si="206">I898+J892-J896</f>
        <v>0</v>
      </c>
      <c r="K898" s="45">
        <f t="shared" si="206"/>
        <v>0</v>
      </c>
      <c r="L898" s="45">
        <f t="shared" si="206"/>
        <v>0</v>
      </c>
      <c r="M898" s="45">
        <f t="shared" si="206"/>
        <v>0</v>
      </c>
      <c r="N898" s="45">
        <f t="shared" si="206"/>
        <v>0</v>
      </c>
      <c r="O898" s="45">
        <f t="shared" si="206"/>
        <v>0</v>
      </c>
      <c r="P898" s="45">
        <f t="shared" si="206"/>
        <v>0</v>
      </c>
      <c r="Q898" s="45">
        <f t="shared" si="206"/>
        <v>0</v>
      </c>
      <c r="R898" s="45">
        <f t="shared" si="206"/>
        <v>0</v>
      </c>
      <c r="S898" s="45">
        <f t="shared" si="206"/>
        <v>0</v>
      </c>
      <c r="T898" s="45">
        <f t="shared" si="206"/>
        <v>0</v>
      </c>
      <c r="U898" s="45">
        <f t="shared" si="206"/>
        <v>0</v>
      </c>
      <c r="V898" s="45">
        <f t="shared" si="206"/>
        <v>0</v>
      </c>
      <c r="W898" s="45">
        <f t="shared" si="206"/>
        <v>0</v>
      </c>
      <c r="X898" s="45">
        <f t="shared" si="206"/>
        <v>0</v>
      </c>
      <c r="Y898" s="45">
        <f t="shared" si="206"/>
        <v>0</v>
      </c>
      <c r="Z898" s="45">
        <f t="shared" si="206"/>
        <v>0</v>
      </c>
      <c r="AA898" s="45">
        <f t="shared" si="206"/>
        <v>0</v>
      </c>
      <c r="AB898" s="45">
        <f t="shared" si="206"/>
        <v>0</v>
      </c>
      <c r="AC898" s="45">
        <f t="shared" si="206"/>
        <v>0</v>
      </c>
      <c r="AD898" s="45">
        <f t="shared" si="206"/>
        <v>0</v>
      </c>
      <c r="AE898" s="45">
        <f t="shared" si="206"/>
        <v>0</v>
      </c>
      <c r="AF898" s="45">
        <f t="shared" si="206"/>
        <v>0</v>
      </c>
    </row>
    <row r="899" spans="1:32" x14ac:dyDescent="0.3">
      <c r="A899" s="38" t="s">
        <v>261</v>
      </c>
      <c r="B899" s="38" t="s">
        <v>174</v>
      </c>
      <c r="C899" s="38" t="s">
        <v>258</v>
      </c>
      <c r="D899" s="39" t="s">
        <v>262</v>
      </c>
      <c r="E899" s="39" t="s">
        <v>177</v>
      </c>
      <c r="F899" s="38" t="s">
        <v>129</v>
      </c>
      <c r="G899" s="38" t="s">
        <v>130</v>
      </c>
      <c r="H899" s="44">
        <v>1139.49</v>
      </c>
      <c r="I899" s="44">
        <v>1139.49</v>
      </c>
      <c r="J899" s="44"/>
      <c r="K899" s="44"/>
      <c r="L899" s="44"/>
      <c r="M899" s="44"/>
      <c r="N899" s="44"/>
      <c r="O899" s="44"/>
      <c r="P899" s="44"/>
      <c r="Q899" s="44"/>
      <c r="R899" s="44"/>
      <c r="S899" s="44"/>
      <c r="T899" s="44"/>
      <c r="U899" s="44"/>
      <c r="V899" s="44"/>
      <c r="W899" s="44"/>
      <c r="X899" s="44"/>
      <c r="Y899" s="44"/>
      <c r="Z899" s="44"/>
      <c r="AA899" s="44"/>
      <c r="AB899" s="44"/>
      <c r="AC899" s="44"/>
      <c r="AD899" s="44"/>
      <c r="AE899" s="44"/>
      <c r="AF899" s="44"/>
    </row>
    <row r="900" spans="1:32" x14ac:dyDescent="0.3">
      <c r="A900" s="38" t="s">
        <v>261</v>
      </c>
      <c r="B900" s="38" t="s">
        <v>174</v>
      </c>
      <c r="C900" s="38" t="s">
        <v>258</v>
      </c>
      <c r="D900" s="39" t="s">
        <v>262</v>
      </c>
      <c r="E900" s="39" t="s">
        <v>177</v>
      </c>
      <c r="F900" s="38" t="s">
        <v>131</v>
      </c>
      <c r="G900" s="38" t="s">
        <v>130</v>
      </c>
      <c r="H900" s="44">
        <v>5875.32</v>
      </c>
      <c r="I900" s="44">
        <v>282.14999999999998</v>
      </c>
      <c r="J900" s="44">
        <v>277.2</v>
      </c>
      <c r="K900" s="44">
        <v>257.73</v>
      </c>
      <c r="L900" s="44">
        <v>258.39</v>
      </c>
      <c r="M900" s="44">
        <v>196.02</v>
      </c>
      <c r="N900" s="44">
        <v>186.12</v>
      </c>
      <c r="O900" s="44">
        <v>184.8</v>
      </c>
      <c r="P900" s="44">
        <v>183.81</v>
      </c>
      <c r="Q900" s="44">
        <v>184.8</v>
      </c>
      <c r="R900" s="44">
        <v>184.14</v>
      </c>
      <c r="S900" s="44">
        <v>182.82</v>
      </c>
      <c r="T900" s="44">
        <v>182.16</v>
      </c>
      <c r="U900" s="44">
        <v>196.68</v>
      </c>
      <c r="V900" s="44">
        <v>282.81</v>
      </c>
      <c r="W900" s="44">
        <v>280.5</v>
      </c>
      <c r="X900" s="44">
        <v>280.83</v>
      </c>
      <c r="Y900" s="44">
        <v>280.5</v>
      </c>
      <c r="Z900" s="44">
        <v>257.07</v>
      </c>
      <c r="AA900" s="44">
        <v>248.49</v>
      </c>
      <c r="AB900" s="44">
        <v>248.16</v>
      </c>
      <c r="AC900" s="44">
        <v>248.16</v>
      </c>
      <c r="AD900" s="44">
        <v>312.83999999999997</v>
      </c>
      <c r="AE900" s="44">
        <v>339.9</v>
      </c>
      <c r="AF900" s="44">
        <v>339.24</v>
      </c>
    </row>
    <row r="901" spans="1:32" x14ac:dyDescent="0.3">
      <c r="A901" s="38" t="s">
        <v>261</v>
      </c>
      <c r="B901" s="38" t="s">
        <v>174</v>
      </c>
      <c r="C901" s="38" t="s">
        <v>258</v>
      </c>
      <c r="D901" s="39" t="s">
        <v>262</v>
      </c>
      <c r="E901" s="39" t="s">
        <v>177</v>
      </c>
      <c r="F901" s="38" t="s">
        <v>132</v>
      </c>
      <c r="G901" s="38" t="s">
        <v>130</v>
      </c>
      <c r="H901" s="44">
        <v>46080</v>
      </c>
      <c r="I901" s="44">
        <v>46080</v>
      </c>
      <c r="J901" s="44"/>
      <c r="K901" s="44"/>
      <c r="L901" s="44"/>
      <c r="M901" s="44"/>
      <c r="N901" s="44"/>
      <c r="O901" s="44"/>
      <c r="P901" s="44"/>
      <c r="Q901" s="44"/>
      <c r="R901" s="44"/>
      <c r="S901" s="44"/>
      <c r="T901" s="44"/>
      <c r="U901" s="44"/>
      <c r="V901" s="44"/>
      <c r="W901" s="44"/>
      <c r="X901" s="44"/>
      <c r="Y901" s="44"/>
      <c r="Z901" s="44"/>
      <c r="AA901" s="44"/>
      <c r="AB901" s="44"/>
      <c r="AC901" s="44"/>
      <c r="AD901" s="44"/>
      <c r="AE901" s="44"/>
      <c r="AF901" s="44"/>
    </row>
    <row r="902" spans="1:32" x14ac:dyDescent="0.3">
      <c r="A902" s="38" t="s">
        <v>261</v>
      </c>
      <c r="B902" s="38" t="s">
        <v>174</v>
      </c>
      <c r="C902" s="38" t="s">
        <v>258</v>
      </c>
      <c r="D902" s="39" t="s">
        <v>262</v>
      </c>
      <c r="E902" s="39" t="s">
        <v>177</v>
      </c>
      <c r="F902" s="38" t="s">
        <v>133</v>
      </c>
      <c r="G902" s="38" t="s">
        <v>130</v>
      </c>
      <c r="H902" s="44">
        <v>0</v>
      </c>
      <c r="I902" s="44">
        <v>0</v>
      </c>
      <c r="J902" s="44"/>
      <c r="K902" s="44"/>
      <c r="L902" s="44"/>
      <c r="M902" s="44"/>
      <c r="N902" s="44"/>
      <c r="O902" s="44"/>
      <c r="P902" s="44"/>
      <c r="Q902" s="44"/>
      <c r="R902" s="44"/>
      <c r="S902" s="44"/>
      <c r="T902" s="44"/>
      <c r="U902" s="44"/>
      <c r="V902" s="44"/>
      <c r="W902" s="44"/>
      <c r="X902" s="44"/>
      <c r="Y902" s="44"/>
      <c r="Z902" s="44"/>
      <c r="AA902" s="44"/>
      <c r="AB902" s="44"/>
      <c r="AC902" s="44"/>
      <c r="AD902" s="44"/>
      <c r="AE902" s="44"/>
      <c r="AF902" s="44"/>
    </row>
    <row r="903" spans="1:32" x14ac:dyDescent="0.3">
      <c r="A903" s="38" t="s">
        <v>261</v>
      </c>
      <c r="B903" s="38" t="s">
        <v>174</v>
      </c>
      <c r="C903" s="38" t="s">
        <v>258</v>
      </c>
      <c r="D903" s="39" t="s">
        <v>262</v>
      </c>
      <c r="E903" s="39" t="s">
        <v>177</v>
      </c>
      <c r="F903" s="38" t="s">
        <v>134</v>
      </c>
      <c r="G903" s="38" t="s">
        <v>130</v>
      </c>
      <c r="H903" s="44">
        <v>1152</v>
      </c>
      <c r="I903" s="44">
        <v>1152</v>
      </c>
      <c r="J903" s="44"/>
      <c r="K903" s="44"/>
      <c r="L903" s="44"/>
      <c r="M903" s="44"/>
      <c r="N903" s="44"/>
      <c r="O903" s="44"/>
      <c r="P903" s="44"/>
      <c r="Q903" s="44"/>
      <c r="R903" s="44"/>
      <c r="S903" s="44"/>
      <c r="T903" s="44"/>
      <c r="U903" s="44"/>
      <c r="V903" s="44"/>
      <c r="W903" s="44"/>
      <c r="X903" s="44"/>
      <c r="Y903" s="44"/>
      <c r="Z903" s="44"/>
      <c r="AA903" s="44"/>
      <c r="AB903" s="44"/>
      <c r="AC903" s="44"/>
      <c r="AD903" s="44"/>
      <c r="AE903" s="44"/>
      <c r="AF903" s="44"/>
    </row>
    <row r="904" spans="1:32" x14ac:dyDescent="0.3">
      <c r="A904" s="38" t="s">
        <v>261</v>
      </c>
      <c r="B904" s="38" t="s">
        <v>174</v>
      </c>
      <c r="C904" s="38" t="s">
        <v>258</v>
      </c>
      <c r="D904" s="39" t="s">
        <v>262</v>
      </c>
      <c r="E904" s="39" t="s">
        <v>177</v>
      </c>
      <c r="F904" s="38" t="s">
        <v>135</v>
      </c>
      <c r="G904" s="38" t="s">
        <v>130</v>
      </c>
      <c r="H904" s="44"/>
      <c r="I904" s="44"/>
      <c r="J904" s="44"/>
      <c r="K904" s="44"/>
      <c r="L904" s="44"/>
      <c r="M904" s="44"/>
      <c r="N904" s="44"/>
      <c r="O904" s="44"/>
      <c r="P904" s="44"/>
      <c r="Q904" s="44"/>
      <c r="R904" s="44"/>
      <c r="S904" s="44"/>
      <c r="T904" s="44"/>
      <c r="U904" s="44"/>
      <c r="V904" s="44"/>
      <c r="W904" s="44"/>
      <c r="X904" s="44"/>
      <c r="Y904" s="44"/>
      <c r="Z904" s="44"/>
      <c r="AA904" s="44"/>
      <c r="AB904" s="44"/>
      <c r="AC904" s="44"/>
      <c r="AD904" s="44"/>
      <c r="AE904" s="44"/>
      <c r="AF904" s="44"/>
    </row>
    <row r="905" spans="1:32" x14ac:dyDescent="0.3">
      <c r="A905" s="38" t="s">
        <v>261</v>
      </c>
      <c r="B905" s="38" t="s">
        <v>174</v>
      </c>
      <c r="C905" s="38" t="s">
        <v>258</v>
      </c>
      <c r="D905" s="39" t="s">
        <v>262</v>
      </c>
      <c r="E905" s="39" t="s">
        <v>177</v>
      </c>
      <c r="F905" s="38" t="s">
        <v>136</v>
      </c>
      <c r="G905" s="38" t="s">
        <v>130</v>
      </c>
      <c r="H905" s="44">
        <f>SUM(I905:AF905)</f>
        <v>115200</v>
      </c>
      <c r="I905" s="44">
        <f t="shared" ref="I905:AF905" si="207">IF(AND(ISBLANK(I908) = TRUE,ISBLANK(I907) = TRUE),I906,I907+I908)</f>
        <v>0</v>
      </c>
      <c r="J905" s="44">
        <f t="shared" si="207"/>
        <v>0</v>
      </c>
      <c r="K905" s="44">
        <f t="shared" si="207"/>
        <v>19200</v>
      </c>
      <c r="L905" s="44">
        <f t="shared" si="207"/>
        <v>0</v>
      </c>
      <c r="M905" s="44">
        <f t="shared" si="207"/>
        <v>38400</v>
      </c>
      <c r="N905" s="44">
        <f t="shared" si="207"/>
        <v>0</v>
      </c>
      <c r="O905" s="44">
        <f t="shared" si="207"/>
        <v>0</v>
      </c>
      <c r="P905" s="44">
        <f t="shared" si="207"/>
        <v>19200</v>
      </c>
      <c r="Q905" s="44">
        <f t="shared" si="207"/>
        <v>0</v>
      </c>
      <c r="R905" s="44">
        <f t="shared" si="207"/>
        <v>38400</v>
      </c>
      <c r="S905" s="44">
        <f t="shared" si="207"/>
        <v>0</v>
      </c>
      <c r="T905" s="44">
        <f t="shared" si="207"/>
        <v>0</v>
      </c>
      <c r="U905" s="44">
        <f t="shared" si="207"/>
        <v>0</v>
      </c>
      <c r="V905" s="44">
        <f t="shared" si="207"/>
        <v>0</v>
      </c>
      <c r="W905" s="44">
        <f t="shared" si="207"/>
        <v>0</v>
      </c>
      <c r="X905" s="44">
        <f t="shared" si="207"/>
        <v>0</v>
      </c>
      <c r="Y905" s="44">
        <f t="shared" si="207"/>
        <v>0</v>
      </c>
      <c r="Z905" s="44">
        <f t="shared" si="207"/>
        <v>0</v>
      </c>
      <c r="AA905" s="44">
        <f t="shared" si="207"/>
        <v>0</v>
      </c>
      <c r="AB905" s="44">
        <f t="shared" si="207"/>
        <v>0</v>
      </c>
      <c r="AC905" s="44">
        <f t="shared" si="207"/>
        <v>0</v>
      </c>
      <c r="AD905" s="44">
        <f t="shared" si="207"/>
        <v>0</v>
      </c>
      <c r="AE905" s="44">
        <f t="shared" si="207"/>
        <v>0</v>
      </c>
      <c r="AF905" s="44">
        <f t="shared" si="207"/>
        <v>0</v>
      </c>
    </row>
    <row r="906" spans="1:32" x14ac:dyDescent="0.3">
      <c r="A906" s="38" t="s">
        <v>261</v>
      </c>
      <c r="B906" s="38" t="s">
        <v>174</v>
      </c>
      <c r="C906" s="38" t="s">
        <v>258</v>
      </c>
      <c r="D906" s="39" t="s">
        <v>262</v>
      </c>
      <c r="E906" s="39" t="s">
        <v>177</v>
      </c>
      <c r="F906" s="38" t="s">
        <v>124</v>
      </c>
      <c r="G906" s="38" t="s">
        <v>130</v>
      </c>
      <c r="H906" s="44">
        <v>115200</v>
      </c>
      <c r="I906" s="44"/>
      <c r="J906" s="44"/>
      <c r="K906" s="44">
        <v>19200</v>
      </c>
      <c r="L906" s="44"/>
      <c r="M906" s="44">
        <v>38400</v>
      </c>
      <c r="N906" s="44"/>
      <c r="O906" s="44"/>
      <c r="P906" s="44">
        <v>19200</v>
      </c>
      <c r="Q906" s="44"/>
      <c r="R906" s="44">
        <v>38400</v>
      </c>
      <c r="S906" s="44"/>
      <c r="T906" s="44"/>
      <c r="U906" s="44"/>
      <c r="V906" s="44"/>
      <c r="W906" s="44"/>
      <c r="X906" s="44"/>
      <c r="Y906" s="44"/>
      <c r="Z906" s="44"/>
      <c r="AA906" s="44"/>
      <c r="AB906" s="44"/>
      <c r="AC906" s="44"/>
      <c r="AD906" s="44"/>
      <c r="AE906" s="44"/>
      <c r="AF906" s="44"/>
    </row>
    <row r="907" spans="1:32" x14ac:dyDescent="0.3">
      <c r="A907" s="38" t="s">
        <v>261</v>
      </c>
      <c r="B907" s="38" t="s">
        <v>174</v>
      </c>
      <c r="C907" s="38" t="s">
        <v>258</v>
      </c>
      <c r="D907" s="39" t="s">
        <v>262</v>
      </c>
      <c r="E907" s="39" t="s">
        <v>177</v>
      </c>
      <c r="F907" s="38" t="s">
        <v>137</v>
      </c>
      <c r="G907" s="38" t="s">
        <v>130</v>
      </c>
      <c r="H907" s="44">
        <f>SUM(I907:AF907)</f>
        <v>0</v>
      </c>
      <c r="I907" s="44"/>
      <c r="J907" s="44"/>
      <c r="K907" s="44"/>
      <c r="L907" s="44"/>
      <c r="M907" s="44"/>
      <c r="N907" s="44"/>
      <c r="O907" s="44"/>
      <c r="P907" s="44"/>
      <c r="Q907" s="44"/>
      <c r="R907" s="44"/>
      <c r="S907" s="44"/>
      <c r="T907" s="44"/>
      <c r="U907" s="44"/>
      <c r="V907" s="44"/>
      <c r="W907" s="44"/>
      <c r="X907" s="44"/>
      <c r="Y907" s="44"/>
      <c r="Z907" s="44"/>
      <c r="AA907" s="44"/>
      <c r="AB907" s="44"/>
      <c r="AC907" s="44"/>
      <c r="AD907" s="44"/>
      <c r="AE907" s="44"/>
      <c r="AF907" s="44"/>
    </row>
    <row r="908" spans="1:32" x14ac:dyDescent="0.3">
      <c r="A908" s="38" t="s">
        <v>261</v>
      </c>
      <c r="B908" s="38" t="s">
        <v>174</v>
      </c>
      <c r="C908" s="38" t="s">
        <v>258</v>
      </c>
      <c r="D908" s="39" t="s">
        <v>262</v>
      </c>
      <c r="E908" s="39" t="s">
        <v>177</v>
      </c>
      <c r="F908" s="38" t="s">
        <v>138</v>
      </c>
      <c r="G908" s="38" t="s">
        <v>130</v>
      </c>
      <c r="H908" s="44">
        <f>SUM(I908:AF908)</f>
        <v>0</v>
      </c>
      <c r="I908" s="44"/>
      <c r="J908" s="44"/>
      <c r="K908" s="44"/>
      <c r="L908" s="44"/>
      <c r="M908" s="44"/>
      <c r="N908" s="44"/>
      <c r="O908" s="44"/>
      <c r="P908" s="44"/>
      <c r="Q908" s="44"/>
      <c r="R908" s="44"/>
      <c r="S908" s="44"/>
      <c r="T908" s="44"/>
      <c r="U908" s="44"/>
      <c r="V908" s="44"/>
      <c r="W908" s="44"/>
      <c r="X908" s="44"/>
      <c r="Y908" s="44"/>
      <c r="Z908" s="44"/>
      <c r="AA908" s="44"/>
      <c r="AB908" s="44"/>
      <c r="AC908" s="44"/>
      <c r="AD908" s="44"/>
      <c r="AE908" s="44"/>
      <c r="AF908" s="44"/>
    </row>
    <row r="909" spans="1:32" x14ac:dyDescent="0.3">
      <c r="A909" s="38" t="s">
        <v>261</v>
      </c>
      <c r="B909" s="38" t="s">
        <v>174</v>
      </c>
      <c r="C909" s="38" t="s">
        <v>258</v>
      </c>
      <c r="D909" s="39" t="s">
        <v>262</v>
      </c>
      <c r="E909" s="39" t="s">
        <v>177</v>
      </c>
      <c r="F909" s="38" t="s">
        <v>139</v>
      </c>
      <c r="G909" s="38" t="s">
        <v>130</v>
      </c>
      <c r="H909" s="44">
        <v>115200</v>
      </c>
      <c r="I909" s="44"/>
      <c r="J909" s="44"/>
      <c r="K909" s="44">
        <v>19200</v>
      </c>
      <c r="L909" s="44"/>
      <c r="M909" s="44">
        <v>38400</v>
      </c>
      <c r="N909" s="44"/>
      <c r="O909" s="44"/>
      <c r="P909" s="44">
        <v>19200</v>
      </c>
      <c r="Q909" s="44"/>
      <c r="R909" s="44">
        <v>38400</v>
      </c>
      <c r="S909" s="44"/>
      <c r="T909" s="44"/>
      <c r="U909" s="44"/>
      <c r="V909" s="44"/>
      <c r="W909" s="44"/>
      <c r="X909" s="44"/>
      <c r="Y909" s="44"/>
      <c r="Z909" s="44"/>
      <c r="AA909" s="44"/>
      <c r="AB909" s="44"/>
      <c r="AC909" s="44"/>
      <c r="AD909" s="44"/>
      <c r="AE909" s="44"/>
      <c r="AF909" s="44"/>
    </row>
    <row r="910" spans="1:32" x14ac:dyDescent="0.3">
      <c r="A910" s="38" t="s">
        <v>261</v>
      </c>
      <c r="B910" s="38" t="s">
        <v>174</v>
      </c>
      <c r="C910" s="38" t="s">
        <v>258</v>
      </c>
      <c r="D910" s="39" t="s">
        <v>262</v>
      </c>
      <c r="E910" s="39" t="s">
        <v>177</v>
      </c>
      <c r="F910" s="38" t="s">
        <v>140</v>
      </c>
      <c r="G910" s="38" t="s">
        <v>130</v>
      </c>
      <c r="H910" s="44"/>
      <c r="I910" s="44">
        <f>I905-(I900+I899)+(I904+I903+I902+I901)</f>
        <v>45810.36</v>
      </c>
      <c r="J910" s="44">
        <f t="shared" ref="J910:AF910" si="208">I910+J905-J900</f>
        <v>45533.16</v>
      </c>
      <c r="K910" s="44">
        <f t="shared" si="208"/>
        <v>64475.43</v>
      </c>
      <c r="L910" s="44">
        <f t="shared" si="208"/>
        <v>64217.04</v>
      </c>
      <c r="M910" s="44">
        <f t="shared" si="208"/>
        <v>102421.02</v>
      </c>
      <c r="N910" s="44">
        <f t="shared" si="208"/>
        <v>102234.90000000001</v>
      </c>
      <c r="O910" s="44">
        <f t="shared" si="208"/>
        <v>102050.1</v>
      </c>
      <c r="P910" s="44">
        <f t="shared" si="208"/>
        <v>121066.29000000001</v>
      </c>
      <c r="Q910" s="44">
        <f t="shared" si="208"/>
        <v>120881.49</v>
      </c>
      <c r="R910" s="44">
        <f t="shared" si="208"/>
        <v>159097.34999999998</v>
      </c>
      <c r="S910" s="44">
        <f t="shared" si="208"/>
        <v>158914.52999999997</v>
      </c>
      <c r="T910" s="44">
        <f t="shared" si="208"/>
        <v>158732.36999999997</v>
      </c>
      <c r="U910" s="44">
        <f t="shared" si="208"/>
        <v>158535.68999999997</v>
      </c>
      <c r="V910" s="44">
        <f t="shared" si="208"/>
        <v>158252.87999999998</v>
      </c>
      <c r="W910" s="44">
        <f t="shared" si="208"/>
        <v>157972.37999999998</v>
      </c>
      <c r="X910" s="44">
        <f t="shared" si="208"/>
        <v>157691.54999999999</v>
      </c>
      <c r="Y910" s="44">
        <f t="shared" si="208"/>
        <v>157411.04999999999</v>
      </c>
      <c r="Z910" s="44">
        <f t="shared" si="208"/>
        <v>157153.97999999998</v>
      </c>
      <c r="AA910" s="44">
        <f t="shared" si="208"/>
        <v>156905.49</v>
      </c>
      <c r="AB910" s="44">
        <f t="shared" si="208"/>
        <v>156657.32999999999</v>
      </c>
      <c r="AC910" s="44">
        <f t="shared" si="208"/>
        <v>156409.16999999998</v>
      </c>
      <c r="AD910" s="44">
        <f t="shared" si="208"/>
        <v>156096.32999999999</v>
      </c>
      <c r="AE910" s="44">
        <f t="shared" si="208"/>
        <v>155756.43</v>
      </c>
      <c r="AF910" s="44">
        <f t="shared" si="208"/>
        <v>155417.19</v>
      </c>
    </row>
    <row r="911" spans="1:32" ht="15" thickBot="1" x14ac:dyDescent="0.35">
      <c r="A911" s="40" t="s">
        <v>261</v>
      </c>
      <c r="B911" s="40" t="s">
        <v>174</v>
      </c>
      <c r="C911" s="40" t="s">
        <v>258</v>
      </c>
      <c r="D911" s="41" t="s">
        <v>262</v>
      </c>
      <c r="E911" s="41" t="s">
        <v>177</v>
      </c>
      <c r="F911" s="40" t="s">
        <v>141</v>
      </c>
      <c r="G911" s="40" t="s">
        <v>130</v>
      </c>
      <c r="H911" s="45"/>
      <c r="I911" s="45">
        <f>I905-I909</f>
        <v>0</v>
      </c>
      <c r="J911" s="45">
        <f t="shared" ref="J911:AF911" si="209">I911+J905-J909</f>
        <v>0</v>
      </c>
      <c r="K911" s="45">
        <f t="shared" si="209"/>
        <v>0</v>
      </c>
      <c r="L911" s="45">
        <f t="shared" si="209"/>
        <v>0</v>
      </c>
      <c r="M911" s="45">
        <f t="shared" si="209"/>
        <v>0</v>
      </c>
      <c r="N911" s="45">
        <f t="shared" si="209"/>
        <v>0</v>
      </c>
      <c r="O911" s="45">
        <f t="shared" si="209"/>
        <v>0</v>
      </c>
      <c r="P911" s="45">
        <f t="shared" si="209"/>
        <v>0</v>
      </c>
      <c r="Q911" s="45">
        <f t="shared" si="209"/>
        <v>0</v>
      </c>
      <c r="R911" s="45">
        <f t="shared" si="209"/>
        <v>0</v>
      </c>
      <c r="S911" s="45">
        <f t="shared" si="209"/>
        <v>0</v>
      </c>
      <c r="T911" s="45">
        <f t="shared" si="209"/>
        <v>0</v>
      </c>
      <c r="U911" s="45">
        <f t="shared" si="209"/>
        <v>0</v>
      </c>
      <c r="V911" s="45">
        <f t="shared" si="209"/>
        <v>0</v>
      </c>
      <c r="W911" s="45">
        <f t="shared" si="209"/>
        <v>0</v>
      </c>
      <c r="X911" s="45">
        <f t="shared" si="209"/>
        <v>0</v>
      </c>
      <c r="Y911" s="45">
        <f t="shared" si="209"/>
        <v>0</v>
      </c>
      <c r="Z911" s="45">
        <f t="shared" si="209"/>
        <v>0</v>
      </c>
      <c r="AA911" s="45">
        <f t="shared" si="209"/>
        <v>0</v>
      </c>
      <c r="AB911" s="45">
        <f t="shared" si="209"/>
        <v>0</v>
      </c>
      <c r="AC911" s="45">
        <f t="shared" si="209"/>
        <v>0</v>
      </c>
      <c r="AD911" s="45">
        <f t="shared" si="209"/>
        <v>0</v>
      </c>
      <c r="AE911" s="45">
        <f t="shared" si="209"/>
        <v>0</v>
      </c>
      <c r="AF911" s="45">
        <f t="shared" si="209"/>
        <v>0</v>
      </c>
    </row>
    <row r="912" spans="1:32" x14ac:dyDescent="0.3">
      <c r="A912" s="38" t="s">
        <v>263</v>
      </c>
      <c r="B912" s="38" t="s">
        <v>174</v>
      </c>
      <c r="C912" s="38" t="s">
        <v>264</v>
      </c>
      <c r="D912" s="39" t="s">
        <v>198</v>
      </c>
      <c r="E912" s="39" t="s">
        <v>177</v>
      </c>
      <c r="F912" s="38" t="s">
        <v>129</v>
      </c>
      <c r="G912" s="38" t="s">
        <v>130</v>
      </c>
      <c r="H912" s="44">
        <v>4172</v>
      </c>
      <c r="I912" s="44">
        <v>4172</v>
      </c>
      <c r="J912" s="44"/>
      <c r="K912" s="44"/>
      <c r="L912" s="44"/>
      <c r="M912" s="44"/>
      <c r="N912" s="44"/>
      <c r="O912" s="44"/>
      <c r="P912" s="44"/>
      <c r="Q912" s="44"/>
      <c r="R912" s="44"/>
      <c r="S912" s="44"/>
      <c r="T912" s="44"/>
      <c r="U912" s="44"/>
      <c r="V912" s="44"/>
      <c r="W912" s="44"/>
      <c r="X912" s="44"/>
      <c r="Y912" s="44"/>
      <c r="Z912" s="44"/>
      <c r="AA912" s="44"/>
      <c r="AB912" s="44"/>
      <c r="AC912" s="44"/>
      <c r="AD912" s="44"/>
      <c r="AE912" s="44"/>
      <c r="AF912" s="44"/>
    </row>
    <row r="913" spans="1:32" x14ac:dyDescent="0.3">
      <c r="A913" s="38" t="s">
        <v>263</v>
      </c>
      <c r="B913" s="38" t="s">
        <v>174</v>
      </c>
      <c r="C913" s="38" t="s">
        <v>264</v>
      </c>
      <c r="D913" s="39" t="s">
        <v>198</v>
      </c>
      <c r="E913" s="39" t="s">
        <v>177</v>
      </c>
      <c r="F913" s="38" t="s">
        <v>131</v>
      </c>
      <c r="G913" s="38" t="s">
        <v>130</v>
      </c>
      <c r="H913" s="44">
        <v>14233</v>
      </c>
      <c r="I913" s="44">
        <v>998.5</v>
      </c>
      <c r="J913" s="44">
        <v>679</v>
      </c>
      <c r="K913" s="44">
        <v>619</v>
      </c>
      <c r="L913" s="44">
        <v>608.5</v>
      </c>
      <c r="M913" s="44">
        <v>606.5</v>
      </c>
      <c r="N913" s="44">
        <v>606.5</v>
      </c>
      <c r="O913" s="44">
        <v>615</v>
      </c>
      <c r="P913" s="44">
        <v>606.5</v>
      </c>
      <c r="Q913" s="44">
        <v>569</v>
      </c>
      <c r="R913" s="44">
        <v>533.5</v>
      </c>
      <c r="S913" s="44">
        <v>531</v>
      </c>
      <c r="T913" s="44">
        <v>523</v>
      </c>
      <c r="U913" s="44">
        <v>505</v>
      </c>
      <c r="V913" s="44">
        <v>565</v>
      </c>
      <c r="W913" s="44">
        <v>564</v>
      </c>
      <c r="X913" s="44">
        <v>563</v>
      </c>
      <c r="Y913" s="44">
        <v>562</v>
      </c>
      <c r="Z913" s="44">
        <v>597.5</v>
      </c>
      <c r="AA913" s="44">
        <v>617.5</v>
      </c>
      <c r="AB913" s="44">
        <v>615.5</v>
      </c>
      <c r="AC913" s="44">
        <v>614</v>
      </c>
      <c r="AD913" s="44">
        <v>531.5</v>
      </c>
      <c r="AE913" s="44">
        <v>502</v>
      </c>
      <c r="AF913" s="44">
        <v>500</v>
      </c>
    </row>
    <row r="914" spans="1:32" x14ac:dyDescent="0.3">
      <c r="A914" s="38" t="s">
        <v>263</v>
      </c>
      <c r="B914" s="38" t="s">
        <v>174</v>
      </c>
      <c r="C914" s="38" t="s">
        <v>264</v>
      </c>
      <c r="D914" s="39" t="s">
        <v>198</v>
      </c>
      <c r="E914" s="39" t="s">
        <v>177</v>
      </c>
      <c r="F914" s="38" t="s">
        <v>132</v>
      </c>
      <c r="G914" s="38" t="s">
        <v>130</v>
      </c>
      <c r="H914" s="44">
        <v>19500</v>
      </c>
      <c r="I914" s="44">
        <v>19500</v>
      </c>
      <c r="J914" s="44"/>
      <c r="K914" s="44"/>
      <c r="L914" s="44"/>
      <c r="M914" s="44"/>
      <c r="N914" s="44"/>
      <c r="O914" s="44"/>
      <c r="P914" s="44"/>
      <c r="Q914" s="44"/>
      <c r="R914" s="44"/>
      <c r="S914" s="44"/>
      <c r="T914" s="44"/>
      <c r="U914" s="44"/>
      <c r="V914" s="44"/>
      <c r="W914" s="44"/>
      <c r="X914" s="44"/>
      <c r="Y914" s="44"/>
      <c r="Z914" s="44"/>
      <c r="AA914" s="44"/>
      <c r="AB914" s="44"/>
      <c r="AC914" s="44"/>
      <c r="AD914" s="44"/>
      <c r="AE914" s="44"/>
      <c r="AF914" s="44"/>
    </row>
    <row r="915" spans="1:32" x14ac:dyDescent="0.3">
      <c r="A915" s="38" t="s">
        <v>263</v>
      </c>
      <c r="B915" s="38" t="s">
        <v>174</v>
      </c>
      <c r="C915" s="38" t="s">
        <v>264</v>
      </c>
      <c r="D915" s="39" t="s">
        <v>198</v>
      </c>
      <c r="E915" s="39" t="s">
        <v>177</v>
      </c>
      <c r="F915" s="38" t="s">
        <v>133</v>
      </c>
      <c r="G915" s="38" t="s">
        <v>130</v>
      </c>
      <c r="H915" s="44">
        <v>0</v>
      </c>
      <c r="I915" s="44">
        <v>0</v>
      </c>
      <c r="J915" s="44"/>
      <c r="K915" s="44"/>
      <c r="L915" s="44"/>
      <c r="M915" s="44"/>
      <c r="N915" s="44"/>
      <c r="O915" s="44"/>
      <c r="P915" s="44"/>
      <c r="Q915" s="44"/>
      <c r="R915" s="44"/>
      <c r="S915" s="44"/>
      <c r="T915" s="44"/>
      <c r="U915" s="44"/>
      <c r="V915" s="44"/>
      <c r="W915" s="44"/>
      <c r="X915" s="44"/>
      <c r="Y915" s="44"/>
      <c r="Z915" s="44"/>
      <c r="AA915" s="44"/>
      <c r="AB915" s="44"/>
      <c r="AC915" s="44"/>
      <c r="AD915" s="44"/>
      <c r="AE915" s="44"/>
      <c r="AF915" s="44"/>
    </row>
    <row r="916" spans="1:32" x14ac:dyDescent="0.3">
      <c r="A916" s="38" t="s">
        <v>263</v>
      </c>
      <c r="B916" s="38" t="s">
        <v>174</v>
      </c>
      <c r="C916" s="38" t="s">
        <v>264</v>
      </c>
      <c r="D916" s="39" t="s">
        <v>198</v>
      </c>
      <c r="E916" s="39" t="s">
        <v>177</v>
      </c>
      <c r="F916" s="38" t="s">
        <v>134</v>
      </c>
      <c r="G916" s="38" t="s">
        <v>130</v>
      </c>
      <c r="H916" s="44">
        <v>935</v>
      </c>
      <c r="I916" s="44">
        <v>935</v>
      </c>
      <c r="J916" s="44"/>
      <c r="K916" s="44"/>
      <c r="L916" s="44"/>
      <c r="M916" s="44"/>
      <c r="N916" s="44"/>
      <c r="O916" s="44"/>
      <c r="P916" s="44"/>
      <c r="Q916" s="44"/>
      <c r="R916" s="44"/>
      <c r="S916" s="44"/>
      <c r="T916" s="44"/>
      <c r="U916" s="44"/>
      <c r="V916" s="44"/>
      <c r="W916" s="44"/>
      <c r="X916" s="44"/>
      <c r="Y916" s="44"/>
      <c r="Z916" s="44"/>
      <c r="AA916" s="44"/>
      <c r="AB916" s="44"/>
      <c r="AC916" s="44"/>
      <c r="AD916" s="44"/>
      <c r="AE916" s="44"/>
      <c r="AF916" s="44"/>
    </row>
    <row r="917" spans="1:32" x14ac:dyDescent="0.3">
      <c r="A917" s="38" t="s">
        <v>263</v>
      </c>
      <c r="B917" s="38" t="s">
        <v>174</v>
      </c>
      <c r="C917" s="38" t="s">
        <v>264</v>
      </c>
      <c r="D917" s="39" t="s">
        <v>198</v>
      </c>
      <c r="E917" s="39" t="s">
        <v>177</v>
      </c>
      <c r="F917" s="38" t="s">
        <v>135</v>
      </c>
      <c r="G917" s="38" t="s">
        <v>130</v>
      </c>
      <c r="H917" s="44"/>
      <c r="I917" s="44"/>
      <c r="J917" s="44"/>
      <c r="K917" s="44"/>
      <c r="L917" s="44"/>
      <c r="M917" s="44"/>
      <c r="N917" s="44"/>
      <c r="O917" s="44"/>
      <c r="P917" s="44"/>
      <c r="Q917" s="44"/>
      <c r="R917" s="44"/>
      <c r="S917" s="44"/>
      <c r="T917" s="44"/>
      <c r="U917" s="44"/>
      <c r="V917" s="44"/>
      <c r="W917" s="44"/>
      <c r="X917" s="44"/>
      <c r="Y917" s="44"/>
      <c r="Z917" s="44"/>
      <c r="AA917" s="44"/>
      <c r="AB917" s="44"/>
      <c r="AC917" s="44"/>
      <c r="AD917" s="44"/>
      <c r="AE917" s="44"/>
      <c r="AF917" s="44"/>
    </row>
    <row r="918" spans="1:32" x14ac:dyDescent="0.3">
      <c r="A918" s="38" t="s">
        <v>263</v>
      </c>
      <c r="B918" s="38" t="s">
        <v>174</v>
      </c>
      <c r="C918" s="38" t="s">
        <v>264</v>
      </c>
      <c r="D918" s="39" t="s">
        <v>198</v>
      </c>
      <c r="E918" s="39" t="s">
        <v>177</v>
      </c>
      <c r="F918" s="38" t="s">
        <v>136</v>
      </c>
      <c r="G918" s="38" t="s">
        <v>130</v>
      </c>
      <c r="H918" s="44">
        <f>SUM(I918:AF918)</f>
        <v>37000</v>
      </c>
      <c r="I918" s="44">
        <f t="shared" ref="I918:AF918" si="210">IF(AND(ISBLANK(I921) = TRUE,ISBLANK(I920) = TRUE),I919,I920+I921)</f>
        <v>0</v>
      </c>
      <c r="J918" s="44">
        <f t="shared" si="210"/>
        <v>0</v>
      </c>
      <c r="K918" s="44">
        <f t="shared" si="210"/>
        <v>0</v>
      </c>
      <c r="L918" s="44">
        <f t="shared" si="210"/>
        <v>0</v>
      </c>
      <c r="M918" s="44">
        <f t="shared" si="210"/>
        <v>0</v>
      </c>
      <c r="N918" s="44">
        <f t="shared" si="210"/>
        <v>10000</v>
      </c>
      <c r="O918" s="44">
        <f t="shared" si="210"/>
        <v>0</v>
      </c>
      <c r="P918" s="44">
        <f t="shared" si="210"/>
        <v>0</v>
      </c>
      <c r="Q918" s="44">
        <f t="shared" si="210"/>
        <v>2000</v>
      </c>
      <c r="R918" s="44">
        <f t="shared" si="210"/>
        <v>10000</v>
      </c>
      <c r="S918" s="44">
        <f t="shared" si="210"/>
        <v>0</v>
      </c>
      <c r="T918" s="44">
        <f t="shared" si="210"/>
        <v>0</v>
      </c>
      <c r="U918" s="44">
        <f t="shared" si="210"/>
        <v>10000</v>
      </c>
      <c r="V918" s="44">
        <f t="shared" si="210"/>
        <v>5000</v>
      </c>
      <c r="W918" s="44">
        <f t="shared" si="210"/>
        <v>0</v>
      </c>
      <c r="X918" s="44">
        <f t="shared" si="210"/>
        <v>0</v>
      </c>
      <c r="Y918" s="44">
        <f t="shared" si="210"/>
        <v>0</v>
      </c>
      <c r="Z918" s="44">
        <f t="shared" si="210"/>
        <v>0</v>
      </c>
      <c r="AA918" s="44">
        <f t="shared" si="210"/>
        <v>0</v>
      </c>
      <c r="AB918" s="44">
        <f t="shared" si="210"/>
        <v>0</v>
      </c>
      <c r="AC918" s="44">
        <f t="shared" si="210"/>
        <v>0</v>
      </c>
      <c r="AD918" s="44">
        <f t="shared" si="210"/>
        <v>0</v>
      </c>
      <c r="AE918" s="44">
        <f t="shared" si="210"/>
        <v>0</v>
      </c>
      <c r="AF918" s="44">
        <f t="shared" si="210"/>
        <v>0</v>
      </c>
    </row>
    <row r="919" spans="1:32" x14ac:dyDescent="0.3">
      <c r="A919" s="38" t="s">
        <v>263</v>
      </c>
      <c r="B919" s="38" t="s">
        <v>174</v>
      </c>
      <c r="C919" s="38" t="s">
        <v>264</v>
      </c>
      <c r="D919" s="39" t="s">
        <v>198</v>
      </c>
      <c r="E919" s="39" t="s">
        <v>177</v>
      </c>
      <c r="F919" s="38" t="s">
        <v>124</v>
      </c>
      <c r="G919" s="38" t="s">
        <v>130</v>
      </c>
      <c r="H919" s="44">
        <v>37000</v>
      </c>
      <c r="I919" s="44"/>
      <c r="J919" s="44"/>
      <c r="K919" s="44"/>
      <c r="L919" s="44"/>
      <c r="M919" s="44"/>
      <c r="N919" s="44">
        <v>10000</v>
      </c>
      <c r="O919" s="44"/>
      <c r="P919" s="44"/>
      <c r="Q919" s="44">
        <v>2000</v>
      </c>
      <c r="R919" s="44">
        <v>10000</v>
      </c>
      <c r="S919" s="44"/>
      <c r="T919" s="44"/>
      <c r="U919" s="44">
        <v>10000</v>
      </c>
      <c r="V919" s="44">
        <v>5000</v>
      </c>
      <c r="W919" s="44"/>
      <c r="X919" s="44"/>
      <c r="Y919" s="44"/>
      <c r="Z919" s="44"/>
      <c r="AA919" s="44"/>
      <c r="AB919" s="44"/>
      <c r="AC919" s="44"/>
      <c r="AD919" s="44"/>
      <c r="AE919" s="44"/>
      <c r="AF919" s="44"/>
    </row>
    <row r="920" spans="1:32" x14ac:dyDescent="0.3">
      <c r="A920" s="38" t="s">
        <v>263</v>
      </c>
      <c r="B920" s="38" t="s">
        <v>174</v>
      </c>
      <c r="C920" s="38" t="s">
        <v>264</v>
      </c>
      <c r="D920" s="39" t="s">
        <v>198</v>
      </c>
      <c r="E920" s="39" t="s">
        <v>177</v>
      </c>
      <c r="F920" s="38" t="s">
        <v>137</v>
      </c>
      <c r="G920" s="38" t="s">
        <v>130</v>
      </c>
      <c r="H920" s="44">
        <f>SUM(I920:AF920)</f>
        <v>0</v>
      </c>
      <c r="I920" s="44"/>
      <c r="J920" s="44"/>
      <c r="K920" s="44"/>
      <c r="L920" s="44"/>
      <c r="M920" s="44"/>
      <c r="N920" s="44"/>
      <c r="O920" s="44"/>
      <c r="P920" s="44"/>
      <c r="Q920" s="44"/>
      <c r="R920" s="44"/>
      <c r="S920" s="44"/>
      <c r="T920" s="44"/>
      <c r="U920" s="44"/>
      <c r="V920" s="44"/>
      <c r="W920" s="44"/>
      <c r="X920" s="44"/>
      <c r="Y920" s="44"/>
      <c r="Z920" s="44"/>
      <c r="AA920" s="44"/>
      <c r="AB920" s="44"/>
      <c r="AC920" s="44"/>
      <c r="AD920" s="44"/>
      <c r="AE920" s="44"/>
      <c r="AF920" s="44"/>
    </row>
    <row r="921" spans="1:32" x14ac:dyDescent="0.3">
      <c r="A921" s="38" t="s">
        <v>263</v>
      </c>
      <c r="B921" s="38" t="s">
        <v>174</v>
      </c>
      <c r="C921" s="38" t="s">
        <v>264</v>
      </c>
      <c r="D921" s="39" t="s">
        <v>198</v>
      </c>
      <c r="E921" s="39" t="s">
        <v>177</v>
      </c>
      <c r="F921" s="38" t="s">
        <v>138</v>
      </c>
      <c r="G921" s="38" t="s">
        <v>130</v>
      </c>
      <c r="H921" s="44">
        <f>SUM(I921:AF921)</f>
        <v>0</v>
      </c>
      <c r="I921" s="44"/>
      <c r="J921" s="44"/>
      <c r="K921" s="44"/>
      <c r="L921" s="44"/>
      <c r="M921" s="44"/>
      <c r="N921" s="44"/>
      <c r="O921" s="44"/>
      <c r="P921" s="44"/>
      <c r="Q921" s="44"/>
      <c r="R921" s="44"/>
      <c r="S921" s="44"/>
      <c r="T921" s="44"/>
      <c r="U921" s="44"/>
      <c r="V921" s="44"/>
      <c r="W921" s="44"/>
      <c r="X921" s="44"/>
      <c r="Y921" s="44"/>
      <c r="Z921" s="44"/>
      <c r="AA921" s="44"/>
      <c r="AB921" s="44"/>
      <c r="AC921" s="44"/>
      <c r="AD921" s="44"/>
      <c r="AE921" s="44"/>
      <c r="AF921" s="44"/>
    </row>
    <row r="922" spans="1:32" x14ac:dyDescent="0.3">
      <c r="A922" s="38" t="s">
        <v>263</v>
      </c>
      <c r="B922" s="38" t="s">
        <v>174</v>
      </c>
      <c r="C922" s="38" t="s">
        <v>264</v>
      </c>
      <c r="D922" s="39" t="s">
        <v>198</v>
      </c>
      <c r="E922" s="39" t="s">
        <v>177</v>
      </c>
      <c r="F922" s="38" t="s">
        <v>139</v>
      </c>
      <c r="G922" s="38" t="s">
        <v>130</v>
      </c>
      <c r="H922" s="44">
        <v>37000</v>
      </c>
      <c r="I922" s="44"/>
      <c r="J922" s="44"/>
      <c r="K922" s="44"/>
      <c r="L922" s="44"/>
      <c r="M922" s="44"/>
      <c r="N922" s="44">
        <v>10000</v>
      </c>
      <c r="O922" s="44"/>
      <c r="P922" s="44"/>
      <c r="Q922" s="44">
        <v>2000</v>
      </c>
      <c r="R922" s="44">
        <v>10000</v>
      </c>
      <c r="S922" s="44"/>
      <c r="T922" s="44"/>
      <c r="U922" s="44">
        <v>10000</v>
      </c>
      <c r="V922" s="44">
        <v>5000</v>
      </c>
      <c r="W922" s="44"/>
      <c r="X922" s="44"/>
      <c r="Y922" s="44"/>
      <c r="Z922" s="44"/>
      <c r="AA922" s="44"/>
      <c r="AB922" s="44"/>
      <c r="AC922" s="44"/>
      <c r="AD922" s="44"/>
      <c r="AE922" s="44"/>
      <c r="AF922" s="44"/>
    </row>
    <row r="923" spans="1:32" x14ac:dyDescent="0.3">
      <c r="A923" s="38" t="s">
        <v>263</v>
      </c>
      <c r="B923" s="38" t="s">
        <v>174</v>
      </c>
      <c r="C923" s="38" t="s">
        <v>264</v>
      </c>
      <c r="D923" s="39" t="s">
        <v>198</v>
      </c>
      <c r="E923" s="39" t="s">
        <v>177</v>
      </c>
      <c r="F923" s="38" t="s">
        <v>140</v>
      </c>
      <c r="G923" s="38" t="s">
        <v>130</v>
      </c>
      <c r="H923" s="44"/>
      <c r="I923" s="44">
        <f>I918-(I913+I912)+(I917+I916+I915+I914)</f>
        <v>15264.5</v>
      </c>
      <c r="J923" s="44">
        <f t="shared" ref="J923:AF923" si="211">I923+J918-J913</f>
        <v>14585.5</v>
      </c>
      <c r="K923" s="44">
        <f t="shared" si="211"/>
        <v>13966.5</v>
      </c>
      <c r="L923" s="44">
        <f t="shared" si="211"/>
        <v>13358</v>
      </c>
      <c r="M923" s="44">
        <f t="shared" si="211"/>
        <v>12751.5</v>
      </c>
      <c r="N923" s="44">
        <f t="shared" si="211"/>
        <v>22145</v>
      </c>
      <c r="O923" s="44">
        <f t="shared" si="211"/>
        <v>21530</v>
      </c>
      <c r="P923" s="44">
        <f t="shared" si="211"/>
        <v>20923.5</v>
      </c>
      <c r="Q923" s="44">
        <f t="shared" si="211"/>
        <v>22354.5</v>
      </c>
      <c r="R923" s="44">
        <f t="shared" si="211"/>
        <v>31821</v>
      </c>
      <c r="S923" s="44">
        <f t="shared" si="211"/>
        <v>31290</v>
      </c>
      <c r="T923" s="44">
        <f t="shared" si="211"/>
        <v>30767</v>
      </c>
      <c r="U923" s="44">
        <f t="shared" si="211"/>
        <v>40262</v>
      </c>
      <c r="V923" s="44">
        <f t="shared" si="211"/>
        <v>44697</v>
      </c>
      <c r="W923" s="44">
        <f t="shared" si="211"/>
        <v>44133</v>
      </c>
      <c r="X923" s="44">
        <f t="shared" si="211"/>
        <v>43570</v>
      </c>
      <c r="Y923" s="44">
        <f t="shared" si="211"/>
        <v>43008</v>
      </c>
      <c r="Z923" s="44">
        <f t="shared" si="211"/>
        <v>42410.5</v>
      </c>
      <c r="AA923" s="44">
        <f t="shared" si="211"/>
        <v>41793</v>
      </c>
      <c r="AB923" s="44">
        <f t="shared" si="211"/>
        <v>41177.5</v>
      </c>
      <c r="AC923" s="44">
        <f t="shared" si="211"/>
        <v>40563.5</v>
      </c>
      <c r="AD923" s="44">
        <f t="shared" si="211"/>
        <v>40032</v>
      </c>
      <c r="AE923" s="44">
        <f t="shared" si="211"/>
        <v>39530</v>
      </c>
      <c r="AF923" s="44">
        <f t="shared" si="211"/>
        <v>39030</v>
      </c>
    </row>
    <row r="924" spans="1:32" ht="15" thickBot="1" x14ac:dyDescent="0.35">
      <c r="A924" s="40" t="s">
        <v>263</v>
      </c>
      <c r="B924" s="40" t="s">
        <v>174</v>
      </c>
      <c r="C924" s="40" t="s">
        <v>264</v>
      </c>
      <c r="D924" s="41" t="s">
        <v>198</v>
      </c>
      <c r="E924" s="41" t="s">
        <v>177</v>
      </c>
      <c r="F924" s="40" t="s">
        <v>141</v>
      </c>
      <c r="G924" s="40" t="s">
        <v>130</v>
      </c>
      <c r="H924" s="45"/>
      <c r="I924" s="45">
        <f>I918-I922</f>
        <v>0</v>
      </c>
      <c r="J924" s="45">
        <f t="shared" ref="J924:AF924" si="212">I924+J918-J922</f>
        <v>0</v>
      </c>
      <c r="K924" s="45">
        <f t="shared" si="212"/>
        <v>0</v>
      </c>
      <c r="L924" s="45">
        <f t="shared" si="212"/>
        <v>0</v>
      </c>
      <c r="M924" s="45">
        <f t="shared" si="212"/>
        <v>0</v>
      </c>
      <c r="N924" s="45">
        <f t="shared" si="212"/>
        <v>0</v>
      </c>
      <c r="O924" s="45">
        <f t="shared" si="212"/>
        <v>0</v>
      </c>
      <c r="P924" s="45">
        <f t="shared" si="212"/>
        <v>0</v>
      </c>
      <c r="Q924" s="45">
        <f t="shared" si="212"/>
        <v>0</v>
      </c>
      <c r="R924" s="45">
        <f t="shared" si="212"/>
        <v>0</v>
      </c>
      <c r="S924" s="45">
        <f t="shared" si="212"/>
        <v>0</v>
      </c>
      <c r="T924" s="45">
        <f t="shared" si="212"/>
        <v>0</v>
      </c>
      <c r="U924" s="45">
        <f t="shared" si="212"/>
        <v>0</v>
      </c>
      <c r="V924" s="45">
        <f t="shared" si="212"/>
        <v>0</v>
      </c>
      <c r="W924" s="45">
        <f t="shared" si="212"/>
        <v>0</v>
      </c>
      <c r="X924" s="45">
        <f t="shared" si="212"/>
        <v>0</v>
      </c>
      <c r="Y924" s="45">
        <f t="shared" si="212"/>
        <v>0</v>
      </c>
      <c r="Z924" s="45">
        <f t="shared" si="212"/>
        <v>0</v>
      </c>
      <c r="AA924" s="45">
        <f t="shared" si="212"/>
        <v>0</v>
      </c>
      <c r="AB924" s="45">
        <f t="shared" si="212"/>
        <v>0</v>
      </c>
      <c r="AC924" s="45">
        <f t="shared" si="212"/>
        <v>0</v>
      </c>
      <c r="AD924" s="45">
        <f t="shared" si="212"/>
        <v>0</v>
      </c>
      <c r="AE924" s="45">
        <f t="shared" si="212"/>
        <v>0</v>
      </c>
      <c r="AF924" s="45">
        <f t="shared" si="212"/>
        <v>0</v>
      </c>
    </row>
    <row r="925" spans="1:32" x14ac:dyDescent="0.3">
      <c r="A925" s="38" t="s">
        <v>265</v>
      </c>
      <c r="B925" s="38" t="s">
        <v>174</v>
      </c>
      <c r="C925" s="38" t="s">
        <v>264</v>
      </c>
      <c r="D925" s="39" t="s">
        <v>183</v>
      </c>
      <c r="E925" s="39" t="s">
        <v>177</v>
      </c>
      <c r="F925" s="38" t="s">
        <v>129</v>
      </c>
      <c r="G925" s="38" t="s">
        <v>130</v>
      </c>
      <c r="H925" s="44">
        <v>11088</v>
      </c>
      <c r="I925" s="44">
        <v>11088</v>
      </c>
      <c r="J925" s="44"/>
      <c r="K925" s="44"/>
      <c r="L925" s="44"/>
      <c r="M925" s="44"/>
      <c r="N925" s="44"/>
      <c r="O925" s="44"/>
      <c r="P925" s="44"/>
      <c r="Q925" s="44"/>
      <c r="R925" s="44"/>
      <c r="S925" s="44"/>
      <c r="T925" s="44"/>
      <c r="U925" s="44"/>
      <c r="V925" s="44"/>
      <c r="W925" s="44"/>
      <c r="X925" s="44"/>
      <c r="Y925" s="44"/>
      <c r="Z925" s="44"/>
      <c r="AA925" s="44"/>
      <c r="AB925" s="44"/>
      <c r="AC925" s="44"/>
      <c r="AD925" s="44"/>
      <c r="AE925" s="44"/>
      <c r="AF925" s="44"/>
    </row>
    <row r="926" spans="1:32" x14ac:dyDescent="0.3">
      <c r="A926" s="38" t="s">
        <v>265</v>
      </c>
      <c r="B926" s="38" t="s">
        <v>174</v>
      </c>
      <c r="C926" s="38" t="s">
        <v>264</v>
      </c>
      <c r="D926" s="39" t="s">
        <v>183</v>
      </c>
      <c r="E926" s="39" t="s">
        <v>177</v>
      </c>
      <c r="F926" s="38" t="s">
        <v>131</v>
      </c>
      <c r="G926" s="38" t="s">
        <v>130</v>
      </c>
      <c r="H926" s="44">
        <v>50188</v>
      </c>
      <c r="I926" s="44">
        <v>1893.5</v>
      </c>
      <c r="J926" s="44">
        <v>1772</v>
      </c>
      <c r="K926" s="44">
        <v>3359</v>
      </c>
      <c r="L926" s="44">
        <v>2739.5</v>
      </c>
      <c r="M926" s="44">
        <v>3010.5</v>
      </c>
      <c r="N926" s="44">
        <v>2650.5</v>
      </c>
      <c r="O926" s="44">
        <v>3310</v>
      </c>
      <c r="P926" s="44">
        <v>2706.5</v>
      </c>
      <c r="Q926" s="44">
        <v>3001</v>
      </c>
      <c r="R926" s="44">
        <v>2781.5</v>
      </c>
      <c r="S926" s="44">
        <v>2100</v>
      </c>
      <c r="T926" s="44">
        <v>2342</v>
      </c>
      <c r="U926" s="44">
        <v>2166</v>
      </c>
      <c r="V926" s="44">
        <v>2263</v>
      </c>
      <c r="W926" s="44">
        <v>2279</v>
      </c>
      <c r="X926" s="44">
        <v>1480</v>
      </c>
      <c r="Y926" s="44">
        <v>1465</v>
      </c>
      <c r="Z926" s="44">
        <v>1327.5</v>
      </c>
      <c r="AA926" s="44">
        <v>1267.5</v>
      </c>
      <c r="AB926" s="44">
        <v>1287.5</v>
      </c>
      <c r="AC926" s="44">
        <v>1265</v>
      </c>
      <c r="AD926" s="44">
        <v>1244.5</v>
      </c>
      <c r="AE926" s="44">
        <v>1239</v>
      </c>
      <c r="AF926" s="44">
        <v>1238</v>
      </c>
    </row>
    <row r="927" spans="1:32" x14ac:dyDescent="0.3">
      <c r="A927" s="38" t="s">
        <v>265</v>
      </c>
      <c r="B927" s="38" t="s">
        <v>174</v>
      </c>
      <c r="C927" s="38" t="s">
        <v>264</v>
      </c>
      <c r="D927" s="39" t="s">
        <v>183</v>
      </c>
      <c r="E927" s="39" t="s">
        <v>177</v>
      </c>
      <c r="F927" s="38" t="s">
        <v>132</v>
      </c>
      <c r="G927" s="38" t="s">
        <v>130</v>
      </c>
      <c r="H927" s="44">
        <v>0</v>
      </c>
      <c r="I927" s="44">
        <v>0</v>
      </c>
      <c r="J927" s="44"/>
      <c r="K927" s="44"/>
      <c r="L927" s="44"/>
      <c r="M927" s="44"/>
      <c r="N927" s="44"/>
      <c r="O927" s="44"/>
      <c r="P927" s="44"/>
      <c r="Q927" s="44"/>
      <c r="R927" s="44"/>
      <c r="S927" s="44"/>
      <c r="T927" s="44"/>
      <c r="U927" s="44"/>
      <c r="V927" s="44"/>
      <c r="W927" s="44"/>
      <c r="X927" s="44"/>
      <c r="Y927" s="44"/>
      <c r="Z927" s="44"/>
      <c r="AA927" s="44"/>
      <c r="AB927" s="44"/>
      <c r="AC927" s="44"/>
      <c r="AD927" s="44"/>
      <c r="AE927" s="44"/>
      <c r="AF927" s="44"/>
    </row>
    <row r="928" spans="1:32" x14ac:dyDescent="0.3">
      <c r="A928" s="38" t="s">
        <v>265</v>
      </c>
      <c r="B928" s="38" t="s">
        <v>174</v>
      </c>
      <c r="C928" s="38" t="s">
        <v>264</v>
      </c>
      <c r="D928" s="39" t="s">
        <v>183</v>
      </c>
      <c r="E928" s="39" t="s">
        <v>177</v>
      </c>
      <c r="F928" s="38" t="s">
        <v>133</v>
      </c>
      <c r="G928" s="38" t="s">
        <v>130</v>
      </c>
      <c r="H928" s="44">
        <v>0</v>
      </c>
      <c r="I928" s="44">
        <v>0</v>
      </c>
      <c r="J928" s="44"/>
      <c r="K928" s="44"/>
      <c r="L928" s="44"/>
      <c r="M928" s="44"/>
      <c r="N928" s="44"/>
      <c r="O928" s="44"/>
      <c r="P928" s="44"/>
      <c r="Q928" s="44"/>
      <c r="R928" s="44"/>
      <c r="S928" s="44"/>
      <c r="T928" s="44"/>
      <c r="U928" s="44"/>
      <c r="V928" s="44"/>
      <c r="W928" s="44"/>
      <c r="X928" s="44"/>
      <c r="Y928" s="44"/>
      <c r="Z928" s="44"/>
      <c r="AA928" s="44"/>
      <c r="AB928" s="44"/>
      <c r="AC928" s="44"/>
      <c r="AD928" s="44"/>
      <c r="AE928" s="44"/>
      <c r="AF928" s="44"/>
    </row>
    <row r="929" spans="1:32" x14ac:dyDescent="0.3">
      <c r="A929" s="38" t="s">
        <v>265</v>
      </c>
      <c r="B929" s="38" t="s">
        <v>174</v>
      </c>
      <c r="C929" s="38" t="s">
        <v>264</v>
      </c>
      <c r="D929" s="39" t="s">
        <v>183</v>
      </c>
      <c r="E929" s="39" t="s">
        <v>177</v>
      </c>
      <c r="F929" s="38" t="s">
        <v>134</v>
      </c>
      <c r="G929" s="38" t="s">
        <v>130</v>
      </c>
      <c r="H929" s="44">
        <v>1194</v>
      </c>
      <c r="I929" s="44">
        <v>1194</v>
      </c>
      <c r="J929" s="44"/>
      <c r="K929" s="44"/>
      <c r="L929" s="44"/>
      <c r="M929" s="44"/>
      <c r="N929" s="44"/>
      <c r="O929" s="44"/>
      <c r="P929" s="44"/>
      <c r="Q929" s="44"/>
      <c r="R929" s="44"/>
      <c r="S929" s="44"/>
      <c r="T929" s="44"/>
      <c r="U929" s="44"/>
      <c r="V929" s="44"/>
      <c r="W929" s="44"/>
      <c r="X929" s="44"/>
      <c r="Y929" s="44"/>
      <c r="Z929" s="44"/>
      <c r="AA929" s="44"/>
      <c r="AB929" s="44"/>
      <c r="AC929" s="44"/>
      <c r="AD929" s="44"/>
      <c r="AE929" s="44"/>
      <c r="AF929" s="44"/>
    </row>
    <row r="930" spans="1:32" x14ac:dyDescent="0.3">
      <c r="A930" s="38" t="s">
        <v>265</v>
      </c>
      <c r="B930" s="38" t="s">
        <v>174</v>
      </c>
      <c r="C930" s="38" t="s">
        <v>264</v>
      </c>
      <c r="D930" s="39" t="s">
        <v>183</v>
      </c>
      <c r="E930" s="39" t="s">
        <v>177</v>
      </c>
      <c r="F930" s="38" t="s">
        <v>135</v>
      </c>
      <c r="G930" s="38" t="s">
        <v>130</v>
      </c>
      <c r="H930" s="44"/>
      <c r="I930" s="44"/>
      <c r="J930" s="44"/>
      <c r="K930" s="44"/>
      <c r="L930" s="44"/>
      <c r="M930" s="44"/>
      <c r="N930" s="44"/>
      <c r="O930" s="44"/>
      <c r="P930" s="44"/>
      <c r="Q930" s="44"/>
      <c r="R930" s="44"/>
      <c r="S930" s="44"/>
      <c r="T930" s="44"/>
      <c r="U930" s="44"/>
      <c r="V930" s="44"/>
      <c r="W930" s="44"/>
      <c r="X930" s="44"/>
      <c r="Y930" s="44"/>
      <c r="Z930" s="44"/>
      <c r="AA930" s="44"/>
      <c r="AB930" s="44"/>
      <c r="AC930" s="44"/>
      <c r="AD930" s="44"/>
      <c r="AE930" s="44"/>
      <c r="AF930" s="44"/>
    </row>
    <row r="931" spans="1:32" x14ac:dyDescent="0.3">
      <c r="A931" s="38" t="s">
        <v>265</v>
      </c>
      <c r="B931" s="38" t="s">
        <v>174</v>
      </c>
      <c r="C931" s="38" t="s">
        <v>264</v>
      </c>
      <c r="D931" s="39" t="s">
        <v>183</v>
      </c>
      <c r="E931" s="39" t="s">
        <v>177</v>
      </c>
      <c r="F931" s="38" t="s">
        <v>136</v>
      </c>
      <c r="G931" s="38" t="s">
        <v>130</v>
      </c>
      <c r="H931" s="44">
        <f>SUM(I931:AF931)</f>
        <v>25344</v>
      </c>
      <c r="I931" s="44">
        <f t="shared" ref="I931:AF931" si="213">IF(AND(ISBLANK(I934) = TRUE,ISBLANK(I933) = TRUE),I932,I933+I934)</f>
        <v>5184</v>
      </c>
      <c r="J931" s="44">
        <f t="shared" si="213"/>
        <v>1728</v>
      </c>
      <c r="K931" s="44">
        <f t="shared" si="213"/>
        <v>0</v>
      </c>
      <c r="L931" s="44">
        <f t="shared" si="213"/>
        <v>3456</v>
      </c>
      <c r="M931" s="44">
        <f t="shared" si="213"/>
        <v>2304</v>
      </c>
      <c r="N931" s="44">
        <f t="shared" si="213"/>
        <v>0</v>
      </c>
      <c r="O931" s="44">
        <f t="shared" si="213"/>
        <v>3456</v>
      </c>
      <c r="P931" s="44">
        <f t="shared" si="213"/>
        <v>0</v>
      </c>
      <c r="Q931" s="44">
        <f t="shared" si="213"/>
        <v>5760</v>
      </c>
      <c r="R931" s="44">
        <f t="shared" si="213"/>
        <v>0</v>
      </c>
      <c r="S931" s="44">
        <f t="shared" si="213"/>
        <v>0</v>
      </c>
      <c r="T931" s="44">
        <f t="shared" si="213"/>
        <v>3456</v>
      </c>
      <c r="U931" s="44">
        <f t="shared" si="213"/>
        <v>0</v>
      </c>
      <c r="V931" s="44">
        <f t="shared" si="213"/>
        <v>0</v>
      </c>
      <c r="W931" s="44">
        <f t="shared" si="213"/>
        <v>0</v>
      </c>
      <c r="X931" s="44">
        <f t="shared" si="213"/>
        <v>0</v>
      </c>
      <c r="Y931" s="44">
        <f t="shared" si="213"/>
        <v>0</v>
      </c>
      <c r="Z931" s="44">
        <f t="shared" si="213"/>
        <v>0</v>
      </c>
      <c r="AA931" s="44">
        <f t="shared" si="213"/>
        <v>0</v>
      </c>
      <c r="AB931" s="44">
        <f t="shared" si="213"/>
        <v>0</v>
      </c>
      <c r="AC931" s="44">
        <f t="shared" si="213"/>
        <v>0</v>
      </c>
      <c r="AD931" s="44">
        <f t="shared" si="213"/>
        <v>0</v>
      </c>
      <c r="AE931" s="44">
        <f t="shared" si="213"/>
        <v>0</v>
      </c>
      <c r="AF931" s="44">
        <f t="shared" si="213"/>
        <v>0</v>
      </c>
    </row>
    <row r="932" spans="1:32" x14ac:dyDescent="0.3">
      <c r="A932" s="38" t="s">
        <v>265</v>
      </c>
      <c r="B932" s="38" t="s">
        <v>174</v>
      </c>
      <c r="C932" s="38" t="s">
        <v>264</v>
      </c>
      <c r="D932" s="39" t="s">
        <v>183</v>
      </c>
      <c r="E932" s="39" t="s">
        <v>177</v>
      </c>
      <c r="F932" s="38" t="s">
        <v>124</v>
      </c>
      <c r="G932" s="38" t="s">
        <v>130</v>
      </c>
      <c r="H932" s="44">
        <v>25344</v>
      </c>
      <c r="I932" s="44">
        <v>5184</v>
      </c>
      <c r="J932" s="44">
        <v>1728</v>
      </c>
      <c r="K932" s="44"/>
      <c r="L932" s="44">
        <v>3456</v>
      </c>
      <c r="M932" s="44">
        <v>2304</v>
      </c>
      <c r="N932" s="44"/>
      <c r="O932" s="44">
        <v>3456</v>
      </c>
      <c r="P932" s="44"/>
      <c r="Q932" s="44">
        <v>5760</v>
      </c>
      <c r="R932" s="44"/>
      <c r="S932" s="44"/>
      <c r="T932" s="44">
        <v>3456</v>
      </c>
      <c r="U932" s="44"/>
      <c r="V932" s="44"/>
      <c r="W932" s="44"/>
      <c r="X932" s="44"/>
      <c r="Y932" s="44"/>
      <c r="Z932" s="44"/>
      <c r="AA932" s="44"/>
      <c r="AB932" s="44"/>
      <c r="AC932" s="44"/>
      <c r="AD932" s="44"/>
      <c r="AE932" s="44"/>
      <c r="AF932" s="44"/>
    </row>
    <row r="933" spans="1:32" x14ac:dyDescent="0.3">
      <c r="A933" s="38" t="s">
        <v>265</v>
      </c>
      <c r="B933" s="38" t="s">
        <v>174</v>
      </c>
      <c r="C933" s="38" t="s">
        <v>264</v>
      </c>
      <c r="D933" s="39" t="s">
        <v>183</v>
      </c>
      <c r="E933" s="39" t="s">
        <v>177</v>
      </c>
      <c r="F933" s="38" t="s">
        <v>137</v>
      </c>
      <c r="G933" s="38" t="s">
        <v>130</v>
      </c>
      <c r="H933" s="44">
        <f>SUM(I933:AF933)</f>
        <v>0</v>
      </c>
      <c r="I933" s="44"/>
      <c r="J933" s="44"/>
      <c r="K933" s="44"/>
      <c r="L933" s="44"/>
      <c r="M933" s="44"/>
      <c r="N933" s="44"/>
      <c r="O933" s="44"/>
      <c r="P933" s="44"/>
      <c r="Q933" s="44"/>
      <c r="R933" s="44"/>
      <c r="S933" s="44"/>
      <c r="T933" s="44"/>
      <c r="U933" s="44"/>
      <c r="V933" s="44"/>
      <c r="W933" s="44"/>
      <c r="X933" s="44"/>
      <c r="Y933" s="44"/>
      <c r="Z933" s="44"/>
      <c r="AA933" s="44"/>
      <c r="AB933" s="44"/>
      <c r="AC933" s="44"/>
      <c r="AD933" s="44"/>
      <c r="AE933" s="44"/>
      <c r="AF933" s="44"/>
    </row>
    <row r="934" spans="1:32" x14ac:dyDescent="0.3">
      <c r="A934" s="38" t="s">
        <v>265</v>
      </c>
      <c r="B934" s="38" t="s">
        <v>174</v>
      </c>
      <c r="C934" s="38" t="s">
        <v>264</v>
      </c>
      <c r="D934" s="39" t="s">
        <v>183</v>
      </c>
      <c r="E934" s="39" t="s">
        <v>177</v>
      </c>
      <c r="F934" s="38" t="s">
        <v>138</v>
      </c>
      <c r="G934" s="38" t="s">
        <v>130</v>
      </c>
      <c r="H934" s="44">
        <f>SUM(I934:AF934)</f>
        <v>0</v>
      </c>
      <c r="I934" s="44"/>
      <c r="J934" s="44"/>
      <c r="K934" s="44"/>
      <c r="L934" s="44"/>
      <c r="M934" s="44"/>
      <c r="N934" s="44"/>
      <c r="O934" s="44"/>
      <c r="P934" s="44"/>
      <c r="Q934" s="44"/>
      <c r="R934" s="44"/>
      <c r="S934" s="44"/>
      <c r="T934" s="44"/>
      <c r="U934" s="44"/>
      <c r="V934" s="44"/>
      <c r="W934" s="44"/>
      <c r="X934" s="44"/>
      <c r="Y934" s="44"/>
      <c r="Z934" s="44"/>
      <c r="AA934" s="44"/>
      <c r="AB934" s="44"/>
      <c r="AC934" s="44"/>
      <c r="AD934" s="44"/>
      <c r="AE934" s="44"/>
      <c r="AF934" s="44"/>
    </row>
    <row r="935" spans="1:32" x14ac:dyDescent="0.3">
      <c r="A935" s="38" t="s">
        <v>265</v>
      </c>
      <c r="B935" s="38" t="s">
        <v>174</v>
      </c>
      <c r="C935" s="38" t="s">
        <v>264</v>
      </c>
      <c r="D935" s="39" t="s">
        <v>183</v>
      </c>
      <c r="E935" s="39" t="s">
        <v>177</v>
      </c>
      <c r="F935" s="38" t="s">
        <v>139</v>
      </c>
      <c r="G935" s="38" t="s">
        <v>130</v>
      </c>
      <c r="H935" s="44">
        <v>25344</v>
      </c>
      <c r="I935" s="44">
        <v>5184</v>
      </c>
      <c r="J935" s="44">
        <v>1728</v>
      </c>
      <c r="K935" s="44"/>
      <c r="L935" s="44">
        <v>3456</v>
      </c>
      <c r="M935" s="44">
        <v>2304</v>
      </c>
      <c r="N935" s="44"/>
      <c r="O935" s="44">
        <v>3456</v>
      </c>
      <c r="P935" s="44"/>
      <c r="Q935" s="44">
        <v>5760</v>
      </c>
      <c r="R935" s="44"/>
      <c r="S935" s="44"/>
      <c r="T935" s="44">
        <v>3456</v>
      </c>
      <c r="U935" s="44"/>
      <c r="V935" s="44"/>
      <c r="W935" s="44"/>
      <c r="X935" s="44"/>
      <c r="Y935" s="44"/>
      <c r="Z935" s="44"/>
      <c r="AA935" s="44"/>
      <c r="AB935" s="44"/>
      <c r="AC935" s="44"/>
      <c r="AD935" s="44"/>
      <c r="AE935" s="44"/>
      <c r="AF935" s="44"/>
    </row>
    <row r="936" spans="1:32" x14ac:dyDescent="0.3">
      <c r="A936" s="38" t="s">
        <v>265</v>
      </c>
      <c r="B936" s="38" t="s">
        <v>174</v>
      </c>
      <c r="C936" s="38" t="s">
        <v>264</v>
      </c>
      <c r="D936" s="39" t="s">
        <v>183</v>
      </c>
      <c r="E936" s="39" t="s">
        <v>177</v>
      </c>
      <c r="F936" s="38" t="s">
        <v>140</v>
      </c>
      <c r="G936" s="38" t="s">
        <v>130</v>
      </c>
      <c r="H936" s="44"/>
      <c r="I936" s="44">
        <f>I931-(I926+I925)+(I930+I929+I928+I927)</f>
        <v>-6603.5</v>
      </c>
      <c r="J936" s="44">
        <f t="shared" ref="J936:AF936" si="214">I936+J931-J926</f>
        <v>-6647.5</v>
      </c>
      <c r="K936" s="44">
        <f t="shared" si="214"/>
        <v>-10006.5</v>
      </c>
      <c r="L936" s="44">
        <f t="shared" si="214"/>
        <v>-9290</v>
      </c>
      <c r="M936" s="44">
        <f t="shared" si="214"/>
        <v>-9996.5</v>
      </c>
      <c r="N936" s="44">
        <f t="shared" si="214"/>
        <v>-12647</v>
      </c>
      <c r="O936" s="44">
        <f t="shared" si="214"/>
        <v>-12501</v>
      </c>
      <c r="P936" s="44">
        <f t="shared" si="214"/>
        <v>-15207.5</v>
      </c>
      <c r="Q936" s="44">
        <f t="shared" si="214"/>
        <v>-12448.5</v>
      </c>
      <c r="R936" s="44">
        <f t="shared" si="214"/>
        <v>-15230</v>
      </c>
      <c r="S936" s="44">
        <f t="shared" si="214"/>
        <v>-17330</v>
      </c>
      <c r="T936" s="44">
        <f t="shared" si="214"/>
        <v>-16216</v>
      </c>
      <c r="U936" s="44">
        <f t="shared" si="214"/>
        <v>-18382</v>
      </c>
      <c r="V936" s="44">
        <f t="shared" si="214"/>
        <v>-20645</v>
      </c>
      <c r="W936" s="44">
        <f t="shared" si="214"/>
        <v>-22924</v>
      </c>
      <c r="X936" s="44">
        <f t="shared" si="214"/>
        <v>-24404</v>
      </c>
      <c r="Y936" s="44">
        <f t="shared" si="214"/>
        <v>-25869</v>
      </c>
      <c r="Z936" s="44">
        <f t="shared" si="214"/>
        <v>-27196.5</v>
      </c>
      <c r="AA936" s="44">
        <f t="shared" si="214"/>
        <v>-28464</v>
      </c>
      <c r="AB936" s="44">
        <f t="shared" si="214"/>
        <v>-29751.5</v>
      </c>
      <c r="AC936" s="44">
        <f t="shared" si="214"/>
        <v>-31016.5</v>
      </c>
      <c r="AD936" s="44">
        <f t="shared" si="214"/>
        <v>-32261</v>
      </c>
      <c r="AE936" s="44">
        <f t="shared" si="214"/>
        <v>-33500</v>
      </c>
      <c r="AF936" s="44">
        <f t="shared" si="214"/>
        <v>-34738</v>
      </c>
    </row>
    <row r="937" spans="1:32" ht="15" thickBot="1" x14ac:dyDescent="0.35">
      <c r="A937" s="40" t="s">
        <v>265</v>
      </c>
      <c r="B937" s="40" t="s">
        <v>174</v>
      </c>
      <c r="C937" s="40" t="s">
        <v>264</v>
      </c>
      <c r="D937" s="41" t="s">
        <v>183</v>
      </c>
      <c r="E937" s="41" t="s">
        <v>177</v>
      </c>
      <c r="F937" s="40" t="s">
        <v>141</v>
      </c>
      <c r="G937" s="40" t="s">
        <v>130</v>
      </c>
      <c r="H937" s="45"/>
      <c r="I937" s="45">
        <f>I931-I935</f>
        <v>0</v>
      </c>
      <c r="J937" s="45">
        <f t="shared" ref="J937:AF937" si="215">I937+J931-J935</f>
        <v>0</v>
      </c>
      <c r="K937" s="45">
        <f t="shared" si="215"/>
        <v>0</v>
      </c>
      <c r="L937" s="45">
        <f t="shared" si="215"/>
        <v>0</v>
      </c>
      <c r="M937" s="45">
        <f t="shared" si="215"/>
        <v>0</v>
      </c>
      <c r="N937" s="45">
        <f t="shared" si="215"/>
        <v>0</v>
      </c>
      <c r="O937" s="45">
        <f t="shared" si="215"/>
        <v>0</v>
      </c>
      <c r="P937" s="45">
        <f t="shared" si="215"/>
        <v>0</v>
      </c>
      <c r="Q937" s="45">
        <f t="shared" si="215"/>
        <v>0</v>
      </c>
      <c r="R937" s="45">
        <f t="shared" si="215"/>
        <v>0</v>
      </c>
      <c r="S937" s="45">
        <f t="shared" si="215"/>
        <v>0</v>
      </c>
      <c r="T937" s="45">
        <f t="shared" si="215"/>
        <v>0</v>
      </c>
      <c r="U937" s="45">
        <f t="shared" si="215"/>
        <v>0</v>
      </c>
      <c r="V937" s="45">
        <f t="shared" si="215"/>
        <v>0</v>
      </c>
      <c r="W937" s="45">
        <f t="shared" si="215"/>
        <v>0</v>
      </c>
      <c r="X937" s="45">
        <f t="shared" si="215"/>
        <v>0</v>
      </c>
      <c r="Y937" s="45">
        <f t="shared" si="215"/>
        <v>0</v>
      </c>
      <c r="Z937" s="45">
        <f t="shared" si="215"/>
        <v>0</v>
      </c>
      <c r="AA937" s="45">
        <f t="shared" si="215"/>
        <v>0</v>
      </c>
      <c r="AB937" s="45">
        <f t="shared" si="215"/>
        <v>0</v>
      </c>
      <c r="AC937" s="45">
        <f t="shared" si="215"/>
        <v>0</v>
      </c>
      <c r="AD937" s="45">
        <f t="shared" si="215"/>
        <v>0</v>
      </c>
      <c r="AE937" s="45">
        <f t="shared" si="215"/>
        <v>0</v>
      </c>
      <c r="AF937" s="45">
        <f t="shared" si="215"/>
        <v>0</v>
      </c>
    </row>
    <row r="938" spans="1:32" x14ac:dyDescent="0.3">
      <c r="A938" s="38" t="s">
        <v>266</v>
      </c>
      <c r="B938" s="38" t="s">
        <v>174</v>
      </c>
      <c r="C938" s="38" t="s">
        <v>267</v>
      </c>
      <c r="D938" s="39" t="s">
        <v>180</v>
      </c>
      <c r="E938" s="39" t="s">
        <v>195</v>
      </c>
      <c r="F938" s="38" t="s">
        <v>129</v>
      </c>
      <c r="G938" s="38" t="s">
        <v>130</v>
      </c>
      <c r="H938" s="44">
        <v>7751</v>
      </c>
      <c r="I938" s="44">
        <v>7751</v>
      </c>
      <c r="J938" s="44"/>
      <c r="K938" s="44"/>
      <c r="L938" s="44"/>
      <c r="M938" s="44"/>
      <c r="N938" s="44"/>
      <c r="O938" s="44"/>
      <c r="P938" s="44"/>
      <c r="Q938" s="44"/>
      <c r="R938" s="44"/>
      <c r="S938" s="44"/>
      <c r="T938" s="44"/>
      <c r="U938" s="44"/>
      <c r="V938" s="44"/>
      <c r="W938" s="44"/>
      <c r="X938" s="44"/>
      <c r="Y938" s="44"/>
      <c r="Z938" s="44"/>
      <c r="AA938" s="44"/>
      <c r="AB938" s="44"/>
      <c r="AC938" s="44"/>
      <c r="AD938" s="44"/>
      <c r="AE938" s="44"/>
      <c r="AF938" s="44"/>
    </row>
    <row r="939" spans="1:32" x14ac:dyDescent="0.3">
      <c r="A939" s="38" t="s">
        <v>266</v>
      </c>
      <c r="B939" s="38" t="s">
        <v>174</v>
      </c>
      <c r="C939" s="38" t="s">
        <v>267</v>
      </c>
      <c r="D939" s="39" t="s">
        <v>180</v>
      </c>
      <c r="E939" s="39" t="s">
        <v>195</v>
      </c>
      <c r="F939" s="38" t="s">
        <v>131</v>
      </c>
      <c r="G939" s="38" t="s">
        <v>130</v>
      </c>
      <c r="H939" s="44">
        <v>53857</v>
      </c>
      <c r="I939" s="44">
        <v>3491</v>
      </c>
      <c r="J939" s="44">
        <v>3394</v>
      </c>
      <c r="K939" s="44">
        <v>3054</v>
      </c>
      <c r="L939" s="44">
        <v>2558</v>
      </c>
      <c r="M939" s="44">
        <v>2668</v>
      </c>
      <c r="N939" s="44">
        <v>2670</v>
      </c>
      <c r="O939" s="44">
        <v>2667</v>
      </c>
      <c r="P939" s="44">
        <v>2692</v>
      </c>
      <c r="Q939" s="44">
        <v>2629</v>
      </c>
      <c r="R939" s="44">
        <v>2489</v>
      </c>
      <c r="S939" s="44">
        <v>2448</v>
      </c>
      <c r="T939" s="44">
        <v>2420</v>
      </c>
      <c r="U939" s="44">
        <v>2268</v>
      </c>
      <c r="V939" s="44">
        <v>1678</v>
      </c>
      <c r="W939" s="44">
        <v>1694</v>
      </c>
      <c r="X939" s="44">
        <v>1673</v>
      </c>
      <c r="Y939" s="44">
        <v>1672</v>
      </c>
      <c r="Z939" s="44">
        <v>1879</v>
      </c>
      <c r="AA939" s="44">
        <v>1966</v>
      </c>
      <c r="AB939" s="44">
        <v>1965</v>
      </c>
      <c r="AC939" s="44">
        <v>1965</v>
      </c>
      <c r="AD939" s="44">
        <v>1436</v>
      </c>
      <c r="AE939" s="44">
        <v>1255</v>
      </c>
      <c r="AF939" s="44">
        <v>1226</v>
      </c>
    </row>
    <row r="940" spans="1:32" x14ac:dyDescent="0.3">
      <c r="A940" s="38" t="s">
        <v>266</v>
      </c>
      <c r="B940" s="38" t="s">
        <v>174</v>
      </c>
      <c r="C940" s="38" t="s">
        <v>267</v>
      </c>
      <c r="D940" s="39" t="s">
        <v>180</v>
      </c>
      <c r="E940" s="39" t="s">
        <v>195</v>
      </c>
      <c r="F940" s="38" t="s">
        <v>132</v>
      </c>
      <c r="G940" s="38" t="s">
        <v>130</v>
      </c>
      <c r="H940" s="44">
        <v>0</v>
      </c>
      <c r="I940" s="44">
        <v>0</v>
      </c>
      <c r="J940" s="44"/>
      <c r="K940" s="44"/>
      <c r="L940" s="44"/>
      <c r="M940" s="44"/>
      <c r="N940" s="44"/>
      <c r="O940" s="44"/>
      <c r="P940" s="44"/>
      <c r="Q940" s="44"/>
      <c r="R940" s="44"/>
      <c r="S940" s="44"/>
      <c r="T940" s="44"/>
      <c r="U940" s="44"/>
      <c r="V940" s="44"/>
      <c r="W940" s="44"/>
      <c r="X940" s="44"/>
      <c r="Y940" s="44"/>
      <c r="Z940" s="44"/>
      <c r="AA940" s="44"/>
      <c r="AB940" s="44"/>
      <c r="AC940" s="44"/>
      <c r="AD940" s="44"/>
      <c r="AE940" s="44"/>
      <c r="AF940" s="44"/>
    </row>
    <row r="941" spans="1:32" x14ac:dyDescent="0.3">
      <c r="A941" s="38" t="s">
        <v>266</v>
      </c>
      <c r="B941" s="38" t="s">
        <v>174</v>
      </c>
      <c r="C941" s="38" t="s">
        <v>267</v>
      </c>
      <c r="D941" s="39" t="s">
        <v>180</v>
      </c>
      <c r="E941" s="39" t="s">
        <v>195</v>
      </c>
      <c r="F941" s="38" t="s">
        <v>133</v>
      </c>
      <c r="G941" s="38" t="s">
        <v>130</v>
      </c>
      <c r="H941" s="44">
        <v>0</v>
      </c>
      <c r="I941" s="44">
        <v>0</v>
      </c>
      <c r="J941" s="44"/>
      <c r="K941" s="44"/>
      <c r="L941" s="44"/>
      <c r="M941" s="44"/>
      <c r="N941" s="44"/>
      <c r="O941" s="44"/>
      <c r="P941" s="44"/>
      <c r="Q941" s="44"/>
      <c r="R941" s="44"/>
      <c r="S941" s="44"/>
      <c r="T941" s="44"/>
      <c r="U941" s="44"/>
      <c r="V941" s="44"/>
      <c r="W941" s="44"/>
      <c r="X941" s="44"/>
      <c r="Y941" s="44"/>
      <c r="Z941" s="44"/>
      <c r="AA941" s="44"/>
      <c r="AB941" s="44"/>
      <c r="AC941" s="44"/>
      <c r="AD941" s="44"/>
      <c r="AE941" s="44"/>
      <c r="AF941" s="44"/>
    </row>
    <row r="942" spans="1:32" x14ac:dyDescent="0.3">
      <c r="A942" s="38" t="s">
        <v>266</v>
      </c>
      <c r="B942" s="38" t="s">
        <v>174</v>
      </c>
      <c r="C942" s="38" t="s">
        <v>267</v>
      </c>
      <c r="D942" s="39" t="s">
        <v>180</v>
      </c>
      <c r="E942" s="39" t="s">
        <v>195</v>
      </c>
      <c r="F942" s="38" t="s">
        <v>134</v>
      </c>
      <c r="G942" s="38" t="s">
        <v>130</v>
      </c>
      <c r="H942" s="44">
        <v>0</v>
      </c>
      <c r="I942" s="44">
        <v>0</v>
      </c>
      <c r="J942" s="44"/>
      <c r="K942" s="44"/>
      <c r="L942" s="44"/>
      <c r="M942" s="44"/>
      <c r="N942" s="44"/>
      <c r="O942" s="44"/>
      <c r="P942" s="44"/>
      <c r="Q942" s="44"/>
      <c r="R942" s="44"/>
      <c r="S942" s="44"/>
      <c r="T942" s="44"/>
      <c r="U942" s="44"/>
      <c r="V942" s="44"/>
      <c r="W942" s="44"/>
      <c r="X942" s="44"/>
      <c r="Y942" s="44"/>
      <c r="Z942" s="44"/>
      <c r="AA942" s="44"/>
      <c r="AB942" s="44"/>
      <c r="AC942" s="44"/>
      <c r="AD942" s="44"/>
      <c r="AE942" s="44"/>
      <c r="AF942" s="44"/>
    </row>
    <row r="943" spans="1:32" x14ac:dyDescent="0.3">
      <c r="A943" s="38" t="s">
        <v>266</v>
      </c>
      <c r="B943" s="38" t="s">
        <v>174</v>
      </c>
      <c r="C943" s="38" t="s">
        <v>267</v>
      </c>
      <c r="D943" s="39" t="s">
        <v>180</v>
      </c>
      <c r="E943" s="39" t="s">
        <v>195</v>
      </c>
      <c r="F943" s="38" t="s">
        <v>135</v>
      </c>
      <c r="G943" s="38" t="s">
        <v>130</v>
      </c>
      <c r="H943" s="44"/>
      <c r="I943" s="44"/>
      <c r="J943" s="44"/>
      <c r="K943" s="44"/>
      <c r="L943" s="44"/>
      <c r="M943" s="44"/>
      <c r="N943" s="44"/>
      <c r="O943" s="44"/>
      <c r="P943" s="44"/>
      <c r="Q943" s="44"/>
      <c r="R943" s="44"/>
      <c r="S943" s="44"/>
      <c r="T943" s="44"/>
      <c r="U943" s="44"/>
      <c r="V943" s="44"/>
      <c r="W943" s="44"/>
      <c r="X943" s="44"/>
      <c r="Y943" s="44"/>
      <c r="Z943" s="44"/>
      <c r="AA943" s="44"/>
      <c r="AB943" s="44"/>
      <c r="AC943" s="44"/>
      <c r="AD943" s="44"/>
      <c r="AE943" s="44"/>
      <c r="AF943" s="44"/>
    </row>
    <row r="944" spans="1:32" x14ac:dyDescent="0.3">
      <c r="A944" s="38" t="s">
        <v>266</v>
      </c>
      <c r="B944" s="38" t="s">
        <v>174</v>
      </c>
      <c r="C944" s="38" t="s">
        <v>267</v>
      </c>
      <c r="D944" s="39" t="s">
        <v>180</v>
      </c>
      <c r="E944" s="39" t="s">
        <v>195</v>
      </c>
      <c r="F944" s="38" t="s">
        <v>136</v>
      </c>
      <c r="G944" s="38" t="s">
        <v>130</v>
      </c>
      <c r="H944" s="44">
        <f>SUM(I944:AF944)</f>
        <v>0</v>
      </c>
      <c r="I944" s="44">
        <f t="shared" ref="I944:AF944" si="216">IF(AND(ISBLANK(I947) = TRUE,ISBLANK(I946) = TRUE),I945,I946+I947)</f>
        <v>0</v>
      </c>
      <c r="J944" s="44">
        <f t="shared" si="216"/>
        <v>0</v>
      </c>
      <c r="K944" s="44">
        <f t="shared" si="216"/>
        <v>0</v>
      </c>
      <c r="L944" s="44">
        <f t="shared" si="216"/>
        <v>0</v>
      </c>
      <c r="M944" s="44">
        <f t="shared" si="216"/>
        <v>0</v>
      </c>
      <c r="N944" s="44">
        <f t="shared" si="216"/>
        <v>0</v>
      </c>
      <c r="O944" s="44">
        <f t="shared" si="216"/>
        <v>0</v>
      </c>
      <c r="P944" s="44">
        <f t="shared" si="216"/>
        <v>0</v>
      </c>
      <c r="Q944" s="44">
        <f t="shared" si="216"/>
        <v>0</v>
      </c>
      <c r="R944" s="44">
        <f t="shared" si="216"/>
        <v>0</v>
      </c>
      <c r="S944" s="44">
        <f t="shared" si="216"/>
        <v>0</v>
      </c>
      <c r="T944" s="44">
        <f t="shared" si="216"/>
        <v>0</v>
      </c>
      <c r="U944" s="44">
        <f t="shared" si="216"/>
        <v>0</v>
      </c>
      <c r="V944" s="44">
        <f t="shared" si="216"/>
        <v>0</v>
      </c>
      <c r="W944" s="44">
        <f t="shared" si="216"/>
        <v>0</v>
      </c>
      <c r="X944" s="44">
        <f t="shared" si="216"/>
        <v>0</v>
      </c>
      <c r="Y944" s="44">
        <f t="shared" si="216"/>
        <v>0</v>
      </c>
      <c r="Z944" s="44">
        <f t="shared" si="216"/>
        <v>0</v>
      </c>
      <c r="AA944" s="44">
        <f t="shared" si="216"/>
        <v>0</v>
      </c>
      <c r="AB944" s="44">
        <f t="shared" si="216"/>
        <v>0</v>
      </c>
      <c r="AC944" s="44">
        <f t="shared" si="216"/>
        <v>0</v>
      </c>
      <c r="AD944" s="44">
        <f t="shared" si="216"/>
        <v>0</v>
      </c>
      <c r="AE944" s="44">
        <f t="shared" si="216"/>
        <v>0</v>
      </c>
      <c r="AF944" s="44">
        <f t="shared" si="216"/>
        <v>0</v>
      </c>
    </row>
    <row r="945" spans="1:32" x14ac:dyDescent="0.3">
      <c r="A945" s="38" t="s">
        <v>266</v>
      </c>
      <c r="B945" s="38" t="s">
        <v>174</v>
      </c>
      <c r="C945" s="38" t="s">
        <v>267</v>
      </c>
      <c r="D945" s="39" t="s">
        <v>180</v>
      </c>
      <c r="E945" s="39" t="s">
        <v>195</v>
      </c>
      <c r="F945" s="38" t="s">
        <v>124</v>
      </c>
      <c r="G945" s="38" t="s">
        <v>130</v>
      </c>
      <c r="H945" s="44"/>
      <c r="I945" s="44"/>
      <c r="J945" s="44"/>
      <c r="K945" s="44"/>
      <c r="L945" s="44"/>
      <c r="M945" s="44"/>
      <c r="N945" s="44"/>
      <c r="O945" s="44"/>
      <c r="P945" s="44"/>
      <c r="Q945" s="44"/>
      <c r="R945" s="44"/>
      <c r="S945" s="44"/>
      <c r="T945" s="44"/>
      <c r="U945" s="44"/>
      <c r="V945" s="44"/>
      <c r="W945" s="44"/>
      <c r="X945" s="44"/>
      <c r="Y945" s="44"/>
      <c r="Z945" s="44"/>
      <c r="AA945" s="44"/>
      <c r="AB945" s="44"/>
      <c r="AC945" s="44"/>
      <c r="AD945" s="44"/>
      <c r="AE945" s="44"/>
      <c r="AF945" s="44"/>
    </row>
    <row r="946" spans="1:32" x14ac:dyDescent="0.3">
      <c r="A946" s="38" t="s">
        <v>266</v>
      </c>
      <c r="B946" s="38" t="s">
        <v>174</v>
      </c>
      <c r="C946" s="38" t="s">
        <v>267</v>
      </c>
      <c r="D946" s="39" t="s">
        <v>180</v>
      </c>
      <c r="E946" s="39" t="s">
        <v>195</v>
      </c>
      <c r="F946" s="38" t="s">
        <v>137</v>
      </c>
      <c r="G946" s="38" t="s">
        <v>130</v>
      </c>
      <c r="H946" s="44">
        <f>SUM(I946:AF946)</f>
        <v>0</v>
      </c>
      <c r="I946" s="44"/>
      <c r="J946" s="44"/>
      <c r="K946" s="44"/>
      <c r="L946" s="44"/>
      <c r="M946" s="44"/>
      <c r="N946" s="44"/>
      <c r="O946" s="44"/>
      <c r="P946" s="44"/>
      <c r="Q946" s="44"/>
      <c r="R946" s="44"/>
      <c r="S946" s="44"/>
      <c r="T946" s="44"/>
      <c r="U946" s="44"/>
      <c r="V946" s="44"/>
      <c r="W946" s="44"/>
      <c r="X946" s="44"/>
      <c r="Y946" s="44"/>
      <c r="Z946" s="44"/>
      <c r="AA946" s="44"/>
      <c r="AB946" s="44"/>
      <c r="AC946" s="44"/>
      <c r="AD946" s="44"/>
      <c r="AE946" s="44"/>
      <c r="AF946" s="44"/>
    </row>
    <row r="947" spans="1:32" x14ac:dyDescent="0.3">
      <c r="A947" s="38" t="s">
        <v>266</v>
      </c>
      <c r="B947" s="38" t="s">
        <v>174</v>
      </c>
      <c r="C947" s="38" t="s">
        <v>267</v>
      </c>
      <c r="D947" s="39" t="s">
        <v>180</v>
      </c>
      <c r="E947" s="39" t="s">
        <v>195</v>
      </c>
      <c r="F947" s="38" t="s">
        <v>138</v>
      </c>
      <c r="G947" s="38" t="s">
        <v>130</v>
      </c>
      <c r="H947" s="44">
        <f>SUM(I947:AF947)</f>
        <v>0</v>
      </c>
      <c r="I947" s="44"/>
      <c r="J947" s="44"/>
      <c r="K947" s="44"/>
      <c r="L947" s="44"/>
      <c r="M947" s="44"/>
      <c r="N947" s="44"/>
      <c r="O947" s="44"/>
      <c r="P947" s="44"/>
      <c r="Q947" s="44"/>
      <c r="R947" s="44"/>
      <c r="S947" s="44"/>
      <c r="T947" s="44"/>
      <c r="U947" s="44"/>
      <c r="V947" s="44"/>
      <c r="W947" s="44"/>
      <c r="X947" s="44"/>
      <c r="Y947" s="44"/>
      <c r="Z947" s="44"/>
      <c r="AA947" s="44"/>
      <c r="AB947" s="44"/>
      <c r="AC947" s="44"/>
      <c r="AD947" s="44"/>
      <c r="AE947" s="44"/>
      <c r="AF947" s="44"/>
    </row>
    <row r="948" spans="1:32" x14ac:dyDescent="0.3">
      <c r="A948" s="38" t="s">
        <v>266</v>
      </c>
      <c r="B948" s="38" t="s">
        <v>174</v>
      </c>
      <c r="C948" s="38" t="s">
        <v>267</v>
      </c>
      <c r="D948" s="39" t="s">
        <v>180</v>
      </c>
      <c r="E948" s="39" t="s">
        <v>195</v>
      </c>
      <c r="F948" s="38" t="s">
        <v>139</v>
      </c>
      <c r="G948" s="38" t="s">
        <v>130</v>
      </c>
      <c r="H948" s="44"/>
      <c r="I948" s="44"/>
      <c r="J948" s="44"/>
      <c r="K948" s="44"/>
      <c r="L948" s="44"/>
      <c r="M948" s="44"/>
      <c r="N948" s="44"/>
      <c r="O948" s="44"/>
      <c r="P948" s="44"/>
      <c r="Q948" s="44"/>
      <c r="R948" s="44"/>
      <c r="S948" s="44"/>
      <c r="T948" s="44"/>
      <c r="U948" s="44"/>
      <c r="V948" s="44"/>
      <c r="W948" s="44"/>
      <c r="X948" s="44"/>
      <c r="Y948" s="44"/>
      <c r="Z948" s="44"/>
      <c r="AA948" s="44"/>
      <c r="AB948" s="44"/>
      <c r="AC948" s="44"/>
      <c r="AD948" s="44"/>
      <c r="AE948" s="44"/>
      <c r="AF948" s="44"/>
    </row>
    <row r="949" spans="1:32" x14ac:dyDescent="0.3">
      <c r="A949" s="38" t="s">
        <v>266</v>
      </c>
      <c r="B949" s="38" t="s">
        <v>174</v>
      </c>
      <c r="C949" s="38" t="s">
        <v>267</v>
      </c>
      <c r="D949" s="39" t="s">
        <v>180</v>
      </c>
      <c r="E949" s="39" t="s">
        <v>195</v>
      </c>
      <c r="F949" s="38" t="s">
        <v>140</v>
      </c>
      <c r="G949" s="38" t="s">
        <v>130</v>
      </c>
      <c r="H949" s="44"/>
      <c r="I949" s="44">
        <f>I944-(I939+I938)+(I943+I942+I941+I940)</f>
        <v>-11242</v>
      </c>
      <c r="J949" s="44">
        <f t="shared" ref="J949:AF949" si="217">I949+J944-J939</f>
        <v>-14636</v>
      </c>
      <c r="K949" s="44">
        <f t="shared" si="217"/>
        <v>-17690</v>
      </c>
      <c r="L949" s="44">
        <f t="shared" si="217"/>
        <v>-20248</v>
      </c>
      <c r="M949" s="44">
        <f t="shared" si="217"/>
        <v>-22916</v>
      </c>
      <c r="N949" s="44">
        <f t="shared" si="217"/>
        <v>-25586</v>
      </c>
      <c r="O949" s="44">
        <f t="shared" si="217"/>
        <v>-28253</v>
      </c>
      <c r="P949" s="44">
        <f t="shared" si="217"/>
        <v>-30945</v>
      </c>
      <c r="Q949" s="44">
        <f t="shared" si="217"/>
        <v>-33574</v>
      </c>
      <c r="R949" s="44">
        <f t="shared" si="217"/>
        <v>-36063</v>
      </c>
      <c r="S949" s="44">
        <f t="shared" si="217"/>
        <v>-38511</v>
      </c>
      <c r="T949" s="44">
        <f t="shared" si="217"/>
        <v>-40931</v>
      </c>
      <c r="U949" s="44">
        <f t="shared" si="217"/>
        <v>-43199</v>
      </c>
      <c r="V949" s="44">
        <f t="shared" si="217"/>
        <v>-44877</v>
      </c>
      <c r="W949" s="44">
        <f t="shared" si="217"/>
        <v>-46571</v>
      </c>
      <c r="X949" s="44">
        <f t="shared" si="217"/>
        <v>-48244</v>
      </c>
      <c r="Y949" s="44">
        <f t="shared" si="217"/>
        <v>-49916</v>
      </c>
      <c r="Z949" s="44">
        <f t="shared" si="217"/>
        <v>-51795</v>
      </c>
      <c r="AA949" s="44">
        <f t="shared" si="217"/>
        <v>-53761</v>
      </c>
      <c r="AB949" s="44">
        <f t="shared" si="217"/>
        <v>-55726</v>
      </c>
      <c r="AC949" s="44">
        <f t="shared" si="217"/>
        <v>-57691</v>
      </c>
      <c r="AD949" s="44">
        <f t="shared" si="217"/>
        <v>-59127</v>
      </c>
      <c r="AE949" s="44">
        <f t="shared" si="217"/>
        <v>-60382</v>
      </c>
      <c r="AF949" s="44">
        <f t="shared" si="217"/>
        <v>-61608</v>
      </c>
    </row>
    <row r="950" spans="1:32" ht="15" thickBot="1" x14ac:dyDescent="0.35">
      <c r="A950" s="40" t="s">
        <v>266</v>
      </c>
      <c r="B950" s="40" t="s">
        <v>174</v>
      </c>
      <c r="C950" s="40" t="s">
        <v>267</v>
      </c>
      <c r="D950" s="41" t="s">
        <v>180</v>
      </c>
      <c r="E950" s="41" t="s">
        <v>195</v>
      </c>
      <c r="F950" s="40" t="s">
        <v>141</v>
      </c>
      <c r="G950" s="40" t="s">
        <v>130</v>
      </c>
      <c r="H950" s="45"/>
      <c r="I950" s="45">
        <f>I944-I948</f>
        <v>0</v>
      </c>
      <c r="J950" s="45">
        <f t="shared" ref="J950:AF950" si="218">I950+J944-J948</f>
        <v>0</v>
      </c>
      <c r="K950" s="45">
        <f t="shared" si="218"/>
        <v>0</v>
      </c>
      <c r="L950" s="45">
        <f t="shared" si="218"/>
        <v>0</v>
      </c>
      <c r="M950" s="45">
        <f t="shared" si="218"/>
        <v>0</v>
      </c>
      <c r="N950" s="45">
        <f t="shared" si="218"/>
        <v>0</v>
      </c>
      <c r="O950" s="45">
        <f t="shared" si="218"/>
        <v>0</v>
      </c>
      <c r="P950" s="45">
        <f t="shared" si="218"/>
        <v>0</v>
      </c>
      <c r="Q950" s="45">
        <f t="shared" si="218"/>
        <v>0</v>
      </c>
      <c r="R950" s="45">
        <f t="shared" si="218"/>
        <v>0</v>
      </c>
      <c r="S950" s="45">
        <f t="shared" si="218"/>
        <v>0</v>
      </c>
      <c r="T950" s="45">
        <f t="shared" si="218"/>
        <v>0</v>
      </c>
      <c r="U950" s="45">
        <f t="shared" si="218"/>
        <v>0</v>
      </c>
      <c r="V950" s="45">
        <f t="shared" si="218"/>
        <v>0</v>
      </c>
      <c r="W950" s="45">
        <f t="shared" si="218"/>
        <v>0</v>
      </c>
      <c r="X950" s="45">
        <f t="shared" si="218"/>
        <v>0</v>
      </c>
      <c r="Y950" s="45">
        <f t="shared" si="218"/>
        <v>0</v>
      </c>
      <c r="Z950" s="45">
        <f t="shared" si="218"/>
        <v>0</v>
      </c>
      <c r="AA950" s="45">
        <f t="shared" si="218"/>
        <v>0</v>
      </c>
      <c r="AB950" s="45">
        <f t="shared" si="218"/>
        <v>0</v>
      </c>
      <c r="AC950" s="45">
        <f t="shared" si="218"/>
        <v>0</v>
      </c>
      <c r="AD950" s="45">
        <f t="shared" si="218"/>
        <v>0</v>
      </c>
      <c r="AE950" s="45">
        <f t="shared" si="218"/>
        <v>0</v>
      </c>
      <c r="AF950" s="45">
        <f t="shared" si="218"/>
        <v>0</v>
      </c>
    </row>
    <row r="951" spans="1:32" x14ac:dyDescent="0.3">
      <c r="A951" s="38" t="s">
        <v>266</v>
      </c>
      <c r="B951" s="38" t="s">
        <v>174</v>
      </c>
      <c r="C951" s="38" t="s">
        <v>267</v>
      </c>
      <c r="D951" s="39" t="s">
        <v>180</v>
      </c>
      <c r="E951" s="39" t="s">
        <v>177</v>
      </c>
      <c r="F951" s="38" t="s">
        <v>129</v>
      </c>
      <c r="G951" s="38" t="s">
        <v>130</v>
      </c>
      <c r="H951" s="44">
        <v>979</v>
      </c>
      <c r="I951" s="44">
        <v>979</v>
      </c>
      <c r="J951" s="44"/>
      <c r="K951" s="44"/>
      <c r="L951" s="44"/>
      <c r="M951" s="44"/>
      <c r="N951" s="44"/>
      <c r="O951" s="44"/>
      <c r="P951" s="44"/>
      <c r="Q951" s="44"/>
      <c r="R951" s="44"/>
      <c r="S951" s="44"/>
      <c r="T951" s="44"/>
      <c r="U951" s="44"/>
      <c r="V951" s="44"/>
      <c r="W951" s="44"/>
      <c r="X951" s="44"/>
      <c r="Y951" s="44"/>
      <c r="Z951" s="44"/>
      <c r="AA951" s="44"/>
      <c r="AB951" s="44"/>
      <c r="AC951" s="44"/>
      <c r="AD951" s="44"/>
      <c r="AE951" s="44"/>
      <c r="AF951" s="44"/>
    </row>
    <row r="952" spans="1:32" x14ac:dyDescent="0.3">
      <c r="A952" s="38" t="s">
        <v>266</v>
      </c>
      <c r="B952" s="38" t="s">
        <v>174</v>
      </c>
      <c r="C952" s="38" t="s">
        <v>267</v>
      </c>
      <c r="D952" s="39" t="s">
        <v>180</v>
      </c>
      <c r="E952" s="39" t="s">
        <v>177</v>
      </c>
      <c r="F952" s="38" t="s">
        <v>131</v>
      </c>
      <c r="G952" s="38" t="s">
        <v>130</v>
      </c>
      <c r="H952" s="44">
        <v>242</v>
      </c>
      <c r="I952" s="44">
        <v>20</v>
      </c>
      <c r="J952" s="44">
        <v>20</v>
      </c>
      <c r="K952" s="44">
        <v>20</v>
      </c>
      <c r="L952" s="44">
        <v>22</v>
      </c>
      <c r="M952" s="44">
        <v>22</v>
      </c>
      <c r="N952" s="44">
        <v>20</v>
      </c>
      <c r="O952" s="44">
        <v>20</v>
      </c>
      <c r="P952" s="44">
        <v>20</v>
      </c>
      <c r="Q952" s="44">
        <v>22</v>
      </c>
      <c r="R952" s="44">
        <v>20</v>
      </c>
      <c r="S952" s="44">
        <v>20</v>
      </c>
      <c r="T952" s="44">
        <v>16</v>
      </c>
      <c r="U952" s="44">
        <v>0</v>
      </c>
      <c r="V952" s="44">
        <v>0</v>
      </c>
      <c r="W952" s="44">
        <v>0</v>
      </c>
      <c r="X952" s="44">
        <v>0</v>
      </c>
      <c r="Y952" s="44">
        <v>0</v>
      </c>
      <c r="Z952" s="44">
        <v>0</v>
      </c>
      <c r="AA952" s="44">
        <v>0</v>
      </c>
      <c r="AB952" s="44">
        <v>0</v>
      </c>
      <c r="AC952" s="44">
        <v>0</v>
      </c>
      <c r="AD952" s="44">
        <v>0</v>
      </c>
      <c r="AE952" s="44">
        <v>0</v>
      </c>
      <c r="AF952" s="44">
        <v>0</v>
      </c>
    </row>
    <row r="953" spans="1:32" x14ac:dyDescent="0.3">
      <c r="A953" s="38" t="s">
        <v>266</v>
      </c>
      <c r="B953" s="38" t="s">
        <v>174</v>
      </c>
      <c r="C953" s="38" t="s">
        <v>267</v>
      </c>
      <c r="D953" s="39" t="s">
        <v>180</v>
      </c>
      <c r="E953" s="39" t="s">
        <v>177</v>
      </c>
      <c r="F953" s="38" t="s">
        <v>132</v>
      </c>
      <c r="G953" s="38" t="s">
        <v>130</v>
      </c>
      <c r="H953" s="44">
        <v>0</v>
      </c>
      <c r="I953" s="44">
        <v>0</v>
      </c>
      <c r="J953" s="44"/>
      <c r="K953" s="44"/>
      <c r="L953" s="44"/>
      <c r="M953" s="44"/>
      <c r="N953" s="44"/>
      <c r="O953" s="44"/>
      <c r="P953" s="44"/>
      <c r="Q953" s="44"/>
      <c r="R953" s="44"/>
      <c r="S953" s="44"/>
      <c r="T953" s="44"/>
      <c r="U953" s="44"/>
      <c r="V953" s="44"/>
      <c r="W953" s="44"/>
      <c r="X953" s="44"/>
      <c r="Y953" s="44"/>
      <c r="Z953" s="44"/>
      <c r="AA953" s="44"/>
      <c r="AB953" s="44"/>
      <c r="AC953" s="44"/>
      <c r="AD953" s="44"/>
      <c r="AE953" s="44"/>
      <c r="AF953" s="44"/>
    </row>
    <row r="954" spans="1:32" x14ac:dyDescent="0.3">
      <c r="A954" s="38" t="s">
        <v>266</v>
      </c>
      <c r="B954" s="38" t="s">
        <v>174</v>
      </c>
      <c r="C954" s="38" t="s">
        <v>267</v>
      </c>
      <c r="D954" s="39" t="s">
        <v>180</v>
      </c>
      <c r="E954" s="39" t="s">
        <v>177</v>
      </c>
      <c r="F954" s="38" t="s">
        <v>133</v>
      </c>
      <c r="G954" s="38" t="s">
        <v>130</v>
      </c>
      <c r="H954" s="44">
        <v>0</v>
      </c>
      <c r="I954" s="44">
        <v>0</v>
      </c>
      <c r="J954" s="44"/>
      <c r="K954" s="44"/>
      <c r="L954" s="44"/>
      <c r="M954" s="44"/>
      <c r="N954" s="44"/>
      <c r="O954" s="44"/>
      <c r="P954" s="44"/>
      <c r="Q954" s="44"/>
      <c r="R954" s="44"/>
      <c r="S954" s="44"/>
      <c r="T954" s="44"/>
      <c r="U954" s="44"/>
      <c r="V954" s="44"/>
      <c r="W954" s="44"/>
      <c r="X954" s="44"/>
      <c r="Y954" s="44"/>
      <c r="Z954" s="44"/>
      <c r="AA954" s="44"/>
      <c r="AB954" s="44"/>
      <c r="AC954" s="44"/>
      <c r="AD954" s="44"/>
      <c r="AE954" s="44"/>
      <c r="AF954" s="44"/>
    </row>
    <row r="955" spans="1:32" x14ac:dyDescent="0.3">
      <c r="A955" s="38" t="s">
        <v>266</v>
      </c>
      <c r="B955" s="38" t="s">
        <v>174</v>
      </c>
      <c r="C955" s="38" t="s">
        <v>267</v>
      </c>
      <c r="D955" s="39" t="s">
        <v>180</v>
      </c>
      <c r="E955" s="39" t="s">
        <v>177</v>
      </c>
      <c r="F955" s="38" t="s">
        <v>134</v>
      </c>
      <c r="G955" s="38" t="s">
        <v>130</v>
      </c>
      <c r="H955" s="44">
        <v>112</v>
      </c>
      <c r="I955" s="44">
        <v>112</v>
      </c>
      <c r="J955" s="44"/>
      <c r="K955" s="44"/>
      <c r="L955" s="44"/>
      <c r="M955" s="44"/>
      <c r="N955" s="44"/>
      <c r="O955" s="44"/>
      <c r="P955" s="44"/>
      <c r="Q955" s="44"/>
      <c r="R955" s="44"/>
      <c r="S955" s="44"/>
      <c r="T955" s="44"/>
      <c r="U955" s="44"/>
      <c r="V955" s="44"/>
      <c r="W955" s="44"/>
      <c r="X955" s="44"/>
      <c r="Y955" s="44"/>
      <c r="Z955" s="44"/>
      <c r="AA955" s="44"/>
      <c r="AB955" s="44"/>
      <c r="AC955" s="44"/>
      <c r="AD955" s="44"/>
      <c r="AE955" s="44"/>
      <c r="AF955" s="44"/>
    </row>
    <row r="956" spans="1:32" x14ac:dyDescent="0.3">
      <c r="A956" s="38" t="s">
        <v>266</v>
      </c>
      <c r="B956" s="38" t="s">
        <v>174</v>
      </c>
      <c r="C956" s="38" t="s">
        <v>267</v>
      </c>
      <c r="D956" s="39" t="s">
        <v>180</v>
      </c>
      <c r="E956" s="39" t="s">
        <v>177</v>
      </c>
      <c r="F956" s="38" t="s">
        <v>135</v>
      </c>
      <c r="G956" s="38" t="s">
        <v>130</v>
      </c>
      <c r="H956" s="44"/>
      <c r="I956" s="44"/>
      <c r="J956" s="44"/>
      <c r="K956" s="44"/>
      <c r="L956" s="44"/>
      <c r="M956" s="44"/>
      <c r="N956" s="44"/>
      <c r="O956" s="44"/>
      <c r="P956" s="44"/>
      <c r="Q956" s="44"/>
      <c r="R956" s="44"/>
      <c r="S956" s="44"/>
      <c r="T956" s="44"/>
      <c r="U956" s="44"/>
      <c r="V956" s="44"/>
      <c r="W956" s="44"/>
      <c r="X956" s="44"/>
      <c r="Y956" s="44"/>
      <c r="Z956" s="44"/>
      <c r="AA956" s="44"/>
      <c r="AB956" s="44"/>
      <c r="AC956" s="44"/>
      <c r="AD956" s="44"/>
      <c r="AE956" s="44"/>
      <c r="AF956" s="44"/>
    </row>
    <row r="957" spans="1:32" x14ac:dyDescent="0.3">
      <c r="A957" s="38" t="s">
        <v>266</v>
      </c>
      <c r="B957" s="38" t="s">
        <v>174</v>
      </c>
      <c r="C957" s="38" t="s">
        <v>267</v>
      </c>
      <c r="D957" s="39" t="s">
        <v>180</v>
      </c>
      <c r="E957" s="39" t="s">
        <v>177</v>
      </c>
      <c r="F957" s="38" t="s">
        <v>136</v>
      </c>
      <c r="G957" s="38" t="s">
        <v>130</v>
      </c>
      <c r="H957" s="44">
        <f>SUM(I957:AF957)</f>
        <v>0</v>
      </c>
      <c r="I957" s="44">
        <f t="shared" ref="I957:AF957" si="219">IF(AND(ISBLANK(I960) = TRUE,ISBLANK(I959) = TRUE),I958,I959+I960)</f>
        <v>0</v>
      </c>
      <c r="J957" s="44">
        <f t="shared" si="219"/>
        <v>0</v>
      </c>
      <c r="K957" s="44">
        <f t="shared" si="219"/>
        <v>0</v>
      </c>
      <c r="L957" s="44">
        <f t="shared" si="219"/>
        <v>0</v>
      </c>
      <c r="M957" s="44">
        <f t="shared" si="219"/>
        <v>0</v>
      </c>
      <c r="N957" s="44">
        <f t="shared" si="219"/>
        <v>0</v>
      </c>
      <c r="O957" s="44">
        <f t="shared" si="219"/>
        <v>0</v>
      </c>
      <c r="P957" s="44">
        <f t="shared" si="219"/>
        <v>0</v>
      </c>
      <c r="Q957" s="44">
        <f t="shared" si="219"/>
        <v>0</v>
      </c>
      <c r="R957" s="44">
        <f t="shared" si="219"/>
        <v>0</v>
      </c>
      <c r="S957" s="44">
        <f t="shared" si="219"/>
        <v>0</v>
      </c>
      <c r="T957" s="44">
        <f t="shared" si="219"/>
        <v>0</v>
      </c>
      <c r="U957" s="44">
        <f t="shared" si="219"/>
        <v>0</v>
      </c>
      <c r="V957" s="44">
        <f t="shared" si="219"/>
        <v>0</v>
      </c>
      <c r="W957" s="44">
        <f t="shared" si="219"/>
        <v>0</v>
      </c>
      <c r="X957" s="44">
        <f t="shared" si="219"/>
        <v>0</v>
      </c>
      <c r="Y957" s="44">
        <f t="shared" si="219"/>
        <v>0</v>
      </c>
      <c r="Z957" s="44">
        <f t="shared" si="219"/>
        <v>0</v>
      </c>
      <c r="AA957" s="44">
        <f t="shared" si="219"/>
        <v>0</v>
      </c>
      <c r="AB957" s="44">
        <f t="shared" si="219"/>
        <v>0</v>
      </c>
      <c r="AC957" s="44">
        <f t="shared" si="219"/>
        <v>0</v>
      </c>
      <c r="AD957" s="44">
        <f t="shared" si="219"/>
        <v>0</v>
      </c>
      <c r="AE957" s="44">
        <f t="shared" si="219"/>
        <v>0</v>
      </c>
      <c r="AF957" s="44">
        <f t="shared" si="219"/>
        <v>0</v>
      </c>
    </row>
    <row r="958" spans="1:32" x14ac:dyDescent="0.3">
      <c r="A958" s="38" t="s">
        <v>266</v>
      </c>
      <c r="B958" s="38" t="s">
        <v>174</v>
      </c>
      <c r="C958" s="38" t="s">
        <v>267</v>
      </c>
      <c r="D958" s="39" t="s">
        <v>180</v>
      </c>
      <c r="E958" s="39" t="s">
        <v>177</v>
      </c>
      <c r="F958" s="38" t="s">
        <v>124</v>
      </c>
      <c r="G958" s="38" t="s">
        <v>130</v>
      </c>
      <c r="H958" s="44"/>
      <c r="I958" s="44"/>
      <c r="J958" s="44"/>
      <c r="K958" s="44"/>
      <c r="L958" s="44"/>
      <c r="M958" s="44"/>
      <c r="N958" s="44"/>
      <c r="O958" s="44"/>
      <c r="P958" s="44"/>
      <c r="Q958" s="44"/>
      <c r="R958" s="44"/>
      <c r="S958" s="44"/>
      <c r="T958" s="44"/>
      <c r="U958" s="44"/>
      <c r="V958" s="44"/>
      <c r="W958" s="44"/>
      <c r="X958" s="44"/>
      <c r="Y958" s="44"/>
      <c r="Z958" s="44"/>
      <c r="AA958" s="44"/>
      <c r="AB958" s="44"/>
      <c r="AC958" s="44"/>
      <c r="AD958" s="44"/>
      <c r="AE958" s="44"/>
      <c r="AF958" s="44"/>
    </row>
    <row r="959" spans="1:32" x14ac:dyDescent="0.3">
      <c r="A959" s="38" t="s">
        <v>266</v>
      </c>
      <c r="B959" s="38" t="s">
        <v>174</v>
      </c>
      <c r="C959" s="38" t="s">
        <v>267</v>
      </c>
      <c r="D959" s="39" t="s">
        <v>180</v>
      </c>
      <c r="E959" s="39" t="s">
        <v>177</v>
      </c>
      <c r="F959" s="38" t="s">
        <v>137</v>
      </c>
      <c r="G959" s="38" t="s">
        <v>130</v>
      </c>
      <c r="H959" s="44">
        <f>SUM(I959:AF959)</f>
        <v>0</v>
      </c>
      <c r="I959" s="44"/>
      <c r="J959" s="44"/>
      <c r="K959" s="44"/>
      <c r="L959" s="44"/>
      <c r="M959" s="44"/>
      <c r="N959" s="44"/>
      <c r="O959" s="44"/>
      <c r="P959" s="44"/>
      <c r="Q959" s="44"/>
      <c r="R959" s="44"/>
      <c r="S959" s="44"/>
      <c r="T959" s="44"/>
      <c r="U959" s="44"/>
      <c r="V959" s="44"/>
      <c r="W959" s="44"/>
      <c r="X959" s="44"/>
      <c r="Y959" s="44"/>
      <c r="Z959" s="44"/>
      <c r="AA959" s="44"/>
      <c r="AB959" s="44"/>
      <c r="AC959" s="44"/>
      <c r="AD959" s="44"/>
      <c r="AE959" s="44"/>
      <c r="AF959" s="44"/>
    </row>
    <row r="960" spans="1:32" x14ac:dyDescent="0.3">
      <c r="A960" s="38" t="s">
        <v>266</v>
      </c>
      <c r="B960" s="38" t="s">
        <v>174</v>
      </c>
      <c r="C960" s="38" t="s">
        <v>267</v>
      </c>
      <c r="D960" s="39" t="s">
        <v>180</v>
      </c>
      <c r="E960" s="39" t="s">
        <v>177</v>
      </c>
      <c r="F960" s="38" t="s">
        <v>138</v>
      </c>
      <c r="G960" s="38" t="s">
        <v>130</v>
      </c>
      <c r="H960" s="44">
        <f>SUM(I960:AF960)</f>
        <v>0</v>
      </c>
      <c r="I960" s="44"/>
      <c r="J960" s="44"/>
      <c r="K960" s="44"/>
      <c r="L960" s="44"/>
      <c r="M960" s="44"/>
      <c r="N960" s="44"/>
      <c r="O960" s="44"/>
      <c r="P960" s="44"/>
      <c r="Q960" s="44"/>
      <c r="R960" s="44"/>
      <c r="S960" s="44"/>
      <c r="T960" s="44"/>
      <c r="U960" s="44"/>
      <c r="V960" s="44"/>
      <c r="W960" s="44"/>
      <c r="X960" s="44"/>
      <c r="Y960" s="44"/>
      <c r="Z960" s="44"/>
      <c r="AA960" s="44"/>
      <c r="AB960" s="44"/>
      <c r="AC960" s="44"/>
      <c r="AD960" s="44"/>
      <c r="AE960" s="44"/>
      <c r="AF960" s="44"/>
    </row>
    <row r="961" spans="1:32" x14ac:dyDescent="0.3">
      <c r="A961" s="38" t="s">
        <v>266</v>
      </c>
      <c r="B961" s="38" t="s">
        <v>174</v>
      </c>
      <c r="C961" s="38" t="s">
        <v>267</v>
      </c>
      <c r="D961" s="39" t="s">
        <v>180</v>
      </c>
      <c r="E961" s="39" t="s">
        <v>177</v>
      </c>
      <c r="F961" s="38" t="s">
        <v>139</v>
      </c>
      <c r="G961" s="38" t="s">
        <v>130</v>
      </c>
      <c r="H961" s="44"/>
      <c r="I961" s="44"/>
      <c r="J961" s="44"/>
      <c r="K961" s="44"/>
      <c r="L961" s="44"/>
      <c r="M961" s="44"/>
      <c r="N961" s="44"/>
      <c r="O961" s="44"/>
      <c r="P961" s="44"/>
      <c r="Q961" s="44"/>
      <c r="R961" s="44"/>
      <c r="S961" s="44"/>
      <c r="T961" s="44"/>
      <c r="U961" s="44"/>
      <c r="V961" s="44"/>
      <c r="W961" s="44"/>
      <c r="X961" s="44"/>
      <c r="Y961" s="44"/>
      <c r="Z961" s="44"/>
      <c r="AA961" s="44"/>
      <c r="AB961" s="44"/>
      <c r="AC961" s="44"/>
      <c r="AD961" s="44"/>
      <c r="AE961" s="44"/>
      <c r="AF961" s="44"/>
    </row>
    <row r="962" spans="1:32" x14ac:dyDescent="0.3">
      <c r="A962" s="38" t="s">
        <v>266</v>
      </c>
      <c r="B962" s="38" t="s">
        <v>174</v>
      </c>
      <c r="C962" s="38" t="s">
        <v>267</v>
      </c>
      <c r="D962" s="39" t="s">
        <v>180</v>
      </c>
      <c r="E962" s="39" t="s">
        <v>177</v>
      </c>
      <c r="F962" s="38" t="s">
        <v>140</v>
      </c>
      <c r="G962" s="38" t="s">
        <v>130</v>
      </c>
      <c r="H962" s="44"/>
      <c r="I962" s="44">
        <f>I957-(I952+I951)+(I956+I955+I954+I953)</f>
        <v>-887</v>
      </c>
      <c r="J962" s="44">
        <f t="shared" ref="J962:AF962" si="220">I962+J957-J952</f>
        <v>-907</v>
      </c>
      <c r="K962" s="44">
        <f t="shared" si="220"/>
        <v>-927</v>
      </c>
      <c r="L962" s="44">
        <f t="shared" si="220"/>
        <v>-949</v>
      </c>
      <c r="M962" s="44">
        <f t="shared" si="220"/>
        <v>-971</v>
      </c>
      <c r="N962" s="44">
        <f t="shared" si="220"/>
        <v>-991</v>
      </c>
      <c r="O962" s="44">
        <f t="shared" si="220"/>
        <v>-1011</v>
      </c>
      <c r="P962" s="44">
        <f t="shared" si="220"/>
        <v>-1031</v>
      </c>
      <c r="Q962" s="44">
        <f t="shared" si="220"/>
        <v>-1053</v>
      </c>
      <c r="R962" s="44">
        <f t="shared" si="220"/>
        <v>-1073</v>
      </c>
      <c r="S962" s="44">
        <f t="shared" si="220"/>
        <v>-1093</v>
      </c>
      <c r="T962" s="44">
        <f t="shared" si="220"/>
        <v>-1109</v>
      </c>
      <c r="U962" s="44">
        <f t="shared" si="220"/>
        <v>-1109</v>
      </c>
      <c r="V962" s="44">
        <f t="shared" si="220"/>
        <v>-1109</v>
      </c>
      <c r="W962" s="44">
        <f t="shared" si="220"/>
        <v>-1109</v>
      </c>
      <c r="X962" s="44">
        <f t="shared" si="220"/>
        <v>-1109</v>
      </c>
      <c r="Y962" s="44">
        <f t="shared" si="220"/>
        <v>-1109</v>
      </c>
      <c r="Z962" s="44">
        <f t="shared" si="220"/>
        <v>-1109</v>
      </c>
      <c r="AA962" s="44">
        <f t="shared" si="220"/>
        <v>-1109</v>
      </c>
      <c r="AB962" s="44">
        <f t="shared" si="220"/>
        <v>-1109</v>
      </c>
      <c r="AC962" s="44">
        <f t="shared" si="220"/>
        <v>-1109</v>
      </c>
      <c r="AD962" s="44">
        <f t="shared" si="220"/>
        <v>-1109</v>
      </c>
      <c r="AE962" s="44">
        <f t="shared" si="220"/>
        <v>-1109</v>
      </c>
      <c r="AF962" s="44">
        <f t="shared" si="220"/>
        <v>-1109</v>
      </c>
    </row>
    <row r="963" spans="1:32" ht="15" thickBot="1" x14ac:dyDescent="0.35">
      <c r="A963" s="40" t="s">
        <v>266</v>
      </c>
      <c r="B963" s="40" t="s">
        <v>174</v>
      </c>
      <c r="C963" s="40" t="s">
        <v>267</v>
      </c>
      <c r="D963" s="41" t="s">
        <v>180</v>
      </c>
      <c r="E963" s="41" t="s">
        <v>177</v>
      </c>
      <c r="F963" s="40" t="s">
        <v>141</v>
      </c>
      <c r="G963" s="40" t="s">
        <v>130</v>
      </c>
      <c r="H963" s="45"/>
      <c r="I963" s="45">
        <f>I957-I961</f>
        <v>0</v>
      </c>
      <c r="J963" s="45">
        <f t="shared" ref="J963:AF963" si="221">I963+J957-J961</f>
        <v>0</v>
      </c>
      <c r="K963" s="45">
        <f t="shared" si="221"/>
        <v>0</v>
      </c>
      <c r="L963" s="45">
        <f t="shared" si="221"/>
        <v>0</v>
      </c>
      <c r="M963" s="45">
        <f t="shared" si="221"/>
        <v>0</v>
      </c>
      <c r="N963" s="45">
        <f t="shared" si="221"/>
        <v>0</v>
      </c>
      <c r="O963" s="45">
        <f t="shared" si="221"/>
        <v>0</v>
      </c>
      <c r="P963" s="45">
        <f t="shared" si="221"/>
        <v>0</v>
      </c>
      <c r="Q963" s="45">
        <f t="shared" si="221"/>
        <v>0</v>
      </c>
      <c r="R963" s="45">
        <f t="shared" si="221"/>
        <v>0</v>
      </c>
      <c r="S963" s="45">
        <f t="shared" si="221"/>
        <v>0</v>
      </c>
      <c r="T963" s="45">
        <f t="shared" si="221"/>
        <v>0</v>
      </c>
      <c r="U963" s="45">
        <f t="shared" si="221"/>
        <v>0</v>
      </c>
      <c r="V963" s="45">
        <f t="shared" si="221"/>
        <v>0</v>
      </c>
      <c r="W963" s="45">
        <f t="shared" si="221"/>
        <v>0</v>
      </c>
      <c r="X963" s="45">
        <f t="shared" si="221"/>
        <v>0</v>
      </c>
      <c r="Y963" s="45">
        <f t="shared" si="221"/>
        <v>0</v>
      </c>
      <c r="Z963" s="45">
        <f t="shared" si="221"/>
        <v>0</v>
      </c>
      <c r="AA963" s="45">
        <f t="shared" si="221"/>
        <v>0</v>
      </c>
      <c r="AB963" s="45">
        <f t="shared" si="221"/>
        <v>0</v>
      </c>
      <c r="AC963" s="45">
        <f t="shared" si="221"/>
        <v>0</v>
      </c>
      <c r="AD963" s="45">
        <f t="shared" si="221"/>
        <v>0</v>
      </c>
      <c r="AE963" s="45">
        <f t="shared" si="221"/>
        <v>0</v>
      </c>
      <c r="AF963" s="45">
        <f t="shared" si="221"/>
        <v>0</v>
      </c>
    </row>
    <row r="964" spans="1:32" x14ac:dyDescent="0.3">
      <c r="A964" s="38" t="s">
        <v>268</v>
      </c>
      <c r="B964" s="38" t="s">
        <v>174</v>
      </c>
      <c r="C964" s="38" t="s">
        <v>269</v>
      </c>
      <c r="D964" s="39" t="s">
        <v>183</v>
      </c>
      <c r="E964" s="39" t="s">
        <v>177</v>
      </c>
      <c r="F964" s="38" t="s">
        <v>129</v>
      </c>
      <c r="G964" s="38" t="s">
        <v>130</v>
      </c>
      <c r="H964" s="44">
        <v>537.5</v>
      </c>
      <c r="I964" s="44">
        <v>537.5</v>
      </c>
      <c r="J964" s="44"/>
      <c r="K964" s="44"/>
      <c r="L964" s="44"/>
      <c r="M964" s="44"/>
      <c r="N964" s="44"/>
      <c r="O964" s="44"/>
      <c r="P964" s="44"/>
      <c r="Q964" s="44"/>
      <c r="R964" s="44"/>
      <c r="S964" s="44"/>
      <c r="T964" s="44"/>
      <c r="U964" s="44"/>
      <c r="V964" s="44"/>
      <c r="W964" s="44"/>
      <c r="X964" s="44"/>
      <c r="Y964" s="44"/>
      <c r="Z964" s="44"/>
      <c r="AA964" s="44"/>
      <c r="AB964" s="44"/>
      <c r="AC964" s="44"/>
      <c r="AD964" s="44"/>
      <c r="AE964" s="44"/>
      <c r="AF964" s="44"/>
    </row>
    <row r="965" spans="1:32" x14ac:dyDescent="0.3">
      <c r="A965" s="38" t="s">
        <v>268</v>
      </c>
      <c r="B965" s="38" t="s">
        <v>174</v>
      </c>
      <c r="C965" s="38" t="s">
        <v>269</v>
      </c>
      <c r="D965" s="39" t="s">
        <v>183</v>
      </c>
      <c r="E965" s="39" t="s">
        <v>177</v>
      </c>
      <c r="F965" s="38" t="s">
        <v>131</v>
      </c>
      <c r="G965" s="38" t="s">
        <v>130</v>
      </c>
      <c r="H965" s="44">
        <v>6219</v>
      </c>
      <c r="I965" s="44">
        <v>267</v>
      </c>
      <c r="J965" s="44">
        <v>254.5</v>
      </c>
      <c r="K965" s="44">
        <v>278.5</v>
      </c>
      <c r="L965" s="44">
        <v>383</v>
      </c>
      <c r="M965" s="44">
        <v>276</v>
      </c>
      <c r="N965" s="44">
        <v>213</v>
      </c>
      <c r="O965" s="44">
        <v>207.5</v>
      </c>
      <c r="P965" s="44">
        <v>383</v>
      </c>
      <c r="Q965" s="44">
        <v>215.5</v>
      </c>
      <c r="R965" s="44">
        <v>225.5</v>
      </c>
      <c r="S965" s="44">
        <v>259.5</v>
      </c>
      <c r="T965" s="44">
        <v>223.5</v>
      </c>
      <c r="U965" s="44">
        <v>545.5</v>
      </c>
      <c r="V965" s="44">
        <v>206</v>
      </c>
      <c r="W965" s="44">
        <v>204.5</v>
      </c>
      <c r="X965" s="44">
        <v>206</v>
      </c>
      <c r="Y965" s="44">
        <v>406</v>
      </c>
      <c r="Z965" s="44">
        <v>192</v>
      </c>
      <c r="AA965" s="44">
        <v>187.5</v>
      </c>
      <c r="AB965" s="44">
        <v>185.5</v>
      </c>
      <c r="AC965" s="44">
        <v>360</v>
      </c>
      <c r="AD965" s="44">
        <v>182</v>
      </c>
      <c r="AE965" s="44">
        <v>178.5</v>
      </c>
      <c r="AF965" s="44">
        <v>179</v>
      </c>
    </row>
    <row r="966" spans="1:32" x14ac:dyDescent="0.3">
      <c r="A966" s="38" t="s">
        <v>268</v>
      </c>
      <c r="B966" s="38" t="s">
        <v>174</v>
      </c>
      <c r="C966" s="38" t="s">
        <v>269</v>
      </c>
      <c r="D966" s="39" t="s">
        <v>183</v>
      </c>
      <c r="E966" s="39" t="s">
        <v>177</v>
      </c>
      <c r="F966" s="38" t="s">
        <v>132</v>
      </c>
      <c r="G966" s="38" t="s">
        <v>130</v>
      </c>
      <c r="H966" s="44">
        <v>4304</v>
      </c>
      <c r="I966" s="44">
        <v>4304</v>
      </c>
      <c r="J966" s="44"/>
      <c r="K966" s="44"/>
      <c r="L966" s="44"/>
      <c r="M966" s="44"/>
      <c r="N966" s="44"/>
      <c r="O966" s="44"/>
      <c r="P966" s="44"/>
      <c r="Q966" s="44"/>
      <c r="R966" s="44"/>
      <c r="S966" s="44"/>
      <c r="T966" s="44"/>
      <c r="U966" s="44"/>
      <c r="V966" s="44"/>
      <c r="W966" s="44"/>
      <c r="X966" s="44"/>
      <c r="Y966" s="44"/>
      <c r="Z966" s="44"/>
      <c r="AA966" s="44"/>
      <c r="AB966" s="44"/>
      <c r="AC966" s="44"/>
      <c r="AD966" s="44"/>
      <c r="AE966" s="44"/>
      <c r="AF966" s="44"/>
    </row>
    <row r="967" spans="1:32" x14ac:dyDescent="0.3">
      <c r="A967" s="38" t="s">
        <v>268</v>
      </c>
      <c r="B967" s="38" t="s">
        <v>174</v>
      </c>
      <c r="C967" s="38" t="s">
        <v>269</v>
      </c>
      <c r="D967" s="39" t="s">
        <v>183</v>
      </c>
      <c r="E967" s="39" t="s">
        <v>177</v>
      </c>
      <c r="F967" s="38" t="s">
        <v>133</v>
      </c>
      <c r="G967" s="38" t="s">
        <v>130</v>
      </c>
      <c r="H967" s="44">
        <v>0</v>
      </c>
      <c r="I967" s="44">
        <v>0</v>
      </c>
      <c r="J967" s="44"/>
      <c r="K967" s="44"/>
      <c r="L967" s="44"/>
      <c r="M967" s="44"/>
      <c r="N967" s="44"/>
      <c r="O967" s="44"/>
      <c r="P967" s="44"/>
      <c r="Q967" s="44"/>
      <c r="R967" s="44"/>
      <c r="S967" s="44"/>
      <c r="T967" s="44"/>
      <c r="U967" s="44"/>
      <c r="V967" s="44"/>
      <c r="W967" s="44"/>
      <c r="X967" s="44"/>
      <c r="Y967" s="44"/>
      <c r="Z967" s="44"/>
      <c r="AA967" s="44"/>
      <c r="AB967" s="44"/>
      <c r="AC967" s="44"/>
      <c r="AD967" s="44"/>
      <c r="AE967" s="44"/>
      <c r="AF967" s="44"/>
    </row>
    <row r="968" spans="1:32" x14ac:dyDescent="0.3">
      <c r="A968" s="38" t="s">
        <v>268</v>
      </c>
      <c r="B968" s="38" t="s">
        <v>174</v>
      </c>
      <c r="C968" s="38" t="s">
        <v>269</v>
      </c>
      <c r="D968" s="39" t="s">
        <v>183</v>
      </c>
      <c r="E968" s="39" t="s">
        <v>177</v>
      </c>
      <c r="F968" s="38" t="s">
        <v>134</v>
      </c>
      <c r="G968" s="38" t="s">
        <v>130</v>
      </c>
      <c r="H968" s="44">
        <v>7</v>
      </c>
      <c r="I968" s="44">
        <v>7</v>
      </c>
      <c r="J968" s="44"/>
      <c r="K968" s="44"/>
      <c r="L968" s="44"/>
      <c r="M968" s="44"/>
      <c r="N968" s="44"/>
      <c r="O968" s="44"/>
      <c r="P968" s="44"/>
      <c r="Q968" s="44"/>
      <c r="R968" s="44"/>
      <c r="S968" s="44"/>
      <c r="T968" s="44"/>
      <c r="U968" s="44"/>
      <c r="V968" s="44"/>
      <c r="W968" s="44"/>
      <c r="X968" s="44"/>
      <c r="Y968" s="44"/>
      <c r="Z968" s="44"/>
      <c r="AA968" s="44"/>
      <c r="AB968" s="44"/>
      <c r="AC968" s="44"/>
      <c r="AD968" s="44"/>
      <c r="AE968" s="44"/>
      <c r="AF968" s="44"/>
    </row>
    <row r="969" spans="1:32" x14ac:dyDescent="0.3">
      <c r="A969" s="38" t="s">
        <v>268</v>
      </c>
      <c r="B969" s="38" t="s">
        <v>174</v>
      </c>
      <c r="C969" s="38" t="s">
        <v>269</v>
      </c>
      <c r="D969" s="39" t="s">
        <v>183</v>
      </c>
      <c r="E969" s="39" t="s">
        <v>177</v>
      </c>
      <c r="F969" s="38" t="s">
        <v>135</v>
      </c>
      <c r="G969" s="38" t="s">
        <v>130</v>
      </c>
      <c r="H969" s="44"/>
      <c r="I969" s="44"/>
      <c r="J969" s="44"/>
      <c r="K969" s="44"/>
      <c r="L969" s="44"/>
      <c r="M969" s="44"/>
      <c r="N969" s="44"/>
      <c r="O969" s="44"/>
      <c r="P969" s="44"/>
      <c r="Q969" s="44"/>
      <c r="R969" s="44"/>
      <c r="S969" s="44"/>
      <c r="T969" s="44"/>
      <c r="U969" s="44"/>
      <c r="V969" s="44"/>
      <c r="W969" s="44"/>
      <c r="X969" s="44"/>
      <c r="Y969" s="44"/>
      <c r="Z969" s="44"/>
      <c r="AA969" s="44"/>
      <c r="AB969" s="44"/>
      <c r="AC969" s="44"/>
      <c r="AD969" s="44"/>
      <c r="AE969" s="44"/>
      <c r="AF969" s="44"/>
    </row>
    <row r="970" spans="1:32" x14ac:dyDescent="0.3">
      <c r="A970" s="38" t="s">
        <v>268</v>
      </c>
      <c r="B970" s="38" t="s">
        <v>174</v>
      </c>
      <c r="C970" s="38" t="s">
        <v>269</v>
      </c>
      <c r="D970" s="39" t="s">
        <v>183</v>
      </c>
      <c r="E970" s="39" t="s">
        <v>177</v>
      </c>
      <c r="F970" s="38" t="s">
        <v>136</v>
      </c>
      <c r="G970" s="38" t="s">
        <v>130</v>
      </c>
      <c r="H970" s="44">
        <f>SUM(I970:AF970)</f>
        <v>8448</v>
      </c>
      <c r="I970" s="44">
        <f t="shared" ref="I970:AF970" si="222">IF(AND(ISBLANK(I973) = TRUE,ISBLANK(I972) = TRUE),I971,I972+I973)</f>
        <v>0</v>
      </c>
      <c r="J970" s="44">
        <f t="shared" si="222"/>
        <v>0</v>
      </c>
      <c r="K970" s="44">
        <f t="shared" si="222"/>
        <v>0</v>
      </c>
      <c r="L970" s="44">
        <f t="shared" si="222"/>
        <v>4224</v>
      </c>
      <c r="M970" s="44">
        <f t="shared" si="222"/>
        <v>0</v>
      </c>
      <c r="N970" s="44">
        <f t="shared" si="222"/>
        <v>0</v>
      </c>
      <c r="O970" s="44">
        <f t="shared" si="222"/>
        <v>0</v>
      </c>
      <c r="P970" s="44">
        <f t="shared" si="222"/>
        <v>0</v>
      </c>
      <c r="Q970" s="44">
        <f t="shared" si="222"/>
        <v>0</v>
      </c>
      <c r="R970" s="44">
        <f t="shared" si="222"/>
        <v>0</v>
      </c>
      <c r="S970" s="44">
        <f t="shared" si="222"/>
        <v>0</v>
      </c>
      <c r="T970" s="44">
        <f t="shared" si="222"/>
        <v>4224</v>
      </c>
      <c r="U970" s="44">
        <f t="shared" si="222"/>
        <v>0</v>
      </c>
      <c r="V970" s="44">
        <f t="shared" si="222"/>
        <v>0</v>
      </c>
      <c r="W970" s="44">
        <f t="shared" si="222"/>
        <v>0</v>
      </c>
      <c r="X970" s="44">
        <f t="shared" si="222"/>
        <v>0</v>
      </c>
      <c r="Y970" s="44">
        <f t="shared" si="222"/>
        <v>0</v>
      </c>
      <c r="Z970" s="44">
        <f t="shared" si="222"/>
        <v>0</v>
      </c>
      <c r="AA970" s="44">
        <f t="shared" si="222"/>
        <v>0</v>
      </c>
      <c r="AB970" s="44">
        <f t="shared" si="222"/>
        <v>0</v>
      </c>
      <c r="AC970" s="44">
        <f t="shared" si="222"/>
        <v>0</v>
      </c>
      <c r="AD970" s="44">
        <f t="shared" si="222"/>
        <v>0</v>
      </c>
      <c r="AE970" s="44">
        <f t="shared" si="222"/>
        <v>0</v>
      </c>
      <c r="AF970" s="44">
        <f t="shared" si="222"/>
        <v>0</v>
      </c>
    </row>
    <row r="971" spans="1:32" x14ac:dyDescent="0.3">
      <c r="A971" s="38" t="s">
        <v>268</v>
      </c>
      <c r="B971" s="38" t="s">
        <v>174</v>
      </c>
      <c r="C971" s="38" t="s">
        <v>269</v>
      </c>
      <c r="D971" s="39" t="s">
        <v>183</v>
      </c>
      <c r="E971" s="39" t="s">
        <v>177</v>
      </c>
      <c r="F971" s="38" t="s">
        <v>124</v>
      </c>
      <c r="G971" s="38" t="s">
        <v>130</v>
      </c>
      <c r="H971" s="44">
        <v>8448</v>
      </c>
      <c r="I971" s="44"/>
      <c r="J971" s="44"/>
      <c r="K971" s="44"/>
      <c r="L971" s="44">
        <v>4224</v>
      </c>
      <c r="M971" s="44"/>
      <c r="N971" s="44"/>
      <c r="O971" s="44"/>
      <c r="P971" s="44"/>
      <c r="Q971" s="44"/>
      <c r="R971" s="44"/>
      <c r="S971" s="44"/>
      <c r="T971" s="44">
        <v>4224</v>
      </c>
      <c r="U971" s="44"/>
      <c r="V971" s="44"/>
      <c r="W971" s="44"/>
      <c r="X971" s="44"/>
      <c r="Y971" s="44"/>
      <c r="Z971" s="44"/>
      <c r="AA971" s="44"/>
      <c r="AB971" s="44"/>
      <c r="AC971" s="44"/>
      <c r="AD971" s="44"/>
      <c r="AE971" s="44"/>
      <c r="AF971" s="44"/>
    </row>
    <row r="972" spans="1:32" x14ac:dyDescent="0.3">
      <c r="A972" s="38" t="s">
        <v>268</v>
      </c>
      <c r="B972" s="38" t="s">
        <v>174</v>
      </c>
      <c r="C972" s="38" t="s">
        <v>269</v>
      </c>
      <c r="D972" s="39" t="s">
        <v>183</v>
      </c>
      <c r="E972" s="39" t="s">
        <v>177</v>
      </c>
      <c r="F972" s="38" t="s">
        <v>137</v>
      </c>
      <c r="G972" s="38" t="s">
        <v>130</v>
      </c>
      <c r="H972" s="44">
        <f>SUM(I972:AF972)</f>
        <v>0</v>
      </c>
      <c r="I972" s="44"/>
      <c r="J972" s="44"/>
      <c r="K972" s="44"/>
      <c r="L972" s="44"/>
      <c r="M972" s="44"/>
      <c r="N972" s="44"/>
      <c r="O972" s="44"/>
      <c r="P972" s="44"/>
      <c r="Q972" s="44"/>
      <c r="R972" s="44"/>
      <c r="S972" s="44"/>
      <c r="T972" s="44"/>
      <c r="U972" s="44"/>
      <c r="V972" s="44"/>
      <c r="W972" s="44"/>
      <c r="X972" s="44"/>
      <c r="Y972" s="44"/>
      <c r="Z972" s="44"/>
      <c r="AA972" s="44"/>
      <c r="AB972" s="44"/>
      <c r="AC972" s="44"/>
      <c r="AD972" s="44"/>
      <c r="AE972" s="44"/>
      <c r="AF972" s="44"/>
    </row>
    <row r="973" spans="1:32" x14ac:dyDescent="0.3">
      <c r="A973" s="38" t="s">
        <v>268</v>
      </c>
      <c r="B973" s="38" t="s">
        <v>174</v>
      </c>
      <c r="C973" s="38" t="s">
        <v>269</v>
      </c>
      <c r="D973" s="39" t="s">
        <v>183</v>
      </c>
      <c r="E973" s="39" t="s">
        <v>177</v>
      </c>
      <c r="F973" s="38" t="s">
        <v>138</v>
      </c>
      <c r="G973" s="38" t="s">
        <v>130</v>
      </c>
      <c r="H973" s="44">
        <f>SUM(I973:AF973)</f>
        <v>0</v>
      </c>
      <c r="I973" s="44"/>
      <c r="J973" s="44"/>
      <c r="K973" s="44"/>
      <c r="L973" s="44"/>
      <c r="M973" s="44"/>
      <c r="N973" s="44"/>
      <c r="O973" s="44"/>
      <c r="P973" s="44"/>
      <c r="Q973" s="44"/>
      <c r="R973" s="44"/>
      <c r="S973" s="44"/>
      <c r="T973" s="44"/>
      <c r="U973" s="44"/>
      <c r="V973" s="44"/>
      <c r="W973" s="44"/>
      <c r="X973" s="44"/>
      <c r="Y973" s="44"/>
      <c r="Z973" s="44"/>
      <c r="AA973" s="44"/>
      <c r="AB973" s="44"/>
      <c r="AC973" s="44"/>
      <c r="AD973" s="44"/>
      <c r="AE973" s="44"/>
      <c r="AF973" s="44"/>
    </row>
    <row r="974" spans="1:32" x14ac:dyDescent="0.3">
      <c r="A974" s="38" t="s">
        <v>268</v>
      </c>
      <c r="B974" s="38" t="s">
        <v>174</v>
      </c>
      <c r="C974" s="38" t="s">
        <v>269</v>
      </c>
      <c r="D974" s="39" t="s">
        <v>183</v>
      </c>
      <c r="E974" s="39" t="s">
        <v>177</v>
      </c>
      <c r="F974" s="38" t="s">
        <v>139</v>
      </c>
      <c r="G974" s="38" t="s">
        <v>130</v>
      </c>
      <c r="H974" s="44">
        <v>8448</v>
      </c>
      <c r="I974" s="44"/>
      <c r="J974" s="44"/>
      <c r="K974" s="44"/>
      <c r="L974" s="44">
        <v>4224</v>
      </c>
      <c r="M974" s="44"/>
      <c r="N974" s="44"/>
      <c r="O974" s="44"/>
      <c r="P974" s="44"/>
      <c r="Q974" s="44"/>
      <c r="R974" s="44"/>
      <c r="S974" s="44"/>
      <c r="T974" s="44">
        <v>4224</v>
      </c>
      <c r="U974" s="44"/>
      <c r="V974" s="44"/>
      <c r="W974" s="44"/>
      <c r="X974" s="44"/>
      <c r="Y974" s="44"/>
      <c r="Z974" s="44"/>
      <c r="AA974" s="44"/>
      <c r="AB974" s="44"/>
      <c r="AC974" s="44"/>
      <c r="AD974" s="44"/>
      <c r="AE974" s="44"/>
      <c r="AF974" s="44"/>
    </row>
    <row r="975" spans="1:32" x14ac:dyDescent="0.3">
      <c r="A975" s="38" t="s">
        <v>268</v>
      </c>
      <c r="B975" s="38" t="s">
        <v>174</v>
      </c>
      <c r="C975" s="38" t="s">
        <v>269</v>
      </c>
      <c r="D975" s="39" t="s">
        <v>183</v>
      </c>
      <c r="E975" s="39" t="s">
        <v>177</v>
      </c>
      <c r="F975" s="38" t="s">
        <v>140</v>
      </c>
      <c r="G975" s="38" t="s">
        <v>130</v>
      </c>
      <c r="H975" s="44"/>
      <c r="I975" s="44">
        <f>I970-(I965+I964)+(I969+I968+I967+I966)</f>
        <v>3506.5</v>
      </c>
      <c r="J975" s="44">
        <f t="shared" ref="J975:AF975" si="223">I975+J970-J965</f>
        <v>3252</v>
      </c>
      <c r="K975" s="44">
        <f t="shared" si="223"/>
        <v>2973.5</v>
      </c>
      <c r="L975" s="44">
        <f t="shared" si="223"/>
        <v>6814.5</v>
      </c>
      <c r="M975" s="44">
        <f t="shared" si="223"/>
        <v>6538.5</v>
      </c>
      <c r="N975" s="44">
        <f t="shared" si="223"/>
        <v>6325.5</v>
      </c>
      <c r="O975" s="44">
        <f t="shared" si="223"/>
        <v>6118</v>
      </c>
      <c r="P975" s="44">
        <f t="shared" si="223"/>
        <v>5735</v>
      </c>
      <c r="Q975" s="44">
        <f t="shared" si="223"/>
        <v>5519.5</v>
      </c>
      <c r="R975" s="44">
        <f t="shared" si="223"/>
        <v>5294</v>
      </c>
      <c r="S975" s="44">
        <f t="shared" si="223"/>
        <v>5034.5</v>
      </c>
      <c r="T975" s="44">
        <f t="shared" si="223"/>
        <v>9035</v>
      </c>
      <c r="U975" s="44">
        <f t="shared" si="223"/>
        <v>8489.5</v>
      </c>
      <c r="V975" s="44">
        <f t="shared" si="223"/>
        <v>8283.5</v>
      </c>
      <c r="W975" s="44">
        <f t="shared" si="223"/>
        <v>8079</v>
      </c>
      <c r="X975" s="44">
        <f t="shared" si="223"/>
        <v>7873</v>
      </c>
      <c r="Y975" s="44">
        <f t="shared" si="223"/>
        <v>7467</v>
      </c>
      <c r="Z975" s="44">
        <f t="shared" si="223"/>
        <v>7275</v>
      </c>
      <c r="AA975" s="44">
        <f t="shared" si="223"/>
        <v>7087.5</v>
      </c>
      <c r="AB975" s="44">
        <f t="shared" si="223"/>
        <v>6902</v>
      </c>
      <c r="AC975" s="44">
        <f t="shared" si="223"/>
        <v>6542</v>
      </c>
      <c r="AD975" s="44">
        <f t="shared" si="223"/>
        <v>6360</v>
      </c>
      <c r="AE975" s="44">
        <f t="shared" si="223"/>
        <v>6181.5</v>
      </c>
      <c r="AF975" s="44">
        <f t="shared" si="223"/>
        <v>6002.5</v>
      </c>
    </row>
    <row r="976" spans="1:32" ht="15" thickBot="1" x14ac:dyDescent="0.35">
      <c r="A976" s="40" t="s">
        <v>268</v>
      </c>
      <c r="B976" s="40" t="s">
        <v>174</v>
      </c>
      <c r="C976" s="40" t="s">
        <v>269</v>
      </c>
      <c r="D976" s="41" t="s">
        <v>183</v>
      </c>
      <c r="E976" s="41" t="s">
        <v>177</v>
      </c>
      <c r="F976" s="40" t="s">
        <v>141</v>
      </c>
      <c r="G976" s="40" t="s">
        <v>130</v>
      </c>
      <c r="H976" s="45"/>
      <c r="I976" s="45">
        <f>I970-I974</f>
        <v>0</v>
      </c>
      <c r="J976" s="45">
        <f t="shared" ref="J976:AF976" si="224">I976+J970-J974</f>
        <v>0</v>
      </c>
      <c r="K976" s="45">
        <f t="shared" si="224"/>
        <v>0</v>
      </c>
      <c r="L976" s="45">
        <f t="shared" si="224"/>
        <v>0</v>
      </c>
      <c r="M976" s="45">
        <f t="shared" si="224"/>
        <v>0</v>
      </c>
      <c r="N976" s="45">
        <f t="shared" si="224"/>
        <v>0</v>
      </c>
      <c r="O976" s="45">
        <f t="shared" si="224"/>
        <v>0</v>
      </c>
      <c r="P976" s="45">
        <f t="shared" si="224"/>
        <v>0</v>
      </c>
      <c r="Q976" s="45">
        <f t="shared" si="224"/>
        <v>0</v>
      </c>
      <c r="R976" s="45">
        <f t="shared" si="224"/>
        <v>0</v>
      </c>
      <c r="S976" s="45">
        <f t="shared" si="224"/>
        <v>0</v>
      </c>
      <c r="T976" s="45">
        <f t="shared" si="224"/>
        <v>0</v>
      </c>
      <c r="U976" s="45">
        <f t="shared" si="224"/>
        <v>0</v>
      </c>
      <c r="V976" s="45">
        <f t="shared" si="224"/>
        <v>0</v>
      </c>
      <c r="W976" s="45">
        <f t="shared" si="224"/>
        <v>0</v>
      </c>
      <c r="X976" s="45">
        <f t="shared" si="224"/>
        <v>0</v>
      </c>
      <c r="Y976" s="45">
        <f t="shared" si="224"/>
        <v>0</v>
      </c>
      <c r="Z976" s="45">
        <f t="shared" si="224"/>
        <v>0</v>
      </c>
      <c r="AA976" s="45">
        <f t="shared" si="224"/>
        <v>0</v>
      </c>
      <c r="AB976" s="45">
        <f t="shared" si="224"/>
        <v>0</v>
      </c>
      <c r="AC976" s="45">
        <f t="shared" si="224"/>
        <v>0</v>
      </c>
      <c r="AD976" s="45">
        <f t="shared" si="224"/>
        <v>0</v>
      </c>
      <c r="AE976" s="45">
        <f t="shared" si="224"/>
        <v>0</v>
      </c>
      <c r="AF976" s="45">
        <f t="shared" si="224"/>
        <v>0</v>
      </c>
    </row>
    <row r="977" spans="1:32" x14ac:dyDescent="0.3">
      <c r="A977" s="38" t="s">
        <v>270</v>
      </c>
      <c r="B977" s="38" t="s">
        <v>174</v>
      </c>
      <c r="C977" s="38" t="s">
        <v>269</v>
      </c>
      <c r="D977" s="39" t="s">
        <v>180</v>
      </c>
      <c r="E977" s="39" t="s">
        <v>177</v>
      </c>
      <c r="F977" s="38" t="s">
        <v>129</v>
      </c>
      <c r="G977" s="38" t="s">
        <v>130</v>
      </c>
      <c r="H977" s="44">
        <v>537.5</v>
      </c>
      <c r="I977" s="44">
        <v>537.5</v>
      </c>
      <c r="J977" s="44"/>
      <c r="K977" s="44"/>
      <c r="L977" s="44"/>
      <c r="M977" s="44"/>
      <c r="N977" s="44"/>
      <c r="O977" s="44"/>
      <c r="P977" s="44"/>
      <c r="Q977" s="44"/>
      <c r="R977" s="44"/>
      <c r="S977" s="44"/>
      <c r="T977" s="44"/>
      <c r="U977" s="44"/>
      <c r="V977" s="44"/>
      <c r="W977" s="44"/>
      <c r="X977" s="44"/>
      <c r="Y977" s="44"/>
      <c r="Z977" s="44"/>
      <c r="AA977" s="44"/>
      <c r="AB977" s="44"/>
      <c r="AC977" s="44"/>
      <c r="AD977" s="44"/>
      <c r="AE977" s="44"/>
      <c r="AF977" s="44"/>
    </row>
    <row r="978" spans="1:32" x14ac:dyDescent="0.3">
      <c r="A978" s="38" t="s">
        <v>270</v>
      </c>
      <c r="B978" s="38" t="s">
        <v>174</v>
      </c>
      <c r="C978" s="38" t="s">
        <v>269</v>
      </c>
      <c r="D978" s="39" t="s">
        <v>180</v>
      </c>
      <c r="E978" s="39" t="s">
        <v>177</v>
      </c>
      <c r="F978" s="38" t="s">
        <v>131</v>
      </c>
      <c r="G978" s="38" t="s">
        <v>130</v>
      </c>
      <c r="H978" s="44">
        <v>6219</v>
      </c>
      <c r="I978" s="44">
        <v>267</v>
      </c>
      <c r="J978" s="44">
        <v>254.5</v>
      </c>
      <c r="K978" s="44">
        <v>278.5</v>
      </c>
      <c r="L978" s="44">
        <v>383</v>
      </c>
      <c r="M978" s="44">
        <v>276</v>
      </c>
      <c r="N978" s="44">
        <v>213</v>
      </c>
      <c r="O978" s="44">
        <v>207.5</v>
      </c>
      <c r="P978" s="44">
        <v>383</v>
      </c>
      <c r="Q978" s="44">
        <v>215.5</v>
      </c>
      <c r="R978" s="44">
        <v>225.5</v>
      </c>
      <c r="S978" s="44">
        <v>259.5</v>
      </c>
      <c r="T978" s="44">
        <v>223.5</v>
      </c>
      <c r="U978" s="44">
        <v>545.5</v>
      </c>
      <c r="V978" s="44">
        <v>206</v>
      </c>
      <c r="W978" s="44">
        <v>204.5</v>
      </c>
      <c r="X978" s="44">
        <v>206</v>
      </c>
      <c r="Y978" s="44">
        <v>406</v>
      </c>
      <c r="Z978" s="44">
        <v>192</v>
      </c>
      <c r="AA978" s="44">
        <v>187.5</v>
      </c>
      <c r="AB978" s="44">
        <v>185.5</v>
      </c>
      <c r="AC978" s="44">
        <v>360</v>
      </c>
      <c r="AD978" s="44">
        <v>182</v>
      </c>
      <c r="AE978" s="44">
        <v>178.5</v>
      </c>
      <c r="AF978" s="44">
        <v>179</v>
      </c>
    </row>
    <row r="979" spans="1:32" x14ac:dyDescent="0.3">
      <c r="A979" s="38" t="s">
        <v>270</v>
      </c>
      <c r="B979" s="38" t="s">
        <v>174</v>
      </c>
      <c r="C979" s="38" t="s">
        <v>269</v>
      </c>
      <c r="D979" s="39" t="s">
        <v>180</v>
      </c>
      <c r="E979" s="39" t="s">
        <v>177</v>
      </c>
      <c r="F979" s="38" t="s">
        <v>132</v>
      </c>
      <c r="G979" s="38" t="s">
        <v>130</v>
      </c>
      <c r="H979" s="44">
        <v>0</v>
      </c>
      <c r="I979" s="44">
        <v>0</v>
      </c>
      <c r="J979" s="44"/>
      <c r="K979" s="44"/>
      <c r="L979" s="44"/>
      <c r="M979" s="44"/>
      <c r="N979" s="44"/>
      <c r="O979" s="44"/>
      <c r="P979" s="44"/>
      <c r="Q979" s="44"/>
      <c r="R979" s="44"/>
      <c r="S979" s="44"/>
      <c r="T979" s="44"/>
      <c r="U979" s="44"/>
      <c r="V979" s="44"/>
      <c r="W979" s="44"/>
      <c r="X979" s="44"/>
      <c r="Y979" s="44"/>
      <c r="Z979" s="44"/>
      <c r="AA979" s="44"/>
      <c r="AB979" s="44"/>
      <c r="AC979" s="44"/>
      <c r="AD979" s="44"/>
      <c r="AE979" s="44"/>
      <c r="AF979" s="44"/>
    </row>
    <row r="980" spans="1:32" x14ac:dyDescent="0.3">
      <c r="A980" s="38" t="s">
        <v>270</v>
      </c>
      <c r="B980" s="38" t="s">
        <v>174</v>
      </c>
      <c r="C980" s="38" t="s">
        <v>269</v>
      </c>
      <c r="D980" s="39" t="s">
        <v>180</v>
      </c>
      <c r="E980" s="39" t="s">
        <v>177</v>
      </c>
      <c r="F980" s="38" t="s">
        <v>133</v>
      </c>
      <c r="G980" s="38" t="s">
        <v>130</v>
      </c>
      <c r="H980" s="44">
        <v>0</v>
      </c>
      <c r="I980" s="44">
        <v>0</v>
      </c>
      <c r="J980" s="44"/>
      <c r="K980" s="44"/>
      <c r="L980" s="44"/>
      <c r="M980" s="44"/>
      <c r="N980" s="44"/>
      <c r="O980" s="44"/>
      <c r="P980" s="44"/>
      <c r="Q980" s="44"/>
      <c r="R980" s="44"/>
      <c r="S980" s="44"/>
      <c r="T980" s="44"/>
      <c r="U980" s="44"/>
      <c r="V980" s="44"/>
      <c r="W980" s="44"/>
      <c r="X980" s="44"/>
      <c r="Y980" s="44"/>
      <c r="Z980" s="44"/>
      <c r="AA980" s="44"/>
      <c r="AB980" s="44"/>
      <c r="AC980" s="44"/>
      <c r="AD980" s="44"/>
      <c r="AE980" s="44"/>
      <c r="AF980" s="44"/>
    </row>
    <row r="981" spans="1:32" x14ac:dyDescent="0.3">
      <c r="A981" s="38" t="s">
        <v>270</v>
      </c>
      <c r="B981" s="38" t="s">
        <v>174</v>
      </c>
      <c r="C981" s="38" t="s">
        <v>269</v>
      </c>
      <c r="D981" s="39" t="s">
        <v>180</v>
      </c>
      <c r="E981" s="39" t="s">
        <v>177</v>
      </c>
      <c r="F981" s="38" t="s">
        <v>134</v>
      </c>
      <c r="G981" s="38" t="s">
        <v>130</v>
      </c>
      <c r="H981" s="44">
        <v>0</v>
      </c>
      <c r="I981" s="44">
        <v>0</v>
      </c>
      <c r="J981" s="44"/>
      <c r="K981" s="44"/>
      <c r="L981" s="44"/>
      <c r="M981" s="44"/>
      <c r="N981" s="44"/>
      <c r="O981" s="44"/>
      <c r="P981" s="44"/>
      <c r="Q981" s="44"/>
      <c r="R981" s="44"/>
      <c r="S981" s="44"/>
      <c r="T981" s="44"/>
      <c r="U981" s="44"/>
      <c r="V981" s="44"/>
      <c r="W981" s="44"/>
      <c r="X981" s="44"/>
      <c r="Y981" s="44"/>
      <c r="Z981" s="44"/>
      <c r="AA981" s="44"/>
      <c r="AB981" s="44"/>
      <c r="AC981" s="44"/>
      <c r="AD981" s="44"/>
      <c r="AE981" s="44"/>
      <c r="AF981" s="44"/>
    </row>
    <row r="982" spans="1:32" x14ac:dyDescent="0.3">
      <c r="A982" s="38" t="s">
        <v>270</v>
      </c>
      <c r="B982" s="38" t="s">
        <v>174</v>
      </c>
      <c r="C982" s="38" t="s">
        <v>269</v>
      </c>
      <c r="D982" s="39" t="s">
        <v>180</v>
      </c>
      <c r="E982" s="39" t="s">
        <v>177</v>
      </c>
      <c r="F982" s="38" t="s">
        <v>135</v>
      </c>
      <c r="G982" s="38" t="s">
        <v>130</v>
      </c>
      <c r="H982" s="44"/>
      <c r="I982" s="44"/>
      <c r="J982" s="44"/>
      <c r="K982" s="44"/>
      <c r="L982" s="44"/>
      <c r="M982" s="44"/>
      <c r="N982" s="44"/>
      <c r="O982" s="44"/>
      <c r="P982" s="44"/>
      <c r="Q982" s="44"/>
      <c r="R982" s="44"/>
      <c r="S982" s="44"/>
      <c r="T982" s="44"/>
      <c r="U982" s="44"/>
      <c r="V982" s="44"/>
      <c r="W982" s="44"/>
      <c r="X982" s="44"/>
      <c r="Y982" s="44"/>
      <c r="Z982" s="44"/>
      <c r="AA982" s="44"/>
      <c r="AB982" s="44"/>
      <c r="AC982" s="44"/>
      <c r="AD982" s="44"/>
      <c r="AE982" s="44"/>
      <c r="AF982" s="44"/>
    </row>
    <row r="983" spans="1:32" x14ac:dyDescent="0.3">
      <c r="A983" s="38" t="s">
        <v>270</v>
      </c>
      <c r="B983" s="38" t="s">
        <v>174</v>
      </c>
      <c r="C983" s="38" t="s">
        <v>269</v>
      </c>
      <c r="D983" s="39" t="s">
        <v>180</v>
      </c>
      <c r="E983" s="39" t="s">
        <v>177</v>
      </c>
      <c r="F983" s="38" t="s">
        <v>136</v>
      </c>
      <c r="G983" s="38" t="s">
        <v>130</v>
      </c>
      <c r="H983" s="44">
        <f>SUM(I983:AF983)</f>
        <v>0</v>
      </c>
      <c r="I983" s="44">
        <f t="shared" ref="I983:AF983" si="225">IF(AND(ISBLANK(I986) = TRUE,ISBLANK(I985) = TRUE),I984,I985+I986)</f>
        <v>0</v>
      </c>
      <c r="J983" s="44">
        <f t="shared" si="225"/>
        <v>0</v>
      </c>
      <c r="K983" s="44">
        <f t="shared" si="225"/>
        <v>0</v>
      </c>
      <c r="L983" s="44">
        <f t="shared" si="225"/>
        <v>0</v>
      </c>
      <c r="M983" s="44">
        <f t="shared" si="225"/>
        <v>0</v>
      </c>
      <c r="N983" s="44">
        <f t="shared" si="225"/>
        <v>0</v>
      </c>
      <c r="O983" s="44">
        <f t="shared" si="225"/>
        <v>0</v>
      </c>
      <c r="P983" s="44">
        <f t="shared" si="225"/>
        <v>0</v>
      </c>
      <c r="Q983" s="44">
        <f t="shared" si="225"/>
        <v>0</v>
      </c>
      <c r="R983" s="44">
        <f t="shared" si="225"/>
        <v>0</v>
      </c>
      <c r="S983" s="44">
        <f t="shared" si="225"/>
        <v>0</v>
      </c>
      <c r="T983" s="44">
        <f t="shared" si="225"/>
        <v>0</v>
      </c>
      <c r="U983" s="44">
        <f t="shared" si="225"/>
        <v>0</v>
      </c>
      <c r="V983" s="44">
        <f t="shared" si="225"/>
        <v>0</v>
      </c>
      <c r="W983" s="44">
        <f t="shared" si="225"/>
        <v>0</v>
      </c>
      <c r="X983" s="44">
        <f t="shared" si="225"/>
        <v>0</v>
      </c>
      <c r="Y983" s="44">
        <f t="shared" si="225"/>
        <v>0</v>
      </c>
      <c r="Z983" s="44">
        <f t="shared" si="225"/>
        <v>0</v>
      </c>
      <c r="AA983" s="44">
        <f t="shared" si="225"/>
        <v>0</v>
      </c>
      <c r="AB983" s="44">
        <f t="shared" si="225"/>
        <v>0</v>
      </c>
      <c r="AC983" s="44">
        <f t="shared" si="225"/>
        <v>0</v>
      </c>
      <c r="AD983" s="44">
        <f t="shared" si="225"/>
        <v>0</v>
      </c>
      <c r="AE983" s="44">
        <f t="shared" si="225"/>
        <v>0</v>
      </c>
      <c r="AF983" s="44">
        <f t="shared" si="225"/>
        <v>0</v>
      </c>
    </row>
    <row r="984" spans="1:32" x14ac:dyDescent="0.3">
      <c r="A984" s="38" t="s">
        <v>270</v>
      </c>
      <c r="B984" s="38" t="s">
        <v>174</v>
      </c>
      <c r="C984" s="38" t="s">
        <v>269</v>
      </c>
      <c r="D984" s="39" t="s">
        <v>180</v>
      </c>
      <c r="E984" s="39" t="s">
        <v>177</v>
      </c>
      <c r="F984" s="38" t="s">
        <v>124</v>
      </c>
      <c r="G984" s="38" t="s">
        <v>130</v>
      </c>
      <c r="H984" s="44"/>
      <c r="I984" s="44"/>
      <c r="J984" s="44"/>
      <c r="K984" s="44"/>
      <c r="L984" s="44"/>
      <c r="M984" s="44"/>
      <c r="N984" s="44"/>
      <c r="O984" s="44"/>
      <c r="P984" s="44"/>
      <c r="Q984" s="44"/>
      <c r="R984" s="44"/>
      <c r="S984" s="44"/>
      <c r="T984" s="44"/>
      <c r="U984" s="44"/>
      <c r="V984" s="44"/>
      <c r="W984" s="44"/>
      <c r="X984" s="44"/>
      <c r="Y984" s="44"/>
      <c r="Z984" s="44"/>
      <c r="AA984" s="44"/>
      <c r="AB984" s="44"/>
      <c r="AC984" s="44"/>
      <c r="AD984" s="44"/>
      <c r="AE984" s="44"/>
      <c r="AF984" s="44"/>
    </row>
    <row r="985" spans="1:32" x14ac:dyDescent="0.3">
      <c r="A985" s="38" t="s">
        <v>270</v>
      </c>
      <c r="B985" s="38" t="s">
        <v>174</v>
      </c>
      <c r="C985" s="38" t="s">
        <v>269</v>
      </c>
      <c r="D985" s="39" t="s">
        <v>180</v>
      </c>
      <c r="E985" s="39" t="s">
        <v>177</v>
      </c>
      <c r="F985" s="38" t="s">
        <v>137</v>
      </c>
      <c r="G985" s="38" t="s">
        <v>130</v>
      </c>
      <c r="H985" s="44">
        <f>SUM(I985:AF985)</f>
        <v>0</v>
      </c>
      <c r="I985" s="44"/>
      <c r="J985" s="44"/>
      <c r="K985" s="44"/>
      <c r="L985" s="44"/>
      <c r="M985" s="44"/>
      <c r="N985" s="44"/>
      <c r="O985" s="44"/>
      <c r="P985" s="44"/>
      <c r="Q985" s="44"/>
      <c r="R985" s="44"/>
      <c r="S985" s="44"/>
      <c r="T985" s="44"/>
      <c r="U985" s="44"/>
      <c r="V985" s="44"/>
      <c r="W985" s="44"/>
      <c r="X985" s="44"/>
      <c r="Y985" s="44"/>
      <c r="Z985" s="44"/>
      <c r="AA985" s="44"/>
      <c r="AB985" s="44"/>
      <c r="AC985" s="44"/>
      <c r="AD985" s="44"/>
      <c r="AE985" s="44"/>
      <c r="AF985" s="44"/>
    </row>
    <row r="986" spans="1:32" x14ac:dyDescent="0.3">
      <c r="A986" s="38" t="s">
        <v>270</v>
      </c>
      <c r="B986" s="38" t="s">
        <v>174</v>
      </c>
      <c r="C986" s="38" t="s">
        <v>269</v>
      </c>
      <c r="D986" s="39" t="s">
        <v>180</v>
      </c>
      <c r="E986" s="39" t="s">
        <v>177</v>
      </c>
      <c r="F986" s="38" t="s">
        <v>138</v>
      </c>
      <c r="G986" s="38" t="s">
        <v>130</v>
      </c>
      <c r="H986" s="44">
        <f>SUM(I986:AF986)</f>
        <v>0</v>
      </c>
      <c r="I986" s="44"/>
      <c r="J986" s="44"/>
      <c r="K986" s="44"/>
      <c r="L986" s="44"/>
      <c r="M986" s="44"/>
      <c r="N986" s="44"/>
      <c r="O986" s="44"/>
      <c r="P986" s="44"/>
      <c r="Q986" s="44"/>
      <c r="R986" s="44"/>
      <c r="S986" s="44"/>
      <c r="T986" s="44"/>
      <c r="U986" s="44"/>
      <c r="V986" s="44"/>
      <c r="W986" s="44"/>
      <c r="X986" s="44"/>
      <c r="Y986" s="44"/>
      <c r="Z986" s="44"/>
      <c r="AA986" s="44"/>
      <c r="AB986" s="44"/>
      <c r="AC986" s="44"/>
      <c r="AD986" s="44"/>
      <c r="AE986" s="44"/>
      <c r="AF986" s="44"/>
    </row>
    <row r="987" spans="1:32" x14ac:dyDescent="0.3">
      <c r="A987" s="38" t="s">
        <v>270</v>
      </c>
      <c r="B987" s="38" t="s">
        <v>174</v>
      </c>
      <c r="C987" s="38" t="s">
        <v>269</v>
      </c>
      <c r="D987" s="39" t="s">
        <v>180</v>
      </c>
      <c r="E987" s="39" t="s">
        <v>177</v>
      </c>
      <c r="F987" s="38" t="s">
        <v>139</v>
      </c>
      <c r="G987" s="38" t="s">
        <v>130</v>
      </c>
      <c r="H987" s="44"/>
      <c r="I987" s="44"/>
      <c r="J987" s="44"/>
      <c r="K987" s="44"/>
      <c r="L987" s="44"/>
      <c r="M987" s="44"/>
      <c r="N987" s="44"/>
      <c r="O987" s="44"/>
      <c r="P987" s="44"/>
      <c r="Q987" s="44"/>
      <c r="R987" s="44"/>
      <c r="S987" s="44"/>
      <c r="T987" s="44"/>
      <c r="U987" s="44"/>
      <c r="V987" s="44"/>
      <c r="W987" s="44"/>
      <c r="X987" s="44"/>
      <c r="Y987" s="44"/>
      <c r="Z987" s="44"/>
      <c r="AA987" s="44"/>
      <c r="AB987" s="44"/>
      <c r="AC987" s="44"/>
      <c r="AD987" s="44"/>
      <c r="AE987" s="44"/>
      <c r="AF987" s="44"/>
    </row>
    <row r="988" spans="1:32" x14ac:dyDescent="0.3">
      <c r="A988" s="38" t="s">
        <v>270</v>
      </c>
      <c r="B988" s="38" t="s">
        <v>174</v>
      </c>
      <c r="C988" s="38" t="s">
        <v>269</v>
      </c>
      <c r="D988" s="39" t="s">
        <v>180</v>
      </c>
      <c r="E988" s="39" t="s">
        <v>177</v>
      </c>
      <c r="F988" s="38" t="s">
        <v>140</v>
      </c>
      <c r="G988" s="38" t="s">
        <v>130</v>
      </c>
      <c r="H988" s="44"/>
      <c r="I988" s="44">
        <f>I983-(I978+I977)+(I982+I981+I980+I979)</f>
        <v>-804.5</v>
      </c>
      <c r="J988" s="44">
        <f t="shared" ref="J988:AF988" si="226">I988+J983-J978</f>
        <v>-1059</v>
      </c>
      <c r="K988" s="44">
        <f t="shared" si="226"/>
        <v>-1337.5</v>
      </c>
      <c r="L988" s="44">
        <f t="shared" si="226"/>
        <v>-1720.5</v>
      </c>
      <c r="M988" s="44">
        <f t="shared" si="226"/>
        <v>-1996.5</v>
      </c>
      <c r="N988" s="44">
        <f t="shared" si="226"/>
        <v>-2209.5</v>
      </c>
      <c r="O988" s="44">
        <f t="shared" si="226"/>
        <v>-2417</v>
      </c>
      <c r="P988" s="44">
        <f t="shared" si="226"/>
        <v>-2800</v>
      </c>
      <c r="Q988" s="44">
        <f t="shared" si="226"/>
        <v>-3015.5</v>
      </c>
      <c r="R988" s="44">
        <f t="shared" si="226"/>
        <v>-3241</v>
      </c>
      <c r="S988" s="44">
        <f t="shared" si="226"/>
        <v>-3500.5</v>
      </c>
      <c r="T988" s="44">
        <f t="shared" si="226"/>
        <v>-3724</v>
      </c>
      <c r="U988" s="44">
        <f t="shared" si="226"/>
        <v>-4269.5</v>
      </c>
      <c r="V988" s="44">
        <f t="shared" si="226"/>
        <v>-4475.5</v>
      </c>
      <c r="W988" s="44">
        <f t="shared" si="226"/>
        <v>-4680</v>
      </c>
      <c r="X988" s="44">
        <f t="shared" si="226"/>
        <v>-4886</v>
      </c>
      <c r="Y988" s="44">
        <f t="shared" si="226"/>
        <v>-5292</v>
      </c>
      <c r="Z988" s="44">
        <f t="shared" si="226"/>
        <v>-5484</v>
      </c>
      <c r="AA988" s="44">
        <f t="shared" si="226"/>
        <v>-5671.5</v>
      </c>
      <c r="AB988" s="44">
        <f t="shared" si="226"/>
        <v>-5857</v>
      </c>
      <c r="AC988" s="44">
        <f t="shared" si="226"/>
        <v>-6217</v>
      </c>
      <c r="AD988" s="44">
        <f t="shared" si="226"/>
        <v>-6399</v>
      </c>
      <c r="AE988" s="44">
        <f t="shared" si="226"/>
        <v>-6577.5</v>
      </c>
      <c r="AF988" s="44">
        <f t="shared" si="226"/>
        <v>-6756.5</v>
      </c>
    </row>
    <row r="989" spans="1:32" ht="15" thickBot="1" x14ac:dyDescent="0.35">
      <c r="A989" s="40" t="s">
        <v>270</v>
      </c>
      <c r="B989" s="40" t="s">
        <v>174</v>
      </c>
      <c r="C989" s="40" t="s">
        <v>269</v>
      </c>
      <c r="D989" s="41" t="s">
        <v>180</v>
      </c>
      <c r="E989" s="41" t="s">
        <v>177</v>
      </c>
      <c r="F989" s="40" t="s">
        <v>141</v>
      </c>
      <c r="G989" s="40" t="s">
        <v>130</v>
      </c>
      <c r="H989" s="45"/>
      <c r="I989" s="45">
        <f>I983-I987</f>
        <v>0</v>
      </c>
      <c r="J989" s="45">
        <f t="shared" ref="J989:AF989" si="227">I989+J983-J987</f>
        <v>0</v>
      </c>
      <c r="K989" s="45">
        <f t="shared" si="227"/>
        <v>0</v>
      </c>
      <c r="L989" s="45">
        <f t="shared" si="227"/>
        <v>0</v>
      </c>
      <c r="M989" s="45">
        <f t="shared" si="227"/>
        <v>0</v>
      </c>
      <c r="N989" s="45">
        <f t="shared" si="227"/>
        <v>0</v>
      </c>
      <c r="O989" s="45">
        <f t="shared" si="227"/>
        <v>0</v>
      </c>
      <c r="P989" s="45">
        <f t="shared" si="227"/>
        <v>0</v>
      </c>
      <c r="Q989" s="45">
        <f t="shared" si="227"/>
        <v>0</v>
      </c>
      <c r="R989" s="45">
        <f t="shared" si="227"/>
        <v>0</v>
      </c>
      <c r="S989" s="45">
        <f t="shared" si="227"/>
        <v>0</v>
      </c>
      <c r="T989" s="45">
        <f t="shared" si="227"/>
        <v>0</v>
      </c>
      <c r="U989" s="45">
        <f t="shared" si="227"/>
        <v>0</v>
      </c>
      <c r="V989" s="45">
        <f t="shared" si="227"/>
        <v>0</v>
      </c>
      <c r="W989" s="45">
        <f t="shared" si="227"/>
        <v>0</v>
      </c>
      <c r="X989" s="45">
        <f t="shared" si="227"/>
        <v>0</v>
      </c>
      <c r="Y989" s="45">
        <f t="shared" si="227"/>
        <v>0</v>
      </c>
      <c r="Z989" s="45">
        <f t="shared" si="227"/>
        <v>0</v>
      </c>
      <c r="AA989" s="45">
        <f t="shared" si="227"/>
        <v>0</v>
      </c>
      <c r="AB989" s="45">
        <f t="shared" si="227"/>
        <v>0</v>
      </c>
      <c r="AC989" s="45">
        <f t="shared" si="227"/>
        <v>0</v>
      </c>
      <c r="AD989" s="45">
        <f t="shared" si="227"/>
        <v>0</v>
      </c>
      <c r="AE989" s="45">
        <f t="shared" si="227"/>
        <v>0</v>
      </c>
      <c r="AF989" s="45">
        <f t="shared" si="227"/>
        <v>0</v>
      </c>
    </row>
    <row r="990" spans="1:32" x14ac:dyDescent="0.3">
      <c r="A990" s="38" t="s">
        <v>271</v>
      </c>
      <c r="B990" s="38" t="s">
        <v>174</v>
      </c>
      <c r="C990" s="38" t="s">
        <v>272</v>
      </c>
      <c r="D990" s="39" t="s">
        <v>183</v>
      </c>
      <c r="E990" s="39" t="s">
        <v>195</v>
      </c>
      <c r="F990" s="38" t="s">
        <v>129</v>
      </c>
      <c r="G990" s="38" t="s">
        <v>130</v>
      </c>
      <c r="H990" s="44">
        <v>4076</v>
      </c>
      <c r="I990" s="44">
        <v>4076</v>
      </c>
      <c r="J990" s="44"/>
      <c r="K990" s="44"/>
      <c r="L990" s="44"/>
      <c r="M990" s="44"/>
      <c r="N990" s="44"/>
      <c r="O990" s="44"/>
      <c r="P990" s="44"/>
      <c r="Q990" s="44"/>
      <c r="R990" s="44"/>
      <c r="S990" s="44"/>
      <c r="T990" s="44"/>
      <c r="U990" s="44"/>
      <c r="V990" s="44"/>
      <c r="W990" s="44"/>
      <c r="X990" s="44"/>
      <c r="Y990" s="44"/>
      <c r="Z990" s="44"/>
      <c r="AA990" s="44"/>
      <c r="AB990" s="44"/>
      <c r="AC990" s="44"/>
      <c r="AD990" s="44"/>
      <c r="AE990" s="44"/>
      <c r="AF990" s="44"/>
    </row>
    <row r="991" spans="1:32" x14ac:dyDescent="0.3">
      <c r="A991" s="38" t="s">
        <v>271</v>
      </c>
      <c r="B991" s="38" t="s">
        <v>174</v>
      </c>
      <c r="C991" s="38" t="s">
        <v>272</v>
      </c>
      <c r="D991" s="39" t="s">
        <v>183</v>
      </c>
      <c r="E991" s="39" t="s">
        <v>195</v>
      </c>
      <c r="F991" s="38" t="s">
        <v>131</v>
      </c>
      <c r="G991" s="38" t="s">
        <v>130</v>
      </c>
      <c r="H991" s="44">
        <v>17575</v>
      </c>
      <c r="I991" s="44">
        <v>1092</v>
      </c>
      <c r="J991" s="44">
        <v>874</v>
      </c>
      <c r="K991" s="44">
        <v>950</v>
      </c>
      <c r="L991" s="44">
        <v>833</v>
      </c>
      <c r="M991" s="44">
        <v>2751</v>
      </c>
      <c r="N991" s="44">
        <v>694</v>
      </c>
      <c r="O991" s="44">
        <v>694</v>
      </c>
      <c r="P991" s="44">
        <v>818</v>
      </c>
      <c r="Q991" s="44">
        <v>749</v>
      </c>
      <c r="R991" s="44">
        <v>662</v>
      </c>
      <c r="S991" s="44">
        <v>671</v>
      </c>
      <c r="T991" s="44">
        <v>617</v>
      </c>
      <c r="U991" s="44">
        <v>676</v>
      </c>
      <c r="V991" s="44">
        <v>744</v>
      </c>
      <c r="W991" s="44">
        <v>716</v>
      </c>
      <c r="X991" s="44">
        <v>716</v>
      </c>
      <c r="Y991" s="44">
        <v>721</v>
      </c>
      <c r="Z991" s="44">
        <v>489</v>
      </c>
      <c r="AA991" s="44">
        <v>445</v>
      </c>
      <c r="AB991" s="44">
        <v>394</v>
      </c>
      <c r="AC991" s="44">
        <v>356</v>
      </c>
      <c r="AD991" s="44">
        <v>282</v>
      </c>
      <c r="AE991" s="44">
        <v>322</v>
      </c>
      <c r="AF991" s="44">
        <v>309</v>
      </c>
    </row>
    <row r="992" spans="1:32" x14ac:dyDescent="0.3">
      <c r="A992" s="38" t="s">
        <v>271</v>
      </c>
      <c r="B992" s="38" t="s">
        <v>174</v>
      </c>
      <c r="C992" s="38" t="s">
        <v>272</v>
      </c>
      <c r="D992" s="39" t="s">
        <v>183</v>
      </c>
      <c r="E992" s="39" t="s">
        <v>195</v>
      </c>
      <c r="F992" s="38" t="s">
        <v>132</v>
      </c>
      <c r="G992" s="38" t="s">
        <v>130</v>
      </c>
      <c r="H992" s="44">
        <v>6504</v>
      </c>
      <c r="I992" s="44">
        <v>6504</v>
      </c>
      <c r="J992" s="44"/>
      <c r="K992" s="44"/>
      <c r="L992" s="44"/>
      <c r="M992" s="44"/>
      <c r="N992" s="44"/>
      <c r="O992" s="44"/>
      <c r="P992" s="44"/>
      <c r="Q992" s="44"/>
      <c r="R992" s="44"/>
      <c r="S992" s="44"/>
      <c r="T992" s="44"/>
      <c r="U992" s="44"/>
      <c r="V992" s="44"/>
      <c r="W992" s="44"/>
      <c r="X992" s="44"/>
      <c r="Y992" s="44"/>
      <c r="Z992" s="44"/>
      <c r="AA992" s="44"/>
      <c r="AB992" s="44"/>
      <c r="AC992" s="44"/>
      <c r="AD992" s="44"/>
      <c r="AE992" s="44"/>
      <c r="AF992" s="44"/>
    </row>
    <row r="993" spans="1:32" x14ac:dyDescent="0.3">
      <c r="A993" s="38" t="s">
        <v>271</v>
      </c>
      <c r="B993" s="38" t="s">
        <v>174</v>
      </c>
      <c r="C993" s="38" t="s">
        <v>272</v>
      </c>
      <c r="D993" s="39" t="s">
        <v>183</v>
      </c>
      <c r="E993" s="39" t="s">
        <v>195</v>
      </c>
      <c r="F993" s="38" t="s">
        <v>133</v>
      </c>
      <c r="G993" s="38" t="s">
        <v>130</v>
      </c>
      <c r="H993" s="44">
        <v>0</v>
      </c>
      <c r="I993" s="44">
        <v>0</v>
      </c>
      <c r="J993" s="44"/>
      <c r="K993" s="44"/>
      <c r="L993" s="44"/>
      <c r="M993" s="44"/>
      <c r="N993" s="44"/>
      <c r="O993" s="44"/>
      <c r="P993" s="44"/>
      <c r="Q993" s="44"/>
      <c r="R993" s="44"/>
      <c r="S993" s="44"/>
      <c r="T993" s="44"/>
      <c r="U993" s="44"/>
      <c r="V993" s="44"/>
      <c r="W993" s="44"/>
      <c r="X993" s="44"/>
      <c r="Y993" s="44"/>
      <c r="Z993" s="44"/>
      <c r="AA993" s="44"/>
      <c r="AB993" s="44"/>
      <c r="AC993" s="44"/>
      <c r="AD993" s="44"/>
      <c r="AE993" s="44"/>
      <c r="AF993" s="44"/>
    </row>
    <row r="994" spans="1:32" x14ac:dyDescent="0.3">
      <c r="A994" s="38" t="s">
        <v>271</v>
      </c>
      <c r="B994" s="38" t="s">
        <v>174</v>
      </c>
      <c r="C994" s="38" t="s">
        <v>272</v>
      </c>
      <c r="D994" s="39" t="s">
        <v>183</v>
      </c>
      <c r="E994" s="39" t="s">
        <v>195</v>
      </c>
      <c r="F994" s="38" t="s">
        <v>134</v>
      </c>
      <c r="G994" s="38" t="s">
        <v>130</v>
      </c>
      <c r="H994" s="44">
        <v>1981</v>
      </c>
      <c r="I994" s="44">
        <v>1981</v>
      </c>
      <c r="J994" s="44"/>
      <c r="K994" s="44"/>
      <c r="L994" s="44"/>
      <c r="M994" s="44"/>
      <c r="N994" s="44"/>
      <c r="O994" s="44"/>
      <c r="P994" s="44"/>
      <c r="Q994" s="44"/>
      <c r="R994" s="44"/>
      <c r="S994" s="44"/>
      <c r="T994" s="44"/>
      <c r="U994" s="44"/>
      <c r="V994" s="44"/>
      <c r="W994" s="44"/>
      <c r="X994" s="44"/>
      <c r="Y994" s="44"/>
      <c r="Z994" s="44"/>
      <c r="AA994" s="44"/>
      <c r="AB994" s="44"/>
      <c r="AC994" s="44"/>
      <c r="AD994" s="44"/>
      <c r="AE994" s="44"/>
      <c r="AF994" s="44"/>
    </row>
    <row r="995" spans="1:32" x14ac:dyDescent="0.3">
      <c r="A995" s="38" t="s">
        <v>271</v>
      </c>
      <c r="B995" s="38" t="s">
        <v>174</v>
      </c>
      <c r="C995" s="38" t="s">
        <v>272</v>
      </c>
      <c r="D995" s="39" t="s">
        <v>183</v>
      </c>
      <c r="E995" s="39" t="s">
        <v>195</v>
      </c>
      <c r="F995" s="38" t="s">
        <v>135</v>
      </c>
      <c r="G995" s="38" t="s">
        <v>130</v>
      </c>
      <c r="H995" s="44"/>
      <c r="I995" s="44"/>
      <c r="J995" s="44"/>
      <c r="K995" s="44"/>
      <c r="L995" s="44"/>
      <c r="M995" s="44"/>
      <c r="N995" s="44"/>
      <c r="O995" s="44"/>
      <c r="P995" s="44"/>
      <c r="Q995" s="44"/>
      <c r="R995" s="44"/>
      <c r="S995" s="44"/>
      <c r="T995" s="44"/>
      <c r="U995" s="44"/>
      <c r="V995" s="44"/>
      <c r="W995" s="44"/>
      <c r="X995" s="44"/>
      <c r="Y995" s="44"/>
      <c r="Z995" s="44"/>
      <c r="AA995" s="44"/>
      <c r="AB995" s="44"/>
      <c r="AC995" s="44"/>
      <c r="AD995" s="44"/>
      <c r="AE995" s="44"/>
      <c r="AF995" s="44"/>
    </row>
    <row r="996" spans="1:32" x14ac:dyDescent="0.3">
      <c r="A996" s="38" t="s">
        <v>271</v>
      </c>
      <c r="B996" s="38" t="s">
        <v>174</v>
      </c>
      <c r="C996" s="38" t="s">
        <v>272</v>
      </c>
      <c r="D996" s="39" t="s">
        <v>183</v>
      </c>
      <c r="E996" s="39" t="s">
        <v>195</v>
      </c>
      <c r="F996" s="38" t="s">
        <v>136</v>
      </c>
      <c r="G996" s="38" t="s">
        <v>130</v>
      </c>
      <c r="H996" s="44">
        <f>SUM(I996:AF996)</f>
        <v>0</v>
      </c>
      <c r="I996" s="44">
        <f t="shared" ref="I996:AF996" si="228">IF(AND(ISBLANK(I999) = TRUE,ISBLANK(I998) = TRUE),I997,I998+I999)</f>
        <v>0</v>
      </c>
      <c r="J996" s="44">
        <f t="shared" si="228"/>
        <v>0</v>
      </c>
      <c r="K996" s="44">
        <f t="shared" si="228"/>
        <v>0</v>
      </c>
      <c r="L996" s="44">
        <f t="shared" si="228"/>
        <v>0</v>
      </c>
      <c r="M996" s="44">
        <f t="shared" si="228"/>
        <v>0</v>
      </c>
      <c r="N996" s="44">
        <f t="shared" si="228"/>
        <v>0</v>
      </c>
      <c r="O996" s="44">
        <f t="shared" si="228"/>
        <v>0</v>
      </c>
      <c r="P996" s="44">
        <f t="shared" si="228"/>
        <v>0</v>
      </c>
      <c r="Q996" s="44">
        <f t="shared" si="228"/>
        <v>0</v>
      </c>
      <c r="R996" s="44">
        <f t="shared" si="228"/>
        <v>0</v>
      </c>
      <c r="S996" s="44">
        <f t="shared" si="228"/>
        <v>0</v>
      </c>
      <c r="T996" s="44">
        <f t="shared" si="228"/>
        <v>0</v>
      </c>
      <c r="U996" s="44">
        <f t="shared" si="228"/>
        <v>0</v>
      </c>
      <c r="V996" s="44">
        <f t="shared" si="228"/>
        <v>0</v>
      </c>
      <c r="W996" s="44">
        <f t="shared" si="228"/>
        <v>0</v>
      </c>
      <c r="X996" s="44">
        <f t="shared" si="228"/>
        <v>0</v>
      </c>
      <c r="Y996" s="44">
        <f t="shared" si="228"/>
        <v>0</v>
      </c>
      <c r="Z996" s="44">
        <f t="shared" si="228"/>
        <v>0</v>
      </c>
      <c r="AA996" s="44">
        <f t="shared" si="228"/>
        <v>0</v>
      </c>
      <c r="AB996" s="44">
        <f t="shared" si="228"/>
        <v>0</v>
      </c>
      <c r="AC996" s="44">
        <f t="shared" si="228"/>
        <v>0</v>
      </c>
      <c r="AD996" s="44">
        <f t="shared" si="228"/>
        <v>0</v>
      </c>
      <c r="AE996" s="44">
        <f t="shared" si="228"/>
        <v>0</v>
      </c>
      <c r="AF996" s="44">
        <f t="shared" si="228"/>
        <v>0</v>
      </c>
    </row>
    <row r="997" spans="1:32" x14ac:dyDescent="0.3">
      <c r="A997" s="38" t="s">
        <v>271</v>
      </c>
      <c r="B997" s="38" t="s">
        <v>174</v>
      </c>
      <c r="C997" s="38" t="s">
        <v>272</v>
      </c>
      <c r="D997" s="39" t="s">
        <v>183</v>
      </c>
      <c r="E997" s="39" t="s">
        <v>195</v>
      </c>
      <c r="F997" s="38" t="s">
        <v>124</v>
      </c>
      <c r="G997" s="38" t="s">
        <v>130</v>
      </c>
      <c r="H997" s="44"/>
      <c r="I997" s="44"/>
      <c r="J997" s="44"/>
      <c r="K997" s="44"/>
      <c r="L997" s="44"/>
      <c r="M997" s="44"/>
      <c r="N997" s="44"/>
      <c r="O997" s="44"/>
      <c r="P997" s="44"/>
      <c r="Q997" s="44"/>
      <c r="R997" s="44"/>
      <c r="S997" s="44"/>
      <c r="T997" s="44"/>
      <c r="U997" s="44"/>
      <c r="V997" s="44"/>
      <c r="W997" s="44"/>
      <c r="X997" s="44"/>
      <c r="Y997" s="44"/>
      <c r="Z997" s="44"/>
      <c r="AA997" s="44"/>
      <c r="AB997" s="44"/>
      <c r="AC997" s="44"/>
      <c r="AD997" s="44"/>
      <c r="AE997" s="44"/>
      <c r="AF997" s="44"/>
    </row>
    <row r="998" spans="1:32" x14ac:dyDescent="0.3">
      <c r="A998" s="38" t="s">
        <v>271</v>
      </c>
      <c r="B998" s="38" t="s">
        <v>174</v>
      </c>
      <c r="C998" s="38" t="s">
        <v>272</v>
      </c>
      <c r="D998" s="39" t="s">
        <v>183</v>
      </c>
      <c r="E998" s="39" t="s">
        <v>195</v>
      </c>
      <c r="F998" s="38" t="s">
        <v>137</v>
      </c>
      <c r="G998" s="38" t="s">
        <v>130</v>
      </c>
      <c r="H998" s="44">
        <f>SUM(I998:AF998)</f>
        <v>0</v>
      </c>
      <c r="I998" s="44"/>
      <c r="J998" s="44"/>
      <c r="K998" s="44"/>
      <c r="L998" s="44"/>
      <c r="M998" s="44"/>
      <c r="N998" s="44"/>
      <c r="O998" s="44"/>
      <c r="P998" s="44"/>
      <c r="Q998" s="44"/>
      <c r="R998" s="44"/>
      <c r="S998" s="44"/>
      <c r="T998" s="44"/>
      <c r="U998" s="44"/>
      <c r="V998" s="44"/>
      <c r="W998" s="44"/>
      <c r="X998" s="44"/>
      <c r="Y998" s="44"/>
      <c r="Z998" s="44"/>
      <c r="AA998" s="44"/>
      <c r="AB998" s="44"/>
      <c r="AC998" s="44"/>
      <c r="AD998" s="44"/>
      <c r="AE998" s="44"/>
      <c r="AF998" s="44"/>
    </row>
    <row r="999" spans="1:32" x14ac:dyDescent="0.3">
      <c r="A999" s="38" t="s">
        <v>271</v>
      </c>
      <c r="B999" s="38" t="s">
        <v>174</v>
      </c>
      <c r="C999" s="38" t="s">
        <v>272</v>
      </c>
      <c r="D999" s="39" t="s">
        <v>183</v>
      </c>
      <c r="E999" s="39" t="s">
        <v>195</v>
      </c>
      <c r="F999" s="38" t="s">
        <v>138</v>
      </c>
      <c r="G999" s="38" t="s">
        <v>130</v>
      </c>
      <c r="H999" s="44">
        <f>SUM(I999:AF999)</f>
        <v>0</v>
      </c>
      <c r="I999" s="44"/>
      <c r="J999" s="44"/>
      <c r="K999" s="44"/>
      <c r="L999" s="44"/>
      <c r="M999" s="44"/>
      <c r="N999" s="44"/>
      <c r="O999" s="44"/>
      <c r="P999" s="44"/>
      <c r="Q999" s="44"/>
      <c r="R999" s="44"/>
      <c r="S999" s="44"/>
      <c r="T999" s="44"/>
      <c r="U999" s="44"/>
      <c r="V999" s="44"/>
      <c r="W999" s="44"/>
      <c r="X999" s="44"/>
      <c r="Y999" s="44"/>
      <c r="Z999" s="44"/>
      <c r="AA999" s="44"/>
      <c r="AB999" s="44"/>
      <c r="AC999" s="44"/>
      <c r="AD999" s="44"/>
      <c r="AE999" s="44"/>
      <c r="AF999" s="44"/>
    </row>
    <row r="1000" spans="1:32" x14ac:dyDescent="0.3">
      <c r="A1000" s="38" t="s">
        <v>271</v>
      </c>
      <c r="B1000" s="38" t="s">
        <v>174</v>
      </c>
      <c r="C1000" s="38" t="s">
        <v>272</v>
      </c>
      <c r="D1000" s="39" t="s">
        <v>183</v>
      </c>
      <c r="E1000" s="39" t="s">
        <v>195</v>
      </c>
      <c r="F1000" s="38" t="s">
        <v>139</v>
      </c>
      <c r="G1000" s="38" t="s">
        <v>130</v>
      </c>
      <c r="H1000" s="44"/>
      <c r="I1000" s="44"/>
      <c r="J1000" s="44"/>
      <c r="K1000" s="44"/>
      <c r="L1000" s="44"/>
      <c r="M1000" s="44"/>
      <c r="N1000" s="44"/>
      <c r="O1000" s="44"/>
      <c r="P1000" s="44"/>
      <c r="Q1000" s="44"/>
      <c r="R1000" s="44"/>
      <c r="S1000" s="44"/>
      <c r="T1000" s="44"/>
      <c r="U1000" s="44"/>
      <c r="V1000" s="44"/>
      <c r="W1000" s="44"/>
      <c r="X1000" s="44"/>
      <c r="Y1000" s="44"/>
      <c r="Z1000" s="44"/>
      <c r="AA1000" s="44"/>
      <c r="AB1000" s="44"/>
      <c r="AC1000" s="44"/>
      <c r="AD1000" s="44"/>
      <c r="AE1000" s="44"/>
      <c r="AF1000" s="44"/>
    </row>
    <row r="1001" spans="1:32" x14ac:dyDescent="0.3">
      <c r="A1001" s="38" t="s">
        <v>271</v>
      </c>
      <c r="B1001" s="38" t="s">
        <v>174</v>
      </c>
      <c r="C1001" s="38" t="s">
        <v>272</v>
      </c>
      <c r="D1001" s="39" t="s">
        <v>183</v>
      </c>
      <c r="E1001" s="39" t="s">
        <v>195</v>
      </c>
      <c r="F1001" s="38" t="s">
        <v>140</v>
      </c>
      <c r="G1001" s="38" t="s">
        <v>130</v>
      </c>
      <c r="H1001" s="44"/>
      <c r="I1001" s="44">
        <f>I996-(I991+I990)+(I995+I994+I993+I992)</f>
        <v>3317</v>
      </c>
      <c r="J1001" s="44">
        <f t="shared" ref="J1001:AF1001" si="229">I1001+J996-J991</f>
        <v>2443</v>
      </c>
      <c r="K1001" s="44">
        <f t="shared" si="229"/>
        <v>1493</v>
      </c>
      <c r="L1001" s="44">
        <f t="shared" si="229"/>
        <v>660</v>
      </c>
      <c r="M1001" s="44">
        <f t="shared" si="229"/>
        <v>-2091</v>
      </c>
      <c r="N1001" s="44">
        <f t="shared" si="229"/>
        <v>-2785</v>
      </c>
      <c r="O1001" s="44">
        <f t="shared" si="229"/>
        <v>-3479</v>
      </c>
      <c r="P1001" s="44">
        <f t="shared" si="229"/>
        <v>-4297</v>
      </c>
      <c r="Q1001" s="44">
        <f t="shared" si="229"/>
        <v>-5046</v>
      </c>
      <c r="R1001" s="44">
        <f t="shared" si="229"/>
        <v>-5708</v>
      </c>
      <c r="S1001" s="44">
        <f t="shared" si="229"/>
        <v>-6379</v>
      </c>
      <c r="T1001" s="44">
        <f t="shared" si="229"/>
        <v>-6996</v>
      </c>
      <c r="U1001" s="44">
        <f t="shared" si="229"/>
        <v>-7672</v>
      </c>
      <c r="V1001" s="44">
        <f t="shared" si="229"/>
        <v>-8416</v>
      </c>
      <c r="W1001" s="44">
        <f t="shared" si="229"/>
        <v>-9132</v>
      </c>
      <c r="X1001" s="44">
        <f t="shared" si="229"/>
        <v>-9848</v>
      </c>
      <c r="Y1001" s="44">
        <f t="shared" si="229"/>
        <v>-10569</v>
      </c>
      <c r="Z1001" s="44">
        <f t="shared" si="229"/>
        <v>-11058</v>
      </c>
      <c r="AA1001" s="44">
        <f t="shared" si="229"/>
        <v>-11503</v>
      </c>
      <c r="AB1001" s="44">
        <f t="shared" si="229"/>
        <v>-11897</v>
      </c>
      <c r="AC1001" s="44">
        <f t="shared" si="229"/>
        <v>-12253</v>
      </c>
      <c r="AD1001" s="44">
        <f t="shared" si="229"/>
        <v>-12535</v>
      </c>
      <c r="AE1001" s="44">
        <f t="shared" si="229"/>
        <v>-12857</v>
      </c>
      <c r="AF1001" s="44">
        <f t="shared" si="229"/>
        <v>-13166</v>
      </c>
    </row>
    <row r="1002" spans="1:32" ht="15" thickBot="1" x14ac:dyDescent="0.35">
      <c r="A1002" s="40" t="s">
        <v>271</v>
      </c>
      <c r="B1002" s="40" t="s">
        <v>174</v>
      </c>
      <c r="C1002" s="40" t="s">
        <v>272</v>
      </c>
      <c r="D1002" s="41" t="s">
        <v>183</v>
      </c>
      <c r="E1002" s="41" t="s">
        <v>195</v>
      </c>
      <c r="F1002" s="40" t="s">
        <v>141</v>
      </c>
      <c r="G1002" s="40" t="s">
        <v>130</v>
      </c>
      <c r="H1002" s="45"/>
      <c r="I1002" s="45">
        <f>I996-I1000</f>
        <v>0</v>
      </c>
      <c r="J1002" s="45">
        <f t="shared" ref="J1002:AF1002" si="230">I1002+J996-J1000</f>
        <v>0</v>
      </c>
      <c r="K1002" s="45">
        <f t="shared" si="230"/>
        <v>0</v>
      </c>
      <c r="L1002" s="45">
        <f t="shared" si="230"/>
        <v>0</v>
      </c>
      <c r="M1002" s="45">
        <f t="shared" si="230"/>
        <v>0</v>
      </c>
      <c r="N1002" s="45">
        <f t="shared" si="230"/>
        <v>0</v>
      </c>
      <c r="O1002" s="45">
        <f t="shared" si="230"/>
        <v>0</v>
      </c>
      <c r="P1002" s="45">
        <f t="shared" si="230"/>
        <v>0</v>
      </c>
      <c r="Q1002" s="45">
        <f t="shared" si="230"/>
        <v>0</v>
      </c>
      <c r="R1002" s="45">
        <f t="shared" si="230"/>
        <v>0</v>
      </c>
      <c r="S1002" s="45">
        <f t="shared" si="230"/>
        <v>0</v>
      </c>
      <c r="T1002" s="45">
        <f t="shared" si="230"/>
        <v>0</v>
      </c>
      <c r="U1002" s="45">
        <f t="shared" si="230"/>
        <v>0</v>
      </c>
      <c r="V1002" s="45">
        <f t="shared" si="230"/>
        <v>0</v>
      </c>
      <c r="W1002" s="45">
        <f t="shared" si="230"/>
        <v>0</v>
      </c>
      <c r="X1002" s="45">
        <f t="shared" si="230"/>
        <v>0</v>
      </c>
      <c r="Y1002" s="45">
        <f t="shared" si="230"/>
        <v>0</v>
      </c>
      <c r="Z1002" s="45">
        <f t="shared" si="230"/>
        <v>0</v>
      </c>
      <c r="AA1002" s="45">
        <f t="shared" si="230"/>
        <v>0</v>
      </c>
      <c r="AB1002" s="45">
        <f t="shared" si="230"/>
        <v>0</v>
      </c>
      <c r="AC1002" s="45">
        <f t="shared" si="230"/>
        <v>0</v>
      </c>
      <c r="AD1002" s="45">
        <f t="shared" si="230"/>
        <v>0</v>
      </c>
      <c r="AE1002" s="45">
        <f t="shared" si="230"/>
        <v>0</v>
      </c>
      <c r="AF1002" s="45">
        <f t="shared" si="230"/>
        <v>0</v>
      </c>
    </row>
    <row r="1003" spans="1:32" x14ac:dyDescent="0.3">
      <c r="A1003" s="38" t="s">
        <v>271</v>
      </c>
      <c r="B1003" s="38" t="s">
        <v>174</v>
      </c>
      <c r="C1003" s="38" t="s">
        <v>272</v>
      </c>
      <c r="D1003" s="39" t="s">
        <v>183</v>
      </c>
      <c r="E1003" s="39" t="s">
        <v>177</v>
      </c>
      <c r="F1003" s="38" t="s">
        <v>129</v>
      </c>
      <c r="G1003" s="38" t="s">
        <v>130</v>
      </c>
      <c r="H1003" s="44">
        <v>39491</v>
      </c>
      <c r="I1003" s="44">
        <v>39491</v>
      </c>
      <c r="J1003" s="44"/>
      <c r="K1003" s="44"/>
      <c r="L1003" s="44"/>
      <c r="M1003" s="44"/>
      <c r="N1003" s="44"/>
      <c r="O1003" s="44"/>
      <c r="P1003" s="44"/>
      <c r="Q1003" s="44"/>
      <c r="R1003" s="44"/>
      <c r="S1003" s="44"/>
      <c r="T1003" s="44"/>
      <c r="U1003" s="44"/>
      <c r="V1003" s="44"/>
      <c r="W1003" s="44"/>
      <c r="X1003" s="44"/>
      <c r="Y1003" s="44"/>
      <c r="Z1003" s="44"/>
      <c r="AA1003" s="44"/>
      <c r="AB1003" s="44"/>
      <c r="AC1003" s="44"/>
      <c r="AD1003" s="44"/>
      <c r="AE1003" s="44"/>
      <c r="AF1003" s="44"/>
    </row>
    <row r="1004" spans="1:32" x14ac:dyDescent="0.3">
      <c r="A1004" s="38" t="s">
        <v>271</v>
      </c>
      <c r="B1004" s="38" t="s">
        <v>174</v>
      </c>
      <c r="C1004" s="38" t="s">
        <v>272</v>
      </c>
      <c r="D1004" s="39" t="s">
        <v>183</v>
      </c>
      <c r="E1004" s="39" t="s">
        <v>177</v>
      </c>
      <c r="F1004" s="38" t="s">
        <v>131</v>
      </c>
      <c r="G1004" s="38" t="s">
        <v>130</v>
      </c>
      <c r="H1004" s="44">
        <v>346912</v>
      </c>
      <c r="I1004" s="44">
        <v>59367</v>
      </c>
      <c r="J1004" s="44">
        <v>16590</v>
      </c>
      <c r="K1004" s="44">
        <v>16256</v>
      </c>
      <c r="L1004" s="44">
        <v>20905</v>
      </c>
      <c r="M1004" s="44">
        <v>15522</v>
      </c>
      <c r="N1004" s="44">
        <v>54066</v>
      </c>
      <c r="O1004" s="44">
        <v>14514</v>
      </c>
      <c r="P1004" s="44">
        <v>11974</v>
      </c>
      <c r="Q1004" s="44">
        <v>14967</v>
      </c>
      <c r="R1004" s="44">
        <v>17503</v>
      </c>
      <c r="S1004" s="44">
        <v>16689</v>
      </c>
      <c r="T1004" s="44">
        <v>16627</v>
      </c>
      <c r="U1004" s="44">
        <v>16236</v>
      </c>
      <c r="V1004" s="44">
        <v>11253</v>
      </c>
      <c r="W1004" s="44">
        <v>10985</v>
      </c>
      <c r="X1004" s="44">
        <v>11320</v>
      </c>
      <c r="Y1004" s="44">
        <v>11005</v>
      </c>
      <c r="Z1004" s="44">
        <v>4212</v>
      </c>
      <c r="AA1004" s="44">
        <v>1442</v>
      </c>
      <c r="AB1004" s="44">
        <v>1412</v>
      </c>
      <c r="AC1004" s="44">
        <v>1333</v>
      </c>
      <c r="AD1004" s="44">
        <v>992</v>
      </c>
      <c r="AE1004" s="44">
        <v>886</v>
      </c>
      <c r="AF1004" s="44">
        <v>856</v>
      </c>
    </row>
    <row r="1005" spans="1:32" x14ac:dyDescent="0.3">
      <c r="A1005" s="38" t="s">
        <v>271</v>
      </c>
      <c r="B1005" s="38" t="s">
        <v>174</v>
      </c>
      <c r="C1005" s="38" t="s">
        <v>272</v>
      </c>
      <c r="D1005" s="39" t="s">
        <v>183</v>
      </c>
      <c r="E1005" s="39" t="s">
        <v>177</v>
      </c>
      <c r="F1005" s="38" t="s">
        <v>132</v>
      </c>
      <c r="G1005" s="38" t="s">
        <v>130</v>
      </c>
      <c r="H1005" s="44">
        <v>23712</v>
      </c>
      <c r="I1005" s="44">
        <v>23712</v>
      </c>
      <c r="J1005" s="44"/>
      <c r="K1005" s="44"/>
      <c r="L1005" s="44"/>
      <c r="M1005" s="44"/>
      <c r="N1005" s="44"/>
      <c r="O1005" s="44"/>
      <c r="P1005" s="44"/>
      <c r="Q1005" s="44"/>
      <c r="R1005" s="44"/>
      <c r="S1005" s="44"/>
      <c r="T1005" s="44"/>
      <c r="U1005" s="44"/>
      <c r="V1005" s="44"/>
      <c r="W1005" s="44"/>
      <c r="X1005" s="44"/>
      <c r="Y1005" s="44"/>
      <c r="Z1005" s="44"/>
      <c r="AA1005" s="44"/>
      <c r="AB1005" s="44"/>
      <c r="AC1005" s="44"/>
      <c r="AD1005" s="44"/>
      <c r="AE1005" s="44"/>
      <c r="AF1005" s="44"/>
    </row>
    <row r="1006" spans="1:32" x14ac:dyDescent="0.3">
      <c r="A1006" s="38" t="s">
        <v>271</v>
      </c>
      <c r="B1006" s="38" t="s">
        <v>174</v>
      </c>
      <c r="C1006" s="38" t="s">
        <v>272</v>
      </c>
      <c r="D1006" s="39" t="s">
        <v>183</v>
      </c>
      <c r="E1006" s="39" t="s">
        <v>177</v>
      </c>
      <c r="F1006" s="38" t="s">
        <v>133</v>
      </c>
      <c r="G1006" s="38" t="s">
        <v>130</v>
      </c>
      <c r="H1006" s="44">
        <v>0</v>
      </c>
      <c r="I1006" s="44">
        <v>0</v>
      </c>
      <c r="J1006" s="44"/>
      <c r="K1006" s="44"/>
      <c r="L1006" s="44"/>
      <c r="M1006" s="44"/>
      <c r="N1006" s="44"/>
      <c r="O1006" s="44"/>
      <c r="P1006" s="44"/>
      <c r="Q1006" s="44"/>
      <c r="R1006" s="44"/>
      <c r="S1006" s="44"/>
      <c r="T1006" s="44"/>
      <c r="U1006" s="44"/>
      <c r="V1006" s="44"/>
      <c r="W1006" s="44"/>
      <c r="X1006" s="44"/>
      <c r="Y1006" s="44"/>
      <c r="Z1006" s="44"/>
      <c r="AA1006" s="44"/>
      <c r="AB1006" s="44"/>
      <c r="AC1006" s="44"/>
      <c r="AD1006" s="44"/>
      <c r="AE1006" s="44"/>
      <c r="AF1006" s="44"/>
    </row>
    <row r="1007" spans="1:32" x14ac:dyDescent="0.3">
      <c r="A1007" s="38" t="s">
        <v>271</v>
      </c>
      <c r="B1007" s="38" t="s">
        <v>174</v>
      </c>
      <c r="C1007" s="38" t="s">
        <v>272</v>
      </c>
      <c r="D1007" s="39" t="s">
        <v>183</v>
      </c>
      <c r="E1007" s="39" t="s">
        <v>177</v>
      </c>
      <c r="F1007" s="38" t="s">
        <v>134</v>
      </c>
      <c r="G1007" s="38" t="s">
        <v>130</v>
      </c>
      <c r="H1007" s="44">
        <v>2139</v>
      </c>
      <c r="I1007" s="44">
        <v>2139</v>
      </c>
      <c r="J1007" s="44"/>
      <c r="K1007" s="44"/>
      <c r="L1007" s="44"/>
      <c r="M1007" s="44"/>
      <c r="N1007" s="44"/>
      <c r="O1007" s="44"/>
      <c r="P1007" s="44"/>
      <c r="Q1007" s="44"/>
      <c r="R1007" s="44"/>
      <c r="S1007" s="44"/>
      <c r="T1007" s="44"/>
      <c r="U1007" s="44"/>
      <c r="V1007" s="44"/>
      <c r="W1007" s="44"/>
      <c r="X1007" s="44"/>
      <c r="Y1007" s="44"/>
      <c r="Z1007" s="44"/>
      <c r="AA1007" s="44"/>
      <c r="AB1007" s="44"/>
      <c r="AC1007" s="44"/>
      <c r="AD1007" s="44"/>
      <c r="AE1007" s="44"/>
      <c r="AF1007" s="44"/>
    </row>
    <row r="1008" spans="1:32" x14ac:dyDescent="0.3">
      <c r="A1008" s="38" t="s">
        <v>271</v>
      </c>
      <c r="B1008" s="38" t="s">
        <v>174</v>
      </c>
      <c r="C1008" s="38" t="s">
        <v>272</v>
      </c>
      <c r="D1008" s="39" t="s">
        <v>183</v>
      </c>
      <c r="E1008" s="39" t="s">
        <v>177</v>
      </c>
      <c r="F1008" s="38" t="s">
        <v>135</v>
      </c>
      <c r="G1008" s="38" t="s">
        <v>130</v>
      </c>
      <c r="H1008" s="44"/>
      <c r="I1008" s="44"/>
      <c r="J1008" s="44"/>
      <c r="K1008" s="44"/>
      <c r="L1008" s="44"/>
      <c r="M1008" s="44"/>
      <c r="N1008" s="44"/>
      <c r="O1008" s="44"/>
      <c r="P1008" s="44"/>
      <c r="Q1008" s="44"/>
      <c r="R1008" s="44"/>
      <c r="S1008" s="44"/>
      <c r="T1008" s="44"/>
      <c r="U1008" s="44"/>
      <c r="V1008" s="44"/>
      <c r="W1008" s="44"/>
      <c r="X1008" s="44"/>
      <c r="Y1008" s="44"/>
      <c r="Z1008" s="44"/>
      <c r="AA1008" s="44"/>
      <c r="AB1008" s="44"/>
      <c r="AC1008" s="44"/>
      <c r="AD1008" s="44"/>
      <c r="AE1008" s="44"/>
      <c r="AF1008" s="44"/>
    </row>
    <row r="1009" spans="1:32" x14ac:dyDescent="0.3">
      <c r="A1009" s="38" t="s">
        <v>271</v>
      </c>
      <c r="B1009" s="38" t="s">
        <v>174</v>
      </c>
      <c r="C1009" s="38" t="s">
        <v>272</v>
      </c>
      <c r="D1009" s="39" t="s">
        <v>183</v>
      </c>
      <c r="E1009" s="39" t="s">
        <v>177</v>
      </c>
      <c r="F1009" s="38" t="s">
        <v>136</v>
      </c>
      <c r="G1009" s="38" t="s">
        <v>130</v>
      </c>
      <c r="H1009" s="44">
        <f>SUM(I1009:AF1009)</f>
        <v>221760</v>
      </c>
      <c r="I1009" s="44">
        <f t="shared" ref="I1009:AF1009" si="231">IF(AND(ISBLANK(I1012) = TRUE,ISBLANK(I1011) = TRUE),I1010,I1011+I1012)</f>
        <v>20160</v>
      </c>
      <c r="J1009" s="44">
        <f t="shared" si="231"/>
        <v>0</v>
      </c>
      <c r="K1009" s="44">
        <f t="shared" si="231"/>
        <v>20160</v>
      </c>
      <c r="L1009" s="44">
        <f t="shared" si="231"/>
        <v>20160</v>
      </c>
      <c r="M1009" s="44">
        <f t="shared" si="231"/>
        <v>20160</v>
      </c>
      <c r="N1009" s="44">
        <f t="shared" si="231"/>
        <v>0</v>
      </c>
      <c r="O1009" s="44">
        <f t="shared" si="231"/>
        <v>20160</v>
      </c>
      <c r="P1009" s="44">
        <f t="shared" si="231"/>
        <v>20160</v>
      </c>
      <c r="Q1009" s="44">
        <f t="shared" si="231"/>
        <v>20160</v>
      </c>
      <c r="R1009" s="44">
        <f t="shared" si="231"/>
        <v>0</v>
      </c>
      <c r="S1009" s="44">
        <f t="shared" si="231"/>
        <v>20160</v>
      </c>
      <c r="T1009" s="44">
        <f t="shared" si="231"/>
        <v>20160</v>
      </c>
      <c r="U1009" s="44">
        <f t="shared" si="231"/>
        <v>20160</v>
      </c>
      <c r="V1009" s="44">
        <f t="shared" si="231"/>
        <v>20160</v>
      </c>
      <c r="W1009" s="44">
        <f t="shared" si="231"/>
        <v>0</v>
      </c>
      <c r="X1009" s="44">
        <f t="shared" si="231"/>
        <v>0</v>
      </c>
      <c r="Y1009" s="44">
        <f t="shared" si="231"/>
        <v>0</v>
      </c>
      <c r="Z1009" s="44">
        <f t="shared" si="231"/>
        <v>0</v>
      </c>
      <c r="AA1009" s="44">
        <f t="shared" si="231"/>
        <v>0</v>
      </c>
      <c r="AB1009" s="44">
        <f t="shared" si="231"/>
        <v>0</v>
      </c>
      <c r="AC1009" s="44">
        <f t="shared" si="231"/>
        <v>0</v>
      </c>
      <c r="AD1009" s="44">
        <f t="shared" si="231"/>
        <v>0</v>
      </c>
      <c r="AE1009" s="44">
        <f t="shared" si="231"/>
        <v>0</v>
      </c>
      <c r="AF1009" s="44">
        <f t="shared" si="231"/>
        <v>0</v>
      </c>
    </row>
    <row r="1010" spans="1:32" x14ac:dyDescent="0.3">
      <c r="A1010" s="38" t="s">
        <v>271</v>
      </c>
      <c r="B1010" s="38" t="s">
        <v>174</v>
      </c>
      <c r="C1010" s="38" t="s">
        <v>272</v>
      </c>
      <c r="D1010" s="39" t="s">
        <v>183</v>
      </c>
      <c r="E1010" s="39" t="s">
        <v>177</v>
      </c>
      <c r="F1010" s="38" t="s">
        <v>124</v>
      </c>
      <c r="G1010" s="38" t="s">
        <v>130</v>
      </c>
      <c r="H1010" s="44">
        <v>221760</v>
      </c>
      <c r="I1010" s="44">
        <v>20160</v>
      </c>
      <c r="J1010" s="44"/>
      <c r="K1010" s="44">
        <v>20160</v>
      </c>
      <c r="L1010" s="44">
        <v>20160</v>
      </c>
      <c r="M1010" s="44">
        <v>20160</v>
      </c>
      <c r="N1010" s="44"/>
      <c r="O1010" s="44">
        <v>20160</v>
      </c>
      <c r="P1010" s="44">
        <v>20160</v>
      </c>
      <c r="Q1010" s="44">
        <v>20160</v>
      </c>
      <c r="R1010" s="44"/>
      <c r="S1010" s="44">
        <v>20160</v>
      </c>
      <c r="T1010" s="44">
        <v>20160</v>
      </c>
      <c r="U1010" s="44">
        <v>20160</v>
      </c>
      <c r="V1010" s="44">
        <v>20160</v>
      </c>
      <c r="W1010" s="44"/>
      <c r="X1010" s="44"/>
      <c r="Y1010" s="44"/>
      <c r="Z1010" s="44"/>
      <c r="AA1010" s="44"/>
      <c r="AB1010" s="44"/>
      <c r="AC1010" s="44"/>
      <c r="AD1010" s="44"/>
      <c r="AE1010" s="44"/>
      <c r="AF1010" s="44"/>
    </row>
    <row r="1011" spans="1:32" x14ac:dyDescent="0.3">
      <c r="A1011" s="38" t="s">
        <v>271</v>
      </c>
      <c r="B1011" s="38" t="s">
        <v>174</v>
      </c>
      <c r="C1011" s="38" t="s">
        <v>272</v>
      </c>
      <c r="D1011" s="39" t="s">
        <v>183</v>
      </c>
      <c r="E1011" s="39" t="s">
        <v>177</v>
      </c>
      <c r="F1011" s="38" t="s">
        <v>137</v>
      </c>
      <c r="G1011" s="38" t="s">
        <v>130</v>
      </c>
      <c r="H1011" s="44">
        <f>SUM(I1011:AF1011)</f>
        <v>0</v>
      </c>
      <c r="I1011" s="44"/>
      <c r="J1011" s="44"/>
      <c r="K1011" s="44"/>
      <c r="L1011" s="44"/>
      <c r="M1011" s="44"/>
      <c r="N1011" s="44"/>
      <c r="O1011" s="44"/>
      <c r="P1011" s="44"/>
      <c r="Q1011" s="44"/>
      <c r="R1011" s="44"/>
      <c r="S1011" s="44"/>
      <c r="T1011" s="44"/>
      <c r="U1011" s="44"/>
      <c r="V1011" s="44"/>
      <c r="W1011" s="44"/>
      <c r="X1011" s="44"/>
      <c r="Y1011" s="44"/>
      <c r="Z1011" s="44"/>
      <c r="AA1011" s="44"/>
      <c r="AB1011" s="44"/>
      <c r="AC1011" s="44"/>
      <c r="AD1011" s="44"/>
      <c r="AE1011" s="44"/>
      <c r="AF1011" s="44"/>
    </row>
    <row r="1012" spans="1:32" x14ac:dyDescent="0.3">
      <c r="A1012" s="38" t="s">
        <v>271</v>
      </c>
      <c r="B1012" s="38" t="s">
        <v>174</v>
      </c>
      <c r="C1012" s="38" t="s">
        <v>272</v>
      </c>
      <c r="D1012" s="39" t="s">
        <v>183</v>
      </c>
      <c r="E1012" s="39" t="s">
        <v>177</v>
      </c>
      <c r="F1012" s="38" t="s">
        <v>138</v>
      </c>
      <c r="G1012" s="38" t="s">
        <v>130</v>
      </c>
      <c r="H1012" s="44">
        <f>SUM(I1012:AF1012)</f>
        <v>0</v>
      </c>
      <c r="I1012" s="44"/>
      <c r="J1012" s="44"/>
      <c r="K1012" s="44"/>
      <c r="L1012" s="44"/>
      <c r="M1012" s="44"/>
      <c r="N1012" s="44"/>
      <c r="O1012" s="44"/>
      <c r="P1012" s="44"/>
      <c r="Q1012" s="44"/>
      <c r="R1012" s="44"/>
      <c r="S1012" s="44"/>
      <c r="T1012" s="44"/>
      <c r="U1012" s="44"/>
      <c r="V1012" s="44"/>
      <c r="W1012" s="44"/>
      <c r="X1012" s="44"/>
      <c r="Y1012" s="44"/>
      <c r="Z1012" s="44"/>
      <c r="AA1012" s="44"/>
      <c r="AB1012" s="44"/>
      <c r="AC1012" s="44"/>
      <c r="AD1012" s="44"/>
      <c r="AE1012" s="44"/>
      <c r="AF1012" s="44"/>
    </row>
    <row r="1013" spans="1:32" x14ac:dyDescent="0.3">
      <c r="A1013" s="38" t="s">
        <v>271</v>
      </c>
      <c r="B1013" s="38" t="s">
        <v>174</v>
      </c>
      <c r="C1013" s="38" t="s">
        <v>272</v>
      </c>
      <c r="D1013" s="39" t="s">
        <v>183</v>
      </c>
      <c r="E1013" s="39" t="s">
        <v>177</v>
      </c>
      <c r="F1013" s="38" t="s">
        <v>139</v>
      </c>
      <c r="G1013" s="38" t="s">
        <v>130</v>
      </c>
      <c r="H1013" s="44">
        <v>221760</v>
      </c>
      <c r="I1013" s="44">
        <v>20160</v>
      </c>
      <c r="J1013" s="44"/>
      <c r="K1013" s="44">
        <v>20160</v>
      </c>
      <c r="L1013" s="44">
        <v>20160</v>
      </c>
      <c r="M1013" s="44">
        <v>20160</v>
      </c>
      <c r="N1013" s="44"/>
      <c r="O1013" s="44">
        <v>20160</v>
      </c>
      <c r="P1013" s="44">
        <v>20160</v>
      </c>
      <c r="Q1013" s="44">
        <v>20160</v>
      </c>
      <c r="R1013" s="44"/>
      <c r="S1013" s="44">
        <v>20160</v>
      </c>
      <c r="T1013" s="44">
        <v>20160</v>
      </c>
      <c r="U1013" s="44">
        <v>20160</v>
      </c>
      <c r="V1013" s="44">
        <v>20160</v>
      </c>
      <c r="W1013" s="44"/>
      <c r="X1013" s="44"/>
      <c r="Y1013" s="44"/>
      <c r="Z1013" s="44"/>
      <c r="AA1013" s="44"/>
      <c r="AB1013" s="44"/>
      <c r="AC1013" s="44"/>
      <c r="AD1013" s="44"/>
      <c r="AE1013" s="44"/>
      <c r="AF1013" s="44"/>
    </row>
    <row r="1014" spans="1:32" x14ac:dyDescent="0.3">
      <c r="A1014" s="38" t="s">
        <v>271</v>
      </c>
      <c r="B1014" s="38" t="s">
        <v>174</v>
      </c>
      <c r="C1014" s="38" t="s">
        <v>272</v>
      </c>
      <c r="D1014" s="39" t="s">
        <v>183</v>
      </c>
      <c r="E1014" s="39" t="s">
        <v>177</v>
      </c>
      <c r="F1014" s="38" t="s">
        <v>140</v>
      </c>
      <c r="G1014" s="38" t="s">
        <v>130</v>
      </c>
      <c r="H1014" s="44"/>
      <c r="I1014" s="44">
        <f>I1009-(I1004+I1003)+(I1008+I1007+I1006+I1005)</f>
        <v>-52847</v>
      </c>
      <c r="J1014" s="44">
        <f t="shared" ref="J1014:AF1014" si="232">I1014+J1009-J1004</f>
        <v>-69437</v>
      </c>
      <c r="K1014" s="44">
        <f t="shared" si="232"/>
        <v>-65533</v>
      </c>
      <c r="L1014" s="44">
        <f t="shared" si="232"/>
        <v>-66278</v>
      </c>
      <c r="M1014" s="44">
        <f t="shared" si="232"/>
        <v>-61640</v>
      </c>
      <c r="N1014" s="44">
        <f t="shared" si="232"/>
        <v>-115706</v>
      </c>
      <c r="O1014" s="44">
        <f t="shared" si="232"/>
        <v>-110060</v>
      </c>
      <c r="P1014" s="44">
        <f t="shared" si="232"/>
        <v>-101874</v>
      </c>
      <c r="Q1014" s="44">
        <f t="shared" si="232"/>
        <v>-96681</v>
      </c>
      <c r="R1014" s="44">
        <f t="shared" si="232"/>
        <v>-114184</v>
      </c>
      <c r="S1014" s="44">
        <f t="shared" si="232"/>
        <v>-110713</v>
      </c>
      <c r="T1014" s="44">
        <f t="shared" si="232"/>
        <v>-107180</v>
      </c>
      <c r="U1014" s="44">
        <f t="shared" si="232"/>
        <v>-103256</v>
      </c>
      <c r="V1014" s="44">
        <f t="shared" si="232"/>
        <v>-94349</v>
      </c>
      <c r="W1014" s="44">
        <f t="shared" si="232"/>
        <v>-105334</v>
      </c>
      <c r="X1014" s="44">
        <f t="shared" si="232"/>
        <v>-116654</v>
      </c>
      <c r="Y1014" s="44">
        <f t="shared" si="232"/>
        <v>-127659</v>
      </c>
      <c r="Z1014" s="44">
        <f t="shared" si="232"/>
        <v>-131871</v>
      </c>
      <c r="AA1014" s="44">
        <f t="shared" si="232"/>
        <v>-133313</v>
      </c>
      <c r="AB1014" s="44">
        <f t="shared" si="232"/>
        <v>-134725</v>
      </c>
      <c r="AC1014" s="44">
        <f t="shared" si="232"/>
        <v>-136058</v>
      </c>
      <c r="AD1014" s="44">
        <f t="shared" si="232"/>
        <v>-137050</v>
      </c>
      <c r="AE1014" s="44">
        <f t="shared" si="232"/>
        <v>-137936</v>
      </c>
      <c r="AF1014" s="44">
        <f t="shared" si="232"/>
        <v>-138792</v>
      </c>
    </row>
    <row r="1015" spans="1:32" ht="15" thickBot="1" x14ac:dyDescent="0.35">
      <c r="A1015" s="40" t="s">
        <v>271</v>
      </c>
      <c r="B1015" s="40" t="s">
        <v>174</v>
      </c>
      <c r="C1015" s="40" t="s">
        <v>272</v>
      </c>
      <c r="D1015" s="41" t="s">
        <v>183</v>
      </c>
      <c r="E1015" s="41" t="s">
        <v>177</v>
      </c>
      <c r="F1015" s="40" t="s">
        <v>141</v>
      </c>
      <c r="G1015" s="40" t="s">
        <v>130</v>
      </c>
      <c r="H1015" s="45"/>
      <c r="I1015" s="45">
        <f>I1009-I1013</f>
        <v>0</v>
      </c>
      <c r="J1015" s="45">
        <f t="shared" ref="J1015:AF1015" si="233">I1015+J1009-J1013</f>
        <v>0</v>
      </c>
      <c r="K1015" s="45">
        <f t="shared" si="233"/>
        <v>0</v>
      </c>
      <c r="L1015" s="45">
        <f t="shared" si="233"/>
        <v>0</v>
      </c>
      <c r="M1015" s="45">
        <f t="shared" si="233"/>
        <v>0</v>
      </c>
      <c r="N1015" s="45">
        <f t="shared" si="233"/>
        <v>0</v>
      </c>
      <c r="O1015" s="45">
        <f t="shared" si="233"/>
        <v>0</v>
      </c>
      <c r="P1015" s="45">
        <f t="shared" si="233"/>
        <v>0</v>
      </c>
      <c r="Q1015" s="45">
        <f t="shared" si="233"/>
        <v>0</v>
      </c>
      <c r="R1015" s="45">
        <f t="shared" si="233"/>
        <v>0</v>
      </c>
      <c r="S1015" s="45">
        <f t="shared" si="233"/>
        <v>0</v>
      </c>
      <c r="T1015" s="45">
        <f t="shared" si="233"/>
        <v>0</v>
      </c>
      <c r="U1015" s="45">
        <f t="shared" si="233"/>
        <v>0</v>
      </c>
      <c r="V1015" s="45">
        <f t="shared" si="233"/>
        <v>0</v>
      </c>
      <c r="W1015" s="45">
        <f t="shared" si="233"/>
        <v>0</v>
      </c>
      <c r="X1015" s="45">
        <f t="shared" si="233"/>
        <v>0</v>
      </c>
      <c r="Y1015" s="45">
        <f t="shared" si="233"/>
        <v>0</v>
      </c>
      <c r="Z1015" s="45">
        <f t="shared" si="233"/>
        <v>0</v>
      </c>
      <c r="AA1015" s="45">
        <f t="shared" si="233"/>
        <v>0</v>
      </c>
      <c r="AB1015" s="45">
        <f t="shared" si="233"/>
        <v>0</v>
      </c>
      <c r="AC1015" s="45">
        <f t="shared" si="233"/>
        <v>0</v>
      </c>
      <c r="AD1015" s="45">
        <f t="shared" si="233"/>
        <v>0</v>
      </c>
      <c r="AE1015" s="45">
        <f t="shared" si="233"/>
        <v>0</v>
      </c>
      <c r="AF1015" s="45">
        <f t="shared" si="233"/>
        <v>0</v>
      </c>
    </row>
    <row r="1016" spans="1:32" x14ac:dyDescent="0.3">
      <c r="A1016" s="38" t="s">
        <v>273</v>
      </c>
      <c r="B1016" s="38" t="s">
        <v>174</v>
      </c>
      <c r="C1016" s="38" t="s">
        <v>272</v>
      </c>
      <c r="D1016" s="39" t="s">
        <v>180</v>
      </c>
      <c r="E1016" s="39" t="s">
        <v>177</v>
      </c>
      <c r="F1016" s="38" t="s">
        <v>129</v>
      </c>
      <c r="G1016" s="38" t="s">
        <v>130</v>
      </c>
      <c r="H1016" s="44">
        <v>1539</v>
      </c>
      <c r="I1016" s="44">
        <v>1539</v>
      </c>
      <c r="J1016" s="44"/>
      <c r="K1016" s="44"/>
      <c r="L1016" s="44"/>
      <c r="M1016" s="44"/>
      <c r="N1016" s="44"/>
      <c r="O1016" s="44"/>
      <c r="P1016" s="44"/>
      <c r="Q1016" s="44"/>
      <c r="R1016" s="44"/>
      <c r="S1016" s="44"/>
      <c r="T1016" s="44"/>
      <c r="U1016" s="44"/>
      <c r="V1016" s="44"/>
      <c r="W1016" s="44"/>
      <c r="X1016" s="44"/>
      <c r="Y1016" s="44"/>
      <c r="Z1016" s="44"/>
      <c r="AA1016" s="44"/>
      <c r="AB1016" s="44"/>
      <c r="AC1016" s="44"/>
      <c r="AD1016" s="44"/>
      <c r="AE1016" s="44"/>
      <c r="AF1016" s="44"/>
    </row>
    <row r="1017" spans="1:32" x14ac:dyDescent="0.3">
      <c r="A1017" s="38" t="s">
        <v>273</v>
      </c>
      <c r="B1017" s="38" t="s">
        <v>174</v>
      </c>
      <c r="C1017" s="38" t="s">
        <v>272</v>
      </c>
      <c r="D1017" s="39" t="s">
        <v>180</v>
      </c>
      <c r="E1017" s="39" t="s">
        <v>177</v>
      </c>
      <c r="F1017" s="38" t="s">
        <v>131</v>
      </c>
      <c r="G1017" s="38" t="s">
        <v>130</v>
      </c>
      <c r="H1017" s="44">
        <v>124</v>
      </c>
      <c r="I1017" s="44">
        <v>0</v>
      </c>
      <c r="J1017" s="44">
        <v>29</v>
      </c>
      <c r="K1017" s="44">
        <v>0</v>
      </c>
      <c r="L1017" s="44">
        <v>50</v>
      </c>
      <c r="M1017" s="44">
        <v>0</v>
      </c>
      <c r="N1017" s="44">
        <v>30</v>
      </c>
      <c r="O1017" s="44">
        <v>11</v>
      </c>
      <c r="P1017" s="44">
        <v>0</v>
      </c>
      <c r="Q1017" s="44">
        <v>0</v>
      </c>
      <c r="R1017" s="44">
        <v>0</v>
      </c>
      <c r="S1017" s="44">
        <v>0</v>
      </c>
      <c r="T1017" s="44">
        <v>4</v>
      </c>
      <c r="U1017" s="44">
        <v>0</v>
      </c>
      <c r="V1017" s="44">
        <v>0</v>
      </c>
      <c r="W1017" s="44">
        <v>0</v>
      </c>
      <c r="X1017" s="44">
        <v>0</v>
      </c>
      <c r="Y1017" s="44">
        <v>0</v>
      </c>
      <c r="Z1017" s="44">
        <v>0</v>
      </c>
      <c r="AA1017" s="44">
        <v>0</v>
      </c>
      <c r="AB1017" s="44">
        <v>0</v>
      </c>
      <c r="AC1017" s="44">
        <v>0</v>
      </c>
      <c r="AD1017" s="44">
        <v>0</v>
      </c>
      <c r="AE1017" s="44">
        <v>0</v>
      </c>
      <c r="AF1017" s="44">
        <v>0</v>
      </c>
    </row>
    <row r="1018" spans="1:32" x14ac:dyDescent="0.3">
      <c r="A1018" s="38" t="s">
        <v>273</v>
      </c>
      <c r="B1018" s="38" t="s">
        <v>174</v>
      </c>
      <c r="C1018" s="38" t="s">
        <v>272</v>
      </c>
      <c r="D1018" s="39" t="s">
        <v>180</v>
      </c>
      <c r="E1018" s="39" t="s">
        <v>177</v>
      </c>
      <c r="F1018" s="38" t="s">
        <v>132</v>
      </c>
      <c r="G1018" s="38" t="s">
        <v>130</v>
      </c>
      <c r="H1018" s="44"/>
      <c r="I1018" s="44"/>
      <c r="J1018" s="44"/>
      <c r="K1018" s="44"/>
      <c r="L1018" s="44"/>
      <c r="M1018" s="44"/>
      <c r="N1018" s="44"/>
      <c r="O1018" s="44"/>
      <c r="P1018" s="44"/>
      <c r="Q1018" s="44"/>
      <c r="R1018" s="44"/>
      <c r="S1018" s="44"/>
      <c r="T1018" s="44"/>
      <c r="U1018" s="44"/>
      <c r="V1018" s="44"/>
      <c r="W1018" s="44"/>
      <c r="X1018" s="44"/>
      <c r="Y1018" s="44"/>
      <c r="Z1018" s="44"/>
      <c r="AA1018" s="44"/>
      <c r="AB1018" s="44"/>
      <c r="AC1018" s="44"/>
      <c r="AD1018" s="44"/>
      <c r="AE1018" s="44"/>
      <c r="AF1018" s="44"/>
    </row>
    <row r="1019" spans="1:32" x14ac:dyDescent="0.3">
      <c r="A1019" s="38" t="s">
        <v>273</v>
      </c>
      <c r="B1019" s="38" t="s">
        <v>174</v>
      </c>
      <c r="C1019" s="38" t="s">
        <v>272</v>
      </c>
      <c r="D1019" s="39" t="s">
        <v>180</v>
      </c>
      <c r="E1019" s="39" t="s">
        <v>177</v>
      </c>
      <c r="F1019" s="38" t="s">
        <v>133</v>
      </c>
      <c r="G1019" s="38" t="s">
        <v>130</v>
      </c>
      <c r="H1019" s="44"/>
      <c r="I1019" s="44"/>
      <c r="J1019" s="44"/>
      <c r="K1019" s="44"/>
      <c r="L1019" s="44"/>
      <c r="M1019" s="44"/>
      <c r="N1019" s="44"/>
      <c r="O1019" s="44"/>
      <c r="P1019" s="44"/>
      <c r="Q1019" s="44"/>
      <c r="R1019" s="44"/>
      <c r="S1019" s="44"/>
      <c r="T1019" s="44"/>
      <c r="U1019" s="44"/>
      <c r="V1019" s="44"/>
      <c r="W1019" s="44"/>
      <c r="X1019" s="44"/>
      <c r="Y1019" s="44"/>
      <c r="Z1019" s="44"/>
      <c r="AA1019" s="44"/>
      <c r="AB1019" s="44"/>
      <c r="AC1019" s="44"/>
      <c r="AD1019" s="44"/>
      <c r="AE1019" s="44"/>
      <c r="AF1019" s="44"/>
    </row>
    <row r="1020" spans="1:32" x14ac:dyDescent="0.3">
      <c r="A1020" s="38" t="s">
        <v>273</v>
      </c>
      <c r="B1020" s="38" t="s">
        <v>174</v>
      </c>
      <c r="C1020" s="38" t="s">
        <v>272</v>
      </c>
      <c r="D1020" s="39" t="s">
        <v>180</v>
      </c>
      <c r="E1020" s="39" t="s">
        <v>177</v>
      </c>
      <c r="F1020" s="38" t="s">
        <v>134</v>
      </c>
      <c r="G1020" s="38" t="s">
        <v>130</v>
      </c>
      <c r="H1020" s="44"/>
      <c r="I1020" s="44"/>
      <c r="J1020" s="44"/>
      <c r="K1020" s="44"/>
      <c r="L1020" s="44"/>
      <c r="M1020" s="44"/>
      <c r="N1020" s="44"/>
      <c r="O1020" s="44"/>
      <c r="P1020" s="44"/>
      <c r="Q1020" s="44"/>
      <c r="R1020" s="44"/>
      <c r="S1020" s="44"/>
      <c r="T1020" s="44"/>
      <c r="U1020" s="44"/>
      <c r="V1020" s="44"/>
      <c r="W1020" s="44"/>
      <c r="X1020" s="44"/>
      <c r="Y1020" s="44"/>
      <c r="Z1020" s="44"/>
      <c r="AA1020" s="44"/>
      <c r="AB1020" s="44"/>
      <c r="AC1020" s="44"/>
      <c r="AD1020" s="44"/>
      <c r="AE1020" s="44"/>
      <c r="AF1020" s="44"/>
    </row>
    <row r="1021" spans="1:32" x14ac:dyDescent="0.3">
      <c r="A1021" s="38" t="s">
        <v>273</v>
      </c>
      <c r="B1021" s="38" t="s">
        <v>174</v>
      </c>
      <c r="C1021" s="38" t="s">
        <v>272</v>
      </c>
      <c r="D1021" s="39" t="s">
        <v>180</v>
      </c>
      <c r="E1021" s="39" t="s">
        <v>177</v>
      </c>
      <c r="F1021" s="38" t="s">
        <v>135</v>
      </c>
      <c r="G1021" s="38" t="s">
        <v>130</v>
      </c>
      <c r="H1021" s="44"/>
      <c r="I1021" s="44"/>
      <c r="J1021" s="44"/>
      <c r="K1021" s="44"/>
      <c r="L1021" s="44"/>
      <c r="M1021" s="44"/>
      <c r="N1021" s="44"/>
      <c r="O1021" s="44"/>
      <c r="P1021" s="44"/>
      <c r="Q1021" s="44"/>
      <c r="R1021" s="44"/>
      <c r="S1021" s="44"/>
      <c r="T1021" s="44"/>
      <c r="U1021" s="44"/>
      <c r="V1021" s="44"/>
      <c r="W1021" s="44"/>
      <c r="X1021" s="44"/>
      <c r="Y1021" s="44"/>
      <c r="Z1021" s="44"/>
      <c r="AA1021" s="44"/>
      <c r="AB1021" s="44"/>
      <c r="AC1021" s="44"/>
      <c r="AD1021" s="44"/>
      <c r="AE1021" s="44"/>
      <c r="AF1021" s="44"/>
    </row>
    <row r="1022" spans="1:32" x14ac:dyDescent="0.3">
      <c r="A1022" s="38" t="s">
        <v>273</v>
      </c>
      <c r="B1022" s="38" t="s">
        <v>174</v>
      </c>
      <c r="C1022" s="38" t="s">
        <v>272</v>
      </c>
      <c r="D1022" s="39" t="s">
        <v>180</v>
      </c>
      <c r="E1022" s="39" t="s">
        <v>177</v>
      </c>
      <c r="F1022" s="38" t="s">
        <v>136</v>
      </c>
      <c r="G1022" s="38" t="s">
        <v>130</v>
      </c>
      <c r="H1022" s="44">
        <f>SUM(I1022:AF1022)</f>
        <v>0</v>
      </c>
      <c r="I1022" s="44">
        <f t="shared" ref="I1022:AF1022" si="234">IF(AND(ISBLANK(I1025) = TRUE,ISBLANK(I1024) = TRUE),I1023,I1024+I1025)</f>
        <v>0</v>
      </c>
      <c r="J1022" s="44">
        <f t="shared" si="234"/>
        <v>0</v>
      </c>
      <c r="K1022" s="44">
        <f t="shared" si="234"/>
        <v>0</v>
      </c>
      <c r="L1022" s="44">
        <f t="shared" si="234"/>
        <v>0</v>
      </c>
      <c r="M1022" s="44">
        <f t="shared" si="234"/>
        <v>0</v>
      </c>
      <c r="N1022" s="44">
        <f t="shared" si="234"/>
        <v>0</v>
      </c>
      <c r="O1022" s="44">
        <f t="shared" si="234"/>
        <v>0</v>
      </c>
      <c r="P1022" s="44">
        <f t="shared" si="234"/>
        <v>0</v>
      </c>
      <c r="Q1022" s="44">
        <f t="shared" si="234"/>
        <v>0</v>
      </c>
      <c r="R1022" s="44">
        <f t="shared" si="234"/>
        <v>0</v>
      </c>
      <c r="S1022" s="44">
        <f t="shared" si="234"/>
        <v>0</v>
      </c>
      <c r="T1022" s="44">
        <f t="shared" si="234"/>
        <v>0</v>
      </c>
      <c r="U1022" s="44">
        <f t="shared" si="234"/>
        <v>0</v>
      </c>
      <c r="V1022" s="44">
        <f t="shared" si="234"/>
        <v>0</v>
      </c>
      <c r="W1022" s="44">
        <f t="shared" si="234"/>
        <v>0</v>
      </c>
      <c r="X1022" s="44">
        <f t="shared" si="234"/>
        <v>0</v>
      </c>
      <c r="Y1022" s="44">
        <f t="shared" si="234"/>
        <v>0</v>
      </c>
      <c r="Z1022" s="44">
        <f t="shared" si="234"/>
        <v>0</v>
      </c>
      <c r="AA1022" s="44">
        <f t="shared" si="234"/>
        <v>0</v>
      </c>
      <c r="AB1022" s="44">
        <f t="shared" si="234"/>
        <v>0</v>
      </c>
      <c r="AC1022" s="44">
        <f t="shared" si="234"/>
        <v>0</v>
      </c>
      <c r="AD1022" s="44">
        <f t="shared" si="234"/>
        <v>0</v>
      </c>
      <c r="AE1022" s="44">
        <f t="shared" si="234"/>
        <v>0</v>
      </c>
      <c r="AF1022" s="44">
        <f t="shared" si="234"/>
        <v>0</v>
      </c>
    </row>
    <row r="1023" spans="1:32" x14ac:dyDescent="0.3">
      <c r="A1023" s="38" t="s">
        <v>273</v>
      </c>
      <c r="B1023" s="38" t="s">
        <v>174</v>
      </c>
      <c r="C1023" s="38" t="s">
        <v>272</v>
      </c>
      <c r="D1023" s="39" t="s">
        <v>180</v>
      </c>
      <c r="E1023" s="39" t="s">
        <v>177</v>
      </c>
      <c r="F1023" s="38" t="s">
        <v>124</v>
      </c>
      <c r="G1023" s="38" t="s">
        <v>130</v>
      </c>
      <c r="H1023" s="44"/>
      <c r="I1023" s="44"/>
      <c r="J1023" s="44"/>
      <c r="K1023" s="44"/>
      <c r="L1023" s="44"/>
      <c r="M1023" s="44"/>
      <c r="N1023" s="44"/>
      <c r="O1023" s="44"/>
      <c r="P1023" s="44"/>
      <c r="Q1023" s="44"/>
      <c r="R1023" s="44"/>
      <c r="S1023" s="44"/>
      <c r="T1023" s="44"/>
      <c r="U1023" s="44"/>
      <c r="V1023" s="44"/>
      <c r="W1023" s="44"/>
      <c r="X1023" s="44"/>
      <c r="Y1023" s="44"/>
      <c r="Z1023" s="44"/>
      <c r="AA1023" s="44"/>
      <c r="AB1023" s="44"/>
      <c r="AC1023" s="44"/>
      <c r="AD1023" s="44"/>
      <c r="AE1023" s="44"/>
      <c r="AF1023" s="44"/>
    </row>
    <row r="1024" spans="1:32" x14ac:dyDescent="0.3">
      <c r="A1024" s="38" t="s">
        <v>273</v>
      </c>
      <c r="B1024" s="38" t="s">
        <v>174</v>
      </c>
      <c r="C1024" s="38" t="s">
        <v>272</v>
      </c>
      <c r="D1024" s="39" t="s">
        <v>180</v>
      </c>
      <c r="E1024" s="39" t="s">
        <v>177</v>
      </c>
      <c r="F1024" s="38" t="s">
        <v>137</v>
      </c>
      <c r="G1024" s="38" t="s">
        <v>130</v>
      </c>
      <c r="H1024" s="44">
        <f>SUM(I1024:AF1024)</f>
        <v>0</v>
      </c>
      <c r="I1024" s="44"/>
      <c r="J1024" s="44"/>
      <c r="K1024" s="44"/>
      <c r="L1024" s="44"/>
      <c r="M1024" s="44"/>
      <c r="N1024" s="44"/>
      <c r="O1024" s="44"/>
      <c r="P1024" s="44"/>
      <c r="Q1024" s="44"/>
      <c r="R1024" s="44"/>
      <c r="S1024" s="44"/>
      <c r="T1024" s="44"/>
      <c r="U1024" s="44"/>
      <c r="V1024" s="44"/>
      <c r="W1024" s="44"/>
      <c r="X1024" s="44"/>
      <c r="Y1024" s="44"/>
      <c r="Z1024" s="44"/>
      <c r="AA1024" s="44"/>
      <c r="AB1024" s="44"/>
      <c r="AC1024" s="44"/>
      <c r="AD1024" s="44"/>
      <c r="AE1024" s="44"/>
      <c r="AF1024" s="44"/>
    </row>
    <row r="1025" spans="1:32" x14ac:dyDescent="0.3">
      <c r="A1025" s="38" t="s">
        <v>273</v>
      </c>
      <c r="B1025" s="38" t="s">
        <v>174</v>
      </c>
      <c r="C1025" s="38" t="s">
        <v>272</v>
      </c>
      <c r="D1025" s="39" t="s">
        <v>180</v>
      </c>
      <c r="E1025" s="39" t="s">
        <v>177</v>
      </c>
      <c r="F1025" s="38" t="s">
        <v>138</v>
      </c>
      <c r="G1025" s="38" t="s">
        <v>130</v>
      </c>
      <c r="H1025" s="44">
        <f>SUM(I1025:AF1025)</f>
        <v>0</v>
      </c>
      <c r="I1025" s="44"/>
      <c r="J1025" s="44"/>
      <c r="K1025" s="44"/>
      <c r="L1025" s="44"/>
      <c r="M1025" s="44"/>
      <c r="N1025" s="44"/>
      <c r="O1025" s="44"/>
      <c r="P1025" s="44"/>
      <c r="Q1025" s="44"/>
      <c r="R1025" s="44"/>
      <c r="S1025" s="44"/>
      <c r="T1025" s="44"/>
      <c r="U1025" s="44"/>
      <c r="V1025" s="44"/>
      <c r="W1025" s="44"/>
      <c r="X1025" s="44"/>
      <c r="Y1025" s="44"/>
      <c r="Z1025" s="44"/>
      <c r="AA1025" s="44"/>
      <c r="AB1025" s="44"/>
      <c r="AC1025" s="44"/>
      <c r="AD1025" s="44"/>
      <c r="AE1025" s="44"/>
      <c r="AF1025" s="44"/>
    </row>
    <row r="1026" spans="1:32" x14ac:dyDescent="0.3">
      <c r="A1026" s="38" t="s">
        <v>273</v>
      </c>
      <c r="B1026" s="38" t="s">
        <v>174</v>
      </c>
      <c r="C1026" s="38" t="s">
        <v>272</v>
      </c>
      <c r="D1026" s="39" t="s">
        <v>180</v>
      </c>
      <c r="E1026" s="39" t="s">
        <v>177</v>
      </c>
      <c r="F1026" s="38" t="s">
        <v>139</v>
      </c>
      <c r="G1026" s="38" t="s">
        <v>130</v>
      </c>
      <c r="H1026" s="44"/>
      <c r="I1026" s="44"/>
      <c r="J1026" s="44"/>
      <c r="K1026" s="44"/>
      <c r="L1026" s="44"/>
      <c r="M1026" s="44"/>
      <c r="N1026" s="44"/>
      <c r="O1026" s="44"/>
      <c r="P1026" s="44"/>
      <c r="Q1026" s="44"/>
      <c r="R1026" s="44"/>
      <c r="S1026" s="44"/>
      <c r="T1026" s="44"/>
      <c r="U1026" s="44"/>
      <c r="V1026" s="44"/>
      <c r="W1026" s="44"/>
      <c r="X1026" s="44"/>
      <c r="Y1026" s="44"/>
      <c r="Z1026" s="44"/>
      <c r="AA1026" s="44"/>
      <c r="AB1026" s="44"/>
      <c r="AC1026" s="44"/>
      <c r="AD1026" s="44"/>
      <c r="AE1026" s="44"/>
      <c r="AF1026" s="44"/>
    </row>
    <row r="1027" spans="1:32" x14ac:dyDescent="0.3">
      <c r="A1027" s="38" t="s">
        <v>273</v>
      </c>
      <c r="B1027" s="38" t="s">
        <v>174</v>
      </c>
      <c r="C1027" s="38" t="s">
        <v>272</v>
      </c>
      <c r="D1027" s="39" t="s">
        <v>180</v>
      </c>
      <c r="E1027" s="39" t="s">
        <v>177</v>
      </c>
      <c r="F1027" s="38" t="s">
        <v>140</v>
      </c>
      <c r="G1027" s="38" t="s">
        <v>130</v>
      </c>
      <c r="H1027" s="44"/>
      <c r="I1027" s="44">
        <f>I1022-(I1017+I1016)+(I1021+I1020+I1019+I1018)</f>
        <v>-1539</v>
      </c>
      <c r="J1027" s="44">
        <f t="shared" ref="J1027:AF1027" si="235">I1027+J1022-J1017</f>
        <v>-1568</v>
      </c>
      <c r="K1027" s="44">
        <f t="shared" si="235"/>
        <v>-1568</v>
      </c>
      <c r="L1027" s="44">
        <f t="shared" si="235"/>
        <v>-1618</v>
      </c>
      <c r="M1027" s="44">
        <f t="shared" si="235"/>
        <v>-1618</v>
      </c>
      <c r="N1027" s="44">
        <f t="shared" si="235"/>
        <v>-1648</v>
      </c>
      <c r="O1027" s="44">
        <f t="shared" si="235"/>
        <v>-1659</v>
      </c>
      <c r="P1027" s="44">
        <f t="shared" si="235"/>
        <v>-1659</v>
      </c>
      <c r="Q1027" s="44">
        <f t="shared" si="235"/>
        <v>-1659</v>
      </c>
      <c r="R1027" s="44">
        <f t="shared" si="235"/>
        <v>-1659</v>
      </c>
      <c r="S1027" s="44">
        <f t="shared" si="235"/>
        <v>-1659</v>
      </c>
      <c r="T1027" s="44">
        <f t="shared" si="235"/>
        <v>-1663</v>
      </c>
      <c r="U1027" s="44">
        <f t="shared" si="235"/>
        <v>-1663</v>
      </c>
      <c r="V1027" s="44">
        <f t="shared" si="235"/>
        <v>-1663</v>
      </c>
      <c r="W1027" s="44">
        <f t="shared" si="235"/>
        <v>-1663</v>
      </c>
      <c r="X1027" s="44">
        <f t="shared" si="235"/>
        <v>-1663</v>
      </c>
      <c r="Y1027" s="44">
        <f t="shared" si="235"/>
        <v>-1663</v>
      </c>
      <c r="Z1027" s="44">
        <f t="shared" si="235"/>
        <v>-1663</v>
      </c>
      <c r="AA1027" s="44">
        <f t="shared" si="235"/>
        <v>-1663</v>
      </c>
      <c r="AB1027" s="44">
        <f t="shared" si="235"/>
        <v>-1663</v>
      </c>
      <c r="AC1027" s="44">
        <f t="shared" si="235"/>
        <v>-1663</v>
      </c>
      <c r="AD1027" s="44">
        <f t="shared" si="235"/>
        <v>-1663</v>
      </c>
      <c r="AE1027" s="44">
        <f t="shared" si="235"/>
        <v>-1663</v>
      </c>
      <c r="AF1027" s="44">
        <f t="shared" si="235"/>
        <v>-1663</v>
      </c>
    </row>
    <row r="1028" spans="1:32" ht="15" thickBot="1" x14ac:dyDescent="0.35">
      <c r="A1028" s="40" t="s">
        <v>273</v>
      </c>
      <c r="B1028" s="40" t="s">
        <v>174</v>
      </c>
      <c r="C1028" s="40" t="s">
        <v>272</v>
      </c>
      <c r="D1028" s="41" t="s">
        <v>180</v>
      </c>
      <c r="E1028" s="41" t="s">
        <v>177</v>
      </c>
      <c r="F1028" s="40" t="s">
        <v>141</v>
      </c>
      <c r="G1028" s="40" t="s">
        <v>130</v>
      </c>
      <c r="H1028" s="45"/>
      <c r="I1028" s="45">
        <f>I1022-I1026</f>
        <v>0</v>
      </c>
      <c r="J1028" s="45">
        <f t="shared" ref="J1028:AF1028" si="236">I1028+J1022-J1026</f>
        <v>0</v>
      </c>
      <c r="K1028" s="45">
        <f t="shared" si="236"/>
        <v>0</v>
      </c>
      <c r="L1028" s="45">
        <f t="shared" si="236"/>
        <v>0</v>
      </c>
      <c r="M1028" s="45">
        <f t="shared" si="236"/>
        <v>0</v>
      </c>
      <c r="N1028" s="45">
        <f t="shared" si="236"/>
        <v>0</v>
      </c>
      <c r="O1028" s="45">
        <f t="shared" si="236"/>
        <v>0</v>
      </c>
      <c r="P1028" s="45">
        <f t="shared" si="236"/>
        <v>0</v>
      </c>
      <c r="Q1028" s="45">
        <f t="shared" si="236"/>
        <v>0</v>
      </c>
      <c r="R1028" s="45">
        <f t="shared" si="236"/>
        <v>0</v>
      </c>
      <c r="S1028" s="45">
        <f t="shared" si="236"/>
        <v>0</v>
      </c>
      <c r="T1028" s="45">
        <f t="shared" si="236"/>
        <v>0</v>
      </c>
      <c r="U1028" s="45">
        <f t="shared" si="236"/>
        <v>0</v>
      </c>
      <c r="V1028" s="45">
        <f t="shared" si="236"/>
        <v>0</v>
      </c>
      <c r="W1028" s="45">
        <f t="shared" si="236"/>
        <v>0</v>
      </c>
      <c r="X1028" s="45">
        <f t="shared" si="236"/>
        <v>0</v>
      </c>
      <c r="Y1028" s="45">
        <f t="shared" si="236"/>
        <v>0</v>
      </c>
      <c r="Z1028" s="45">
        <f t="shared" si="236"/>
        <v>0</v>
      </c>
      <c r="AA1028" s="45">
        <f t="shared" si="236"/>
        <v>0</v>
      </c>
      <c r="AB1028" s="45">
        <f t="shared" si="236"/>
        <v>0</v>
      </c>
      <c r="AC1028" s="45">
        <f t="shared" si="236"/>
        <v>0</v>
      </c>
      <c r="AD1028" s="45">
        <f t="shared" si="236"/>
        <v>0</v>
      </c>
      <c r="AE1028" s="45">
        <f t="shared" si="236"/>
        <v>0</v>
      </c>
      <c r="AF1028" s="45">
        <f t="shared" si="236"/>
        <v>0</v>
      </c>
    </row>
    <row r="1029" spans="1:32" x14ac:dyDescent="0.3">
      <c r="A1029" s="38" t="s">
        <v>274</v>
      </c>
      <c r="B1029" s="38" t="s">
        <v>174</v>
      </c>
      <c r="C1029" s="38" t="s">
        <v>275</v>
      </c>
      <c r="D1029" s="39" t="s">
        <v>180</v>
      </c>
      <c r="E1029" s="39" t="s">
        <v>177</v>
      </c>
      <c r="F1029" s="38" t="s">
        <v>129</v>
      </c>
      <c r="G1029" s="38" t="s">
        <v>130</v>
      </c>
      <c r="H1029" s="44">
        <v>937</v>
      </c>
      <c r="I1029" s="44">
        <v>937</v>
      </c>
      <c r="J1029" s="44"/>
      <c r="K1029" s="44"/>
      <c r="L1029" s="44"/>
      <c r="M1029" s="44"/>
      <c r="N1029" s="44"/>
      <c r="O1029" s="44"/>
      <c r="P1029" s="44"/>
      <c r="Q1029" s="44"/>
      <c r="R1029" s="44"/>
      <c r="S1029" s="44"/>
      <c r="T1029" s="44"/>
      <c r="U1029" s="44"/>
      <c r="V1029" s="44"/>
      <c r="W1029" s="44"/>
      <c r="X1029" s="44"/>
      <c r="Y1029" s="44"/>
      <c r="Z1029" s="44"/>
      <c r="AA1029" s="44"/>
      <c r="AB1029" s="44"/>
      <c r="AC1029" s="44"/>
      <c r="AD1029" s="44"/>
      <c r="AE1029" s="44"/>
      <c r="AF1029" s="44"/>
    </row>
    <row r="1030" spans="1:32" x14ac:dyDescent="0.3">
      <c r="A1030" s="38" t="s">
        <v>274</v>
      </c>
      <c r="B1030" s="38" t="s">
        <v>174</v>
      </c>
      <c r="C1030" s="38" t="s">
        <v>275</v>
      </c>
      <c r="D1030" s="39" t="s">
        <v>180</v>
      </c>
      <c r="E1030" s="39" t="s">
        <v>177</v>
      </c>
      <c r="F1030" s="38" t="s">
        <v>131</v>
      </c>
      <c r="G1030" s="38" t="s">
        <v>130</v>
      </c>
      <c r="H1030" s="44">
        <v>27118</v>
      </c>
      <c r="I1030" s="44">
        <v>807</v>
      </c>
      <c r="J1030" s="44">
        <v>1295</v>
      </c>
      <c r="K1030" s="44">
        <v>801</v>
      </c>
      <c r="L1030" s="44">
        <v>778</v>
      </c>
      <c r="M1030" s="44">
        <v>1025</v>
      </c>
      <c r="N1030" s="44">
        <v>1288</v>
      </c>
      <c r="O1030" s="44">
        <v>1260</v>
      </c>
      <c r="P1030" s="44">
        <v>1257</v>
      </c>
      <c r="Q1030" s="44">
        <v>1990</v>
      </c>
      <c r="R1030" s="44">
        <v>1873</v>
      </c>
      <c r="S1030" s="44">
        <v>1281</v>
      </c>
      <c r="T1030" s="44">
        <v>1033</v>
      </c>
      <c r="U1030" s="44">
        <v>1004</v>
      </c>
      <c r="V1030" s="44">
        <v>5427</v>
      </c>
      <c r="W1030" s="44">
        <v>597</v>
      </c>
      <c r="X1030" s="44">
        <v>510</v>
      </c>
      <c r="Y1030" s="44">
        <v>557</v>
      </c>
      <c r="Z1030" s="44">
        <v>707</v>
      </c>
      <c r="AA1030" s="44">
        <v>719</v>
      </c>
      <c r="AB1030" s="44">
        <v>719</v>
      </c>
      <c r="AC1030" s="44">
        <v>707</v>
      </c>
      <c r="AD1030" s="44">
        <v>549</v>
      </c>
      <c r="AE1030" s="44">
        <v>467</v>
      </c>
      <c r="AF1030" s="44">
        <v>467</v>
      </c>
    </row>
    <row r="1031" spans="1:32" x14ac:dyDescent="0.3">
      <c r="A1031" s="38" t="s">
        <v>274</v>
      </c>
      <c r="B1031" s="38" t="s">
        <v>174</v>
      </c>
      <c r="C1031" s="38" t="s">
        <v>275</v>
      </c>
      <c r="D1031" s="39" t="s">
        <v>180</v>
      </c>
      <c r="E1031" s="39" t="s">
        <v>177</v>
      </c>
      <c r="F1031" s="38" t="s">
        <v>132</v>
      </c>
      <c r="G1031" s="38" t="s">
        <v>130</v>
      </c>
      <c r="H1031" s="44">
        <v>7020</v>
      </c>
      <c r="I1031" s="44">
        <v>7020</v>
      </c>
      <c r="J1031" s="44"/>
      <c r="K1031" s="44"/>
      <c r="L1031" s="44"/>
      <c r="M1031" s="44"/>
      <c r="N1031" s="44"/>
      <c r="O1031" s="44"/>
      <c r="P1031" s="44"/>
      <c r="Q1031" s="44"/>
      <c r="R1031" s="44"/>
      <c r="S1031" s="44"/>
      <c r="T1031" s="44"/>
      <c r="U1031" s="44"/>
      <c r="V1031" s="44"/>
      <c r="W1031" s="44"/>
      <c r="X1031" s="44"/>
      <c r="Y1031" s="44"/>
      <c r="Z1031" s="44"/>
      <c r="AA1031" s="44"/>
      <c r="AB1031" s="44"/>
      <c r="AC1031" s="44"/>
      <c r="AD1031" s="44"/>
      <c r="AE1031" s="44"/>
      <c r="AF1031" s="44"/>
    </row>
    <row r="1032" spans="1:32" x14ac:dyDescent="0.3">
      <c r="A1032" s="38" t="s">
        <v>274</v>
      </c>
      <c r="B1032" s="38" t="s">
        <v>174</v>
      </c>
      <c r="C1032" s="38" t="s">
        <v>275</v>
      </c>
      <c r="D1032" s="39" t="s">
        <v>180</v>
      </c>
      <c r="E1032" s="39" t="s">
        <v>177</v>
      </c>
      <c r="F1032" s="38" t="s">
        <v>133</v>
      </c>
      <c r="G1032" s="38" t="s">
        <v>130</v>
      </c>
      <c r="H1032" s="44">
        <v>0</v>
      </c>
      <c r="I1032" s="44">
        <v>0</v>
      </c>
      <c r="J1032" s="44"/>
      <c r="K1032" s="44"/>
      <c r="L1032" s="44"/>
      <c r="M1032" s="44"/>
      <c r="N1032" s="44"/>
      <c r="O1032" s="44"/>
      <c r="P1032" s="44"/>
      <c r="Q1032" s="44"/>
      <c r="R1032" s="44"/>
      <c r="S1032" s="44"/>
      <c r="T1032" s="44"/>
      <c r="U1032" s="44"/>
      <c r="V1032" s="44"/>
      <c r="W1032" s="44"/>
      <c r="X1032" s="44"/>
      <c r="Y1032" s="44"/>
      <c r="Z1032" s="44"/>
      <c r="AA1032" s="44"/>
      <c r="AB1032" s="44"/>
      <c r="AC1032" s="44"/>
      <c r="AD1032" s="44"/>
      <c r="AE1032" s="44"/>
      <c r="AF1032" s="44"/>
    </row>
    <row r="1033" spans="1:32" x14ac:dyDescent="0.3">
      <c r="A1033" s="38" t="s">
        <v>274</v>
      </c>
      <c r="B1033" s="38" t="s">
        <v>174</v>
      </c>
      <c r="C1033" s="38" t="s">
        <v>275</v>
      </c>
      <c r="D1033" s="39" t="s">
        <v>180</v>
      </c>
      <c r="E1033" s="39" t="s">
        <v>177</v>
      </c>
      <c r="F1033" s="38" t="s">
        <v>134</v>
      </c>
      <c r="G1033" s="38" t="s">
        <v>130</v>
      </c>
      <c r="H1033" s="44">
        <v>308</v>
      </c>
      <c r="I1033" s="44">
        <v>308</v>
      </c>
      <c r="J1033" s="44"/>
      <c r="K1033" s="44"/>
      <c r="L1033" s="44"/>
      <c r="M1033" s="44"/>
      <c r="N1033" s="44"/>
      <c r="O1033" s="44"/>
      <c r="P1033" s="44"/>
      <c r="Q1033" s="44"/>
      <c r="R1033" s="44"/>
      <c r="S1033" s="44"/>
      <c r="T1033" s="44"/>
      <c r="U1033" s="44"/>
      <c r="V1033" s="44"/>
      <c r="W1033" s="44"/>
      <c r="X1033" s="44"/>
      <c r="Y1033" s="44"/>
      <c r="Z1033" s="44"/>
      <c r="AA1033" s="44"/>
      <c r="AB1033" s="44"/>
      <c r="AC1033" s="44"/>
      <c r="AD1033" s="44"/>
      <c r="AE1033" s="44"/>
      <c r="AF1033" s="44"/>
    </row>
    <row r="1034" spans="1:32" x14ac:dyDescent="0.3">
      <c r="A1034" s="38" t="s">
        <v>274</v>
      </c>
      <c r="B1034" s="38" t="s">
        <v>174</v>
      </c>
      <c r="C1034" s="38" t="s">
        <v>275</v>
      </c>
      <c r="D1034" s="39" t="s">
        <v>180</v>
      </c>
      <c r="E1034" s="39" t="s">
        <v>177</v>
      </c>
      <c r="F1034" s="38" t="s">
        <v>135</v>
      </c>
      <c r="G1034" s="38" t="s">
        <v>130</v>
      </c>
      <c r="H1034" s="44">
        <v>1440</v>
      </c>
      <c r="I1034" s="44">
        <v>1440</v>
      </c>
      <c r="J1034" s="44"/>
      <c r="K1034" s="44"/>
      <c r="L1034" s="44"/>
      <c r="M1034" s="44"/>
      <c r="N1034" s="44"/>
      <c r="O1034" s="44"/>
      <c r="P1034" s="44"/>
      <c r="Q1034" s="44"/>
      <c r="R1034" s="44"/>
      <c r="S1034" s="44"/>
      <c r="T1034" s="44"/>
      <c r="U1034" s="44"/>
      <c r="V1034" s="44"/>
      <c r="W1034" s="44"/>
      <c r="X1034" s="44"/>
      <c r="Y1034" s="44"/>
      <c r="Z1034" s="44"/>
      <c r="AA1034" s="44"/>
      <c r="AB1034" s="44"/>
      <c r="AC1034" s="44"/>
      <c r="AD1034" s="44"/>
      <c r="AE1034" s="44"/>
      <c r="AF1034" s="44"/>
    </row>
    <row r="1035" spans="1:32" x14ac:dyDescent="0.3">
      <c r="A1035" s="38" t="s">
        <v>274</v>
      </c>
      <c r="B1035" s="38" t="s">
        <v>174</v>
      </c>
      <c r="C1035" s="38" t="s">
        <v>275</v>
      </c>
      <c r="D1035" s="39" t="s">
        <v>180</v>
      </c>
      <c r="E1035" s="39" t="s">
        <v>177</v>
      </c>
      <c r="F1035" s="38" t="s">
        <v>136</v>
      </c>
      <c r="G1035" s="38" t="s">
        <v>130</v>
      </c>
      <c r="H1035" s="44">
        <f>SUM(I1035:AF1035)</f>
        <v>19296</v>
      </c>
      <c r="I1035" s="44">
        <f t="shared" ref="I1035:AF1035" si="237">IF(AND(ISBLANK(I1038) = TRUE,ISBLANK(I1037) = TRUE),I1036,I1037+I1038)</f>
        <v>0</v>
      </c>
      <c r="J1035" s="44">
        <f t="shared" si="237"/>
        <v>576</v>
      </c>
      <c r="K1035" s="44">
        <f t="shared" si="237"/>
        <v>1440</v>
      </c>
      <c r="L1035" s="44">
        <f t="shared" si="237"/>
        <v>1440</v>
      </c>
      <c r="M1035" s="44">
        <f t="shared" si="237"/>
        <v>1440</v>
      </c>
      <c r="N1035" s="44">
        <f t="shared" si="237"/>
        <v>1440</v>
      </c>
      <c r="O1035" s="44">
        <f t="shared" si="237"/>
        <v>1440</v>
      </c>
      <c r="P1035" s="44">
        <f t="shared" si="237"/>
        <v>1440</v>
      </c>
      <c r="Q1035" s="44">
        <f t="shared" si="237"/>
        <v>1440</v>
      </c>
      <c r="R1035" s="44">
        <f t="shared" si="237"/>
        <v>1440</v>
      </c>
      <c r="S1035" s="44">
        <f t="shared" si="237"/>
        <v>1440</v>
      </c>
      <c r="T1035" s="44">
        <f t="shared" si="237"/>
        <v>1440</v>
      </c>
      <c r="U1035" s="44">
        <f t="shared" si="237"/>
        <v>1440</v>
      </c>
      <c r="V1035" s="44">
        <f t="shared" si="237"/>
        <v>1440</v>
      </c>
      <c r="W1035" s="44">
        <f t="shared" si="237"/>
        <v>1440</v>
      </c>
      <c r="X1035" s="44">
        <f t="shared" si="237"/>
        <v>0</v>
      </c>
      <c r="Y1035" s="44">
        <f t="shared" si="237"/>
        <v>0</v>
      </c>
      <c r="Z1035" s="44">
        <f t="shared" si="237"/>
        <v>0</v>
      </c>
      <c r="AA1035" s="44">
        <f t="shared" si="237"/>
        <v>0</v>
      </c>
      <c r="AB1035" s="44">
        <f t="shared" si="237"/>
        <v>0</v>
      </c>
      <c r="AC1035" s="44">
        <f t="shared" si="237"/>
        <v>0</v>
      </c>
      <c r="AD1035" s="44">
        <f t="shared" si="237"/>
        <v>0</v>
      </c>
      <c r="AE1035" s="44">
        <f t="shared" si="237"/>
        <v>0</v>
      </c>
      <c r="AF1035" s="44">
        <f t="shared" si="237"/>
        <v>0</v>
      </c>
    </row>
    <row r="1036" spans="1:32" x14ac:dyDescent="0.3">
      <c r="A1036" s="38" t="s">
        <v>274</v>
      </c>
      <c r="B1036" s="38" t="s">
        <v>174</v>
      </c>
      <c r="C1036" s="38" t="s">
        <v>275</v>
      </c>
      <c r="D1036" s="39" t="s">
        <v>180</v>
      </c>
      <c r="E1036" s="39" t="s">
        <v>177</v>
      </c>
      <c r="F1036" s="38" t="s">
        <v>124</v>
      </c>
      <c r="G1036" s="38" t="s">
        <v>130</v>
      </c>
      <c r="H1036" s="44">
        <v>19296</v>
      </c>
      <c r="I1036" s="44"/>
      <c r="J1036" s="44">
        <v>576</v>
      </c>
      <c r="K1036" s="44">
        <v>1440</v>
      </c>
      <c r="L1036" s="44">
        <v>1440</v>
      </c>
      <c r="M1036" s="44">
        <v>1440</v>
      </c>
      <c r="N1036" s="44">
        <v>1440</v>
      </c>
      <c r="O1036" s="44">
        <v>1440</v>
      </c>
      <c r="P1036" s="44">
        <v>1440</v>
      </c>
      <c r="Q1036" s="44">
        <v>1440</v>
      </c>
      <c r="R1036" s="44">
        <v>1440</v>
      </c>
      <c r="S1036" s="44">
        <v>1440</v>
      </c>
      <c r="T1036" s="44">
        <v>1440</v>
      </c>
      <c r="U1036" s="44">
        <v>1440</v>
      </c>
      <c r="V1036" s="44">
        <v>1440</v>
      </c>
      <c r="W1036" s="44">
        <v>1440</v>
      </c>
      <c r="X1036" s="44"/>
      <c r="Y1036" s="44"/>
      <c r="Z1036" s="44"/>
      <c r="AA1036" s="44"/>
      <c r="AB1036" s="44"/>
      <c r="AC1036" s="44"/>
      <c r="AD1036" s="44"/>
      <c r="AE1036" s="44"/>
      <c r="AF1036" s="44"/>
    </row>
    <row r="1037" spans="1:32" x14ac:dyDescent="0.3">
      <c r="A1037" s="38" t="s">
        <v>274</v>
      </c>
      <c r="B1037" s="38" t="s">
        <v>174</v>
      </c>
      <c r="C1037" s="38" t="s">
        <v>275</v>
      </c>
      <c r="D1037" s="39" t="s">
        <v>180</v>
      </c>
      <c r="E1037" s="39" t="s">
        <v>177</v>
      </c>
      <c r="F1037" s="38" t="s">
        <v>137</v>
      </c>
      <c r="G1037" s="38" t="s">
        <v>130</v>
      </c>
      <c r="H1037" s="44">
        <f>SUM(I1037:AF1037)</f>
        <v>0</v>
      </c>
      <c r="I1037" s="44"/>
      <c r="J1037" s="44"/>
      <c r="K1037" s="44"/>
      <c r="L1037" s="44"/>
      <c r="M1037" s="44"/>
      <c r="N1037" s="44"/>
      <c r="O1037" s="44"/>
      <c r="P1037" s="44"/>
      <c r="Q1037" s="44"/>
      <c r="R1037" s="44"/>
      <c r="S1037" s="44"/>
      <c r="T1037" s="44"/>
      <c r="U1037" s="44"/>
      <c r="V1037" s="44"/>
      <c r="W1037" s="44"/>
      <c r="X1037" s="44"/>
      <c r="Y1037" s="44"/>
      <c r="Z1037" s="44"/>
      <c r="AA1037" s="44"/>
      <c r="AB1037" s="44"/>
      <c r="AC1037" s="44"/>
      <c r="AD1037" s="44"/>
      <c r="AE1037" s="44"/>
      <c r="AF1037" s="44"/>
    </row>
    <row r="1038" spans="1:32" x14ac:dyDescent="0.3">
      <c r="A1038" s="38" t="s">
        <v>274</v>
      </c>
      <c r="B1038" s="38" t="s">
        <v>174</v>
      </c>
      <c r="C1038" s="38" t="s">
        <v>275</v>
      </c>
      <c r="D1038" s="39" t="s">
        <v>180</v>
      </c>
      <c r="E1038" s="39" t="s">
        <v>177</v>
      </c>
      <c r="F1038" s="38" t="s">
        <v>138</v>
      </c>
      <c r="G1038" s="38" t="s">
        <v>130</v>
      </c>
      <c r="H1038" s="44">
        <f>SUM(I1038:AF1038)</f>
        <v>0</v>
      </c>
      <c r="I1038" s="44"/>
      <c r="J1038" s="44"/>
      <c r="K1038" s="44"/>
      <c r="L1038" s="44"/>
      <c r="M1038" s="44"/>
      <c r="N1038" s="44"/>
      <c r="O1038" s="44"/>
      <c r="P1038" s="44"/>
      <c r="Q1038" s="44"/>
      <c r="R1038" s="44"/>
      <c r="S1038" s="44"/>
      <c r="T1038" s="44"/>
      <c r="U1038" s="44"/>
      <c r="V1038" s="44"/>
      <c r="W1038" s="44"/>
      <c r="X1038" s="44"/>
      <c r="Y1038" s="44"/>
      <c r="Z1038" s="44"/>
      <c r="AA1038" s="44"/>
      <c r="AB1038" s="44"/>
      <c r="AC1038" s="44"/>
      <c r="AD1038" s="44"/>
      <c r="AE1038" s="44"/>
      <c r="AF1038" s="44"/>
    </row>
    <row r="1039" spans="1:32" x14ac:dyDescent="0.3">
      <c r="A1039" s="38" t="s">
        <v>274</v>
      </c>
      <c r="B1039" s="38" t="s">
        <v>174</v>
      </c>
      <c r="C1039" s="38" t="s">
        <v>275</v>
      </c>
      <c r="D1039" s="39" t="s">
        <v>180</v>
      </c>
      <c r="E1039" s="39" t="s">
        <v>177</v>
      </c>
      <c r="F1039" s="38" t="s">
        <v>139</v>
      </c>
      <c r="G1039" s="38" t="s">
        <v>130</v>
      </c>
      <c r="H1039" s="44">
        <v>19296</v>
      </c>
      <c r="I1039" s="44"/>
      <c r="J1039" s="44">
        <v>576</v>
      </c>
      <c r="K1039" s="44">
        <v>1440</v>
      </c>
      <c r="L1039" s="44">
        <v>1440</v>
      </c>
      <c r="M1039" s="44">
        <v>1440</v>
      </c>
      <c r="N1039" s="44">
        <v>1440</v>
      </c>
      <c r="O1039" s="44">
        <v>1440</v>
      </c>
      <c r="P1039" s="44">
        <v>1440</v>
      </c>
      <c r="Q1039" s="44">
        <v>1440</v>
      </c>
      <c r="R1039" s="44">
        <v>1440</v>
      </c>
      <c r="S1039" s="44">
        <v>1440</v>
      </c>
      <c r="T1039" s="44">
        <v>1440</v>
      </c>
      <c r="U1039" s="44">
        <v>1440</v>
      </c>
      <c r="V1039" s="44">
        <v>1440</v>
      </c>
      <c r="W1039" s="44">
        <v>1440</v>
      </c>
      <c r="X1039" s="44"/>
      <c r="Y1039" s="44"/>
      <c r="Z1039" s="44"/>
      <c r="AA1039" s="44"/>
      <c r="AB1039" s="44"/>
      <c r="AC1039" s="44"/>
      <c r="AD1039" s="44"/>
      <c r="AE1039" s="44"/>
      <c r="AF1039" s="44"/>
    </row>
    <row r="1040" spans="1:32" x14ac:dyDescent="0.3">
      <c r="A1040" s="38" t="s">
        <v>274</v>
      </c>
      <c r="B1040" s="38" t="s">
        <v>174</v>
      </c>
      <c r="C1040" s="38" t="s">
        <v>275</v>
      </c>
      <c r="D1040" s="39" t="s">
        <v>180</v>
      </c>
      <c r="E1040" s="39" t="s">
        <v>177</v>
      </c>
      <c r="F1040" s="38" t="s">
        <v>140</v>
      </c>
      <c r="G1040" s="38" t="s">
        <v>130</v>
      </c>
      <c r="H1040" s="44"/>
      <c r="I1040" s="44">
        <f>I1035-(I1030+I1029)+(I1034+I1033+I1032+I1031)</f>
        <v>7024</v>
      </c>
      <c r="J1040" s="44">
        <f t="shared" ref="J1040:AF1040" si="238">I1040+J1035-J1030</f>
        <v>6305</v>
      </c>
      <c r="K1040" s="44">
        <f t="shared" si="238"/>
        <v>6944</v>
      </c>
      <c r="L1040" s="44">
        <f t="shared" si="238"/>
        <v>7606</v>
      </c>
      <c r="M1040" s="44">
        <f t="shared" si="238"/>
        <v>8021</v>
      </c>
      <c r="N1040" s="44">
        <f t="shared" si="238"/>
        <v>8173</v>
      </c>
      <c r="O1040" s="44">
        <f t="shared" si="238"/>
        <v>8353</v>
      </c>
      <c r="P1040" s="44">
        <f t="shared" si="238"/>
        <v>8536</v>
      </c>
      <c r="Q1040" s="44">
        <f t="shared" si="238"/>
        <v>7986</v>
      </c>
      <c r="R1040" s="44">
        <f t="shared" si="238"/>
        <v>7553</v>
      </c>
      <c r="S1040" s="44">
        <f t="shared" si="238"/>
        <v>7712</v>
      </c>
      <c r="T1040" s="44">
        <f t="shared" si="238"/>
        <v>8119</v>
      </c>
      <c r="U1040" s="44">
        <f t="shared" si="238"/>
        <v>8555</v>
      </c>
      <c r="V1040" s="44">
        <f t="shared" si="238"/>
        <v>4568</v>
      </c>
      <c r="W1040" s="44">
        <f t="shared" si="238"/>
        <v>5411</v>
      </c>
      <c r="X1040" s="44">
        <f t="shared" si="238"/>
        <v>4901</v>
      </c>
      <c r="Y1040" s="44">
        <f t="shared" si="238"/>
        <v>4344</v>
      </c>
      <c r="Z1040" s="44">
        <f t="shared" si="238"/>
        <v>3637</v>
      </c>
      <c r="AA1040" s="44">
        <f t="shared" si="238"/>
        <v>2918</v>
      </c>
      <c r="AB1040" s="44">
        <f t="shared" si="238"/>
        <v>2199</v>
      </c>
      <c r="AC1040" s="44">
        <f t="shared" si="238"/>
        <v>1492</v>
      </c>
      <c r="AD1040" s="44">
        <f t="shared" si="238"/>
        <v>943</v>
      </c>
      <c r="AE1040" s="44">
        <f t="shared" si="238"/>
        <v>476</v>
      </c>
      <c r="AF1040" s="44">
        <f t="shared" si="238"/>
        <v>9</v>
      </c>
    </row>
    <row r="1041" spans="1:32" ht="15" thickBot="1" x14ac:dyDescent="0.35">
      <c r="A1041" s="40" t="s">
        <v>274</v>
      </c>
      <c r="B1041" s="40" t="s">
        <v>174</v>
      </c>
      <c r="C1041" s="40" t="s">
        <v>275</v>
      </c>
      <c r="D1041" s="41" t="s">
        <v>180</v>
      </c>
      <c r="E1041" s="41" t="s">
        <v>177</v>
      </c>
      <c r="F1041" s="40" t="s">
        <v>141</v>
      </c>
      <c r="G1041" s="40" t="s">
        <v>130</v>
      </c>
      <c r="H1041" s="45"/>
      <c r="I1041" s="45">
        <f>I1035-I1039</f>
        <v>0</v>
      </c>
      <c r="J1041" s="45">
        <f t="shared" ref="J1041:AF1041" si="239">I1041+J1035-J1039</f>
        <v>0</v>
      </c>
      <c r="K1041" s="45">
        <f t="shared" si="239"/>
        <v>0</v>
      </c>
      <c r="L1041" s="45">
        <f t="shared" si="239"/>
        <v>0</v>
      </c>
      <c r="M1041" s="45">
        <f t="shared" si="239"/>
        <v>0</v>
      </c>
      <c r="N1041" s="45">
        <f t="shared" si="239"/>
        <v>0</v>
      </c>
      <c r="O1041" s="45">
        <f t="shared" si="239"/>
        <v>0</v>
      </c>
      <c r="P1041" s="45">
        <f t="shared" si="239"/>
        <v>0</v>
      </c>
      <c r="Q1041" s="45">
        <f t="shared" si="239"/>
        <v>0</v>
      </c>
      <c r="R1041" s="45">
        <f t="shared" si="239"/>
        <v>0</v>
      </c>
      <c r="S1041" s="45">
        <f t="shared" si="239"/>
        <v>0</v>
      </c>
      <c r="T1041" s="45">
        <f t="shared" si="239"/>
        <v>0</v>
      </c>
      <c r="U1041" s="45">
        <f t="shared" si="239"/>
        <v>0</v>
      </c>
      <c r="V1041" s="45">
        <f t="shared" si="239"/>
        <v>0</v>
      </c>
      <c r="W1041" s="45">
        <f t="shared" si="239"/>
        <v>0</v>
      </c>
      <c r="X1041" s="45">
        <f t="shared" si="239"/>
        <v>0</v>
      </c>
      <c r="Y1041" s="45">
        <f t="shared" si="239"/>
        <v>0</v>
      </c>
      <c r="Z1041" s="45">
        <f t="shared" si="239"/>
        <v>0</v>
      </c>
      <c r="AA1041" s="45">
        <f t="shared" si="239"/>
        <v>0</v>
      </c>
      <c r="AB1041" s="45">
        <f t="shared" si="239"/>
        <v>0</v>
      </c>
      <c r="AC1041" s="45">
        <f t="shared" si="239"/>
        <v>0</v>
      </c>
      <c r="AD1041" s="45">
        <f t="shared" si="239"/>
        <v>0</v>
      </c>
      <c r="AE1041" s="45">
        <f t="shared" si="239"/>
        <v>0</v>
      </c>
      <c r="AF1041" s="45">
        <f t="shared" si="239"/>
        <v>0</v>
      </c>
    </row>
    <row r="1042" spans="1:32" x14ac:dyDescent="0.3">
      <c r="A1042" s="38" t="s">
        <v>276</v>
      </c>
      <c r="B1042" s="38" t="s">
        <v>174</v>
      </c>
      <c r="C1042" s="38" t="s">
        <v>277</v>
      </c>
      <c r="D1042" s="39" t="s">
        <v>180</v>
      </c>
      <c r="E1042" s="39" t="s">
        <v>177</v>
      </c>
      <c r="F1042" s="38" t="s">
        <v>129</v>
      </c>
      <c r="G1042" s="38" t="s">
        <v>130</v>
      </c>
      <c r="H1042" s="44">
        <v>287</v>
      </c>
      <c r="I1042" s="44">
        <v>287</v>
      </c>
      <c r="J1042" s="44"/>
      <c r="K1042" s="44"/>
      <c r="L1042" s="44"/>
      <c r="M1042" s="44"/>
      <c r="N1042" s="44"/>
      <c r="O1042" s="44"/>
      <c r="P1042" s="44"/>
      <c r="Q1042" s="44"/>
      <c r="R1042" s="44"/>
      <c r="S1042" s="44"/>
      <c r="T1042" s="44"/>
      <c r="U1042" s="44"/>
      <c r="V1042" s="44"/>
      <c r="W1042" s="44"/>
      <c r="X1042" s="44"/>
      <c r="Y1042" s="44"/>
      <c r="Z1042" s="44"/>
      <c r="AA1042" s="44"/>
      <c r="AB1042" s="44"/>
      <c r="AC1042" s="44"/>
      <c r="AD1042" s="44"/>
      <c r="AE1042" s="44"/>
      <c r="AF1042" s="44"/>
    </row>
    <row r="1043" spans="1:32" x14ac:dyDescent="0.3">
      <c r="A1043" s="38" t="s">
        <v>276</v>
      </c>
      <c r="B1043" s="38" t="s">
        <v>174</v>
      </c>
      <c r="C1043" s="38" t="s">
        <v>277</v>
      </c>
      <c r="D1043" s="39" t="s">
        <v>180</v>
      </c>
      <c r="E1043" s="39" t="s">
        <v>177</v>
      </c>
      <c r="F1043" s="38" t="s">
        <v>131</v>
      </c>
      <c r="G1043" s="38" t="s">
        <v>130</v>
      </c>
      <c r="H1043" s="44">
        <v>5867</v>
      </c>
      <c r="I1043" s="44">
        <v>208</v>
      </c>
      <c r="J1043" s="44">
        <v>422</v>
      </c>
      <c r="K1043" s="44">
        <v>78</v>
      </c>
      <c r="L1043" s="44">
        <v>126</v>
      </c>
      <c r="M1043" s="44">
        <v>121</v>
      </c>
      <c r="N1043" s="44">
        <v>489</v>
      </c>
      <c r="O1043" s="44">
        <v>504</v>
      </c>
      <c r="P1043" s="44">
        <v>390</v>
      </c>
      <c r="Q1043" s="44">
        <v>449</v>
      </c>
      <c r="R1043" s="44">
        <v>494</v>
      </c>
      <c r="S1043" s="44">
        <v>408</v>
      </c>
      <c r="T1043" s="44">
        <v>470</v>
      </c>
      <c r="U1043" s="44">
        <v>374</v>
      </c>
      <c r="V1043" s="44">
        <v>229</v>
      </c>
      <c r="W1043" s="44">
        <v>123</v>
      </c>
      <c r="X1043" s="44">
        <v>128</v>
      </c>
      <c r="Y1043" s="44">
        <v>123</v>
      </c>
      <c r="Z1043" s="44">
        <v>128</v>
      </c>
      <c r="AA1043" s="44">
        <v>104</v>
      </c>
      <c r="AB1043" s="44">
        <v>109</v>
      </c>
      <c r="AC1043" s="44">
        <v>104</v>
      </c>
      <c r="AD1043" s="44">
        <v>109</v>
      </c>
      <c r="AE1043" s="44">
        <v>86</v>
      </c>
      <c r="AF1043" s="44">
        <v>91</v>
      </c>
    </row>
    <row r="1044" spans="1:32" x14ac:dyDescent="0.3">
      <c r="A1044" s="38" t="s">
        <v>276</v>
      </c>
      <c r="B1044" s="38" t="s">
        <v>174</v>
      </c>
      <c r="C1044" s="38" t="s">
        <v>277</v>
      </c>
      <c r="D1044" s="39" t="s">
        <v>180</v>
      </c>
      <c r="E1044" s="39" t="s">
        <v>177</v>
      </c>
      <c r="F1044" s="38" t="s">
        <v>132</v>
      </c>
      <c r="G1044" s="38" t="s">
        <v>130</v>
      </c>
      <c r="H1044" s="44"/>
      <c r="I1044" s="44"/>
      <c r="J1044" s="44"/>
      <c r="K1044" s="44"/>
      <c r="L1044" s="44"/>
      <c r="M1044" s="44"/>
      <c r="N1044" s="44"/>
      <c r="O1044" s="44"/>
      <c r="P1044" s="44"/>
      <c r="Q1044" s="44"/>
      <c r="R1044" s="44"/>
      <c r="S1044" s="44"/>
      <c r="T1044" s="44"/>
      <c r="U1044" s="44"/>
      <c r="V1044" s="44"/>
      <c r="W1044" s="44"/>
      <c r="X1044" s="44"/>
      <c r="Y1044" s="44"/>
      <c r="Z1044" s="44"/>
      <c r="AA1044" s="44"/>
      <c r="AB1044" s="44"/>
      <c r="AC1044" s="44"/>
      <c r="AD1044" s="44"/>
      <c r="AE1044" s="44"/>
      <c r="AF1044" s="44"/>
    </row>
    <row r="1045" spans="1:32" x14ac:dyDescent="0.3">
      <c r="A1045" s="38" t="s">
        <v>276</v>
      </c>
      <c r="B1045" s="38" t="s">
        <v>174</v>
      </c>
      <c r="C1045" s="38" t="s">
        <v>277</v>
      </c>
      <c r="D1045" s="39" t="s">
        <v>180</v>
      </c>
      <c r="E1045" s="39" t="s">
        <v>177</v>
      </c>
      <c r="F1045" s="38" t="s">
        <v>133</v>
      </c>
      <c r="G1045" s="38" t="s">
        <v>130</v>
      </c>
      <c r="H1045" s="44"/>
      <c r="I1045" s="44"/>
      <c r="J1045" s="44"/>
      <c r="K1045" s="44"/>
      <c r="L1045" s="44"/>
      <c r="M1045" s="44"/>
      <c r="N1045" s="44"/>
      <c r="O1045" s="44"/>
      <c r="P1045" s="44"/>
      <c r="Q1045" s="44"/>
      <c r="R1045" s="44"/>
      <c r="S1045" s="44"/>
      <c r="T1045" s="44"/>
      <c r="U1045" s="44"/>
      <c r="V1045" s="44"/>
      <c r="W1045" s="44"/>
      <c r="X1045" s="44"/>
      <c r="Y1045" s="44"/>
      <c r="Z1045" s="44"/>
      <c r="AA1045" s="44"/>
      <c r="AB1045" s="44"/>
      <c r="AC1045" s="44"/>
      <c r="AD1045" s="44"/>
      <c r="AE1045" s="44"/>
      <c r="AF1045" s="44"/>
    </row>
    <row r="1046" spans="1:32" x14ac:dyDescent="0.3">
      <c r="A1046" s="38" t="s">
        <v>276</v>
      </c>
      <c r="B1046" s="38" t="s">
        <v>174</v>
      </c>
      <c r="C1046" s="38" t="s">
        <v>277</v>
      </c>
      <c r="D1046" s="39" t="s">
        <v>180</v>
      </c>
      <c r="E1046" s="39" t="s">
        <v>177</v>
      </c>
      <c r="F1046" s="38" t="s">
        <v>134</v>
      </c>
      <c r="G1046" s="38" t="s">
        <v>130</v>
      </c>
      <c r="H1046" s="44"/>
      <c r="I1046" s="44"/>
      <c r="J1046" s="44"/>
      <c r="K1046" s="44"/>
      <c r="L1046" s="44"/>
      <c r="M1046" s="44"/>
      <c r="N1046" s="44"/>
      <c r="O1046" s="44"/>
      <c r="P1046" s="44"/>
      <c r="Q1046" s="44"/>
      <c r="R1046" s="44"/>
      <c r="S1046" s="44"/>
      <c r="T1046" s="44"/>
      <c r="U1046" s="44"/>
      <c r="V1046" s="44"/>
      <c r="W1046" s="44"/>
      <c r="X1046" s="44"/>
      <c r="Y1046" s="44"/>
      <c r="Z1046" s="44"/>
      <c r="AA1046" s="44"/>
      <c r="AB1046" s="44"/>
      <c r="AC1046" s="44"/>
      <c r="AD1046" s="44"/>
      <c r="AE1046" s="44"/>
      <c r="AF1046" s="44"/>
    </row>
    <row r="1047" spans="1:32" x14ac:dyDescent="0.3">
      <c r="A1047" s="38" t="s">
        <v>276</v>
      </c>
      <c r="B1047" s="38" t="s">
        <v>174</v>
      </c>
      <c r="C1047" s="38" t="s">
        <v>277</v>
      </c>
      <c r="D1047" s="39" t="s">
        <v>180</v>
      </c>
      <c r="E1047" s="39" t="s">
        <v>177</v>
      </c>
      <c r="F1047" s="38" t="s">
        <v>135</v>
      </c>
      <c r="G1047" s="38" t="s">
        <v>130</v>
      </c>
      <c r="H1047" s="44"/>
      <c r="I1047" s="44"/>
      <c r="J1047" s="44"/>
      <c r="K1047" s="44"/>
      <c r="L1047" s="44"/>
      <c r="M1047" s="44"/>
      <c r="N1047" s="44"/>
      <c r="O1047" s="44"/>
      <c r="P1047" s="44"/>
      <c r="Q1047" s="44"/>
      <c r="R1047" s="44"/>
      <c r="S1047" s="44"/>
      <c r="T1047" s="44"/>
      <c r="U1047" s="44"/>
      <c r="V1047" s="44"/>
      <c r="W1047" s="44"/>
      <c r="X1047" s="44"/>
      <c r="Y1047" s="44"/>
      <c r="Z1047" s="44"/>
      <c r="AA1047" s="44"/>
      <c r="AB1047" s="44"/>
      <c r="AC1047" s="44"/>
      <c r="AD1047" s="44"/>
      <c r="AE1047" s="44"/>
      <c r="AF1047" s="44"/>
    </row>
    <row r="1048" spans="1:32" x14ac:dyDescent="0.3">
      <c r="A1048" s="38" t="s">
        <v>276</v>
      </c>
      <c r="B1048" s="38" t="s">
        <v>174</v>
      </c>
      <c r="C1048" s="38" t="s">
        <v>277</v>
      </c>
      <c r="D1048" s="39" t="s">
        <v>180</v>
      </c>
      <c r="E1048" s="39" t="s">
        <v>177</v>
      </c>
      <c r="F1048" s="38" t="s">
        <v>136</v>
      </c>
      <c r="G1048" s="38" t="s">
        <v>130</v>
      </c>
      <c r="H1048" s="44">
        <f>SUM(I1048:AF1048)</f>
        <v>0</v>
      </c>
      <c r="I1048" s="44">
        <f t="shared" ref="I1048:AF1048" si="240">IF(AND(ISBLANK(I1051) = TRUE,ISBLANK(I1050) = TRUE),I1049,I1050+I1051)</f>
        <v>0</v>
      </c>
      <c r="J1048" s="44">
        <f t="shared" si="240"/>
        <v>0</v>
      </c>
      <c r="K1048" s="44">
        <f t="shared" si="240"/>
        <v>0</v>
      </c>
      <c r="L1048" s="44">
        <f t="shared" si="240"/>
        <v>0</v>
      </c>
      <c r="M1048" s="44">
        <f t="shared" si="240"/>
        <v>0</v>
      </c>
      <c r="N1048" s="44">
        <f t="shared" si="240"/>
        <v>0</v>
      </c>
      <c r="O1048" s="44">
        <f t="shared" si="240"/>
        <v>0</v>
      </c>
      <c r="P1048" s="44">
        <f t="shared" si="240"/>
        <v>0</v>
      </c>
      <c r="Q1048" s="44">
        <f t="shared" si="240"/>
        <v>0</v>
      </c>
      <c r="R1048" s="44">
        <f t="shared" si="240"/>
        <v>0</v>
      </c>
      <c r="S1048" s="44">
        <f t="shared" si="240"/>
        <v>0</v>
      </c>
      <c r="T1048" s="44">
        <f t="shared" si="240"/>
        <v>0</v>
      </c>
      <c r="U1048" s="44">
        <f t="shared" si="240"/>
        <v>0</v>
      </c>
      <c r="V1048" s="44">
        <f t="shared" si="240"/>
        <v>0</v>
      </c>
      <c r="W1048" s="44">
        <f t="shared" si="240"/>
        <v>0</v>
      </c>
      <c r="X1048" s="44">
        <f t="shared" si="240"/>
        <v>0</v>
      </c>
      <c r="Y1048" s="44">
        <f t="shared" si="240"/>
        <v>0</v>
      </c>
      <c r="Z1048" s="44">
        <f t="shared" si="240"/>
        <v>0</v>
      </c>
      <c r="AA1048" s="44">
        <f t="shared" si="240"/>
        <v>0</v>
      </c>
      <c r="AB1048" s="44">
        <f t="shared" si="240"/>
        <v>0</v>
      </c>
      <c r="AC1048" s="44">
        <f t="shared" si="240"/>
        <v>0</v>
      </c>
      <c r="AD1048" s="44">
        <f t="shared" si="240"/>
        <v>0</v>
      </c>
      <c r="AE1048" s="44">
        <f t="shared" si="240"/>
        <v>0</v>
      </c>
      <c r="AF1048" s="44">
        <f t="shared" si="240"/>
        <v>0</v>
      </c>
    </row>
    <row r="1049" spans="1:32" x14ac:dyDescent="0.3">
      <c r="A1049" s="38" t="s">
        <v>276</v>
      </c>
      <c r="B1049" s="38" t="s">
        <v>174</v>
      </c>
      <c r="C1049" s="38" t="s">
        <v>277</v>
      </c>
      <c r="D1049" s="39" t="s">
        <v>180</v>
      </c>
      <c r="E1049" s="39" t="s">
        <v>177</v>
      </c>
      <c r="F1049" s="38" t="s">
        <v>124</v>
      </c>
      <c r="G1049" s="38" t="s">
        <v>130</v>
      </c>
      <c r="H1049" s="44"/>
      <c r="I1049" s="44"/>
      <c r="J1049" s="44"/>
      <c r="K1049" s="44"/>
      <c r="L1049" s="44"/>
      <c r="M1049" s="44"/>
      <c r="N1049" s="44"/>
      <c r="O1049" s="44"/>
      <c r="P1049" s="44"/>
      <c r="Q1049" s="44"/>
      <c r="R1049" s="44"/>
      <c r="S1049" s="44"/>
      <c r="T1049" s="44"/>
      <c r="U1049" s="44"/>
      <c r="V1049" s="44"/>
      <c r="W1049" s="44"/>
      <c r="X1049" s="44"/>
      <c r="Y1049" s="44"/>
      <c r="Z1049" s="44"/>
      <c r="AA1049" s="44"/>
      <c r="AB1049" s="44"/>
      <c r="AC1049" s="44"/>
      <c r="AD1049" s="44"/>
      <c r="AE1049" s="44"/>
      <c r="AF1049" s="44"/>
    </row>
    <row r="1050" spans="1:32" x14ac:dyDescent="0.3">
      <c r="A1050" s="38" t="s">
        <v>276</v>
      </c>
      <c r="B1050" s="38" t="s">
        <v>174</v>
      </c>
      <c r="C1050" s="38" t="s">
        <v>277</v>
      </c>
      <c r="D1050" s="39" t="s">
        <v>180</v>
      </c>
      <c r="E1050" s="39" t="s">
        <v>177</v>
      </c>
      <c r="F1050" s="38" t="s">
        <v>137</v>
      </c>
      <c r="G1050" s="38" t="s">
        <v>130</v>
      </c>
      <c r="H1050" s="44">
        <f>SUM(I1050:AF1050)</f>
        <v>0</v>
      </c>
      <c r="I1050" s="44"/>
      <c r="J1050" s="44"/>
      <c r="K1050" s="44"/>
      <c r="L1050" s="44"/>
      <c r="M1050" s="44"/>
      <c r="N1050" s="44"/>
      <c r="O1050" s="44"/>
      <c r="P1050" s="44"/>
      <c r="Q1050" s="44"/>
      <c r="R1050" s="44"/>
      <c r="S1050" s="44"/>
      <c r="T1050" s="44"/>
      <c r="U1050" s="44"/>
      <c r="V1050" s="44"/>
      <c r="W1050" s="44"/>
      <c r="X1050" s="44"/>
      <c r="Y1050" s="44"/>
      <c r="Z1050" s="44"/>
      <c r="AA1050" s="44"/>
      <c r="AB1050" s="44"/>
      <c r="AC1050" s="44"/>
      <c r="AD1050" s="44"/>
      <c r="AE1050" s="44"/>
      <c r="AF1050" s="44"/>
    </row>
    <row r="1051" spans="1:32" x14ac:dyDescent="0.3">
      <c r="A1051" s="38" t="s">
        <v>276</v>
      </c>
      <c r="B1051" s="38" t="s">
        <v>174</v>
      </c>
      <c r="C1051" s="38" t="s">
        <v>277</v>
      </c>
      <c r="D1051" s="39" t="s">
        <v>180</v>
      </c>
      <c r="E1051" s="39" t="s">
        <v>177</v>
      </c>
      <c r="F1051" s="38" t="s">
        <v>138</v>
      </c>
      <c r="G1051" s="38" t="s">
        <v>130</v>
      </c>
      <c r="H1051" s="44">
        <f>SUM(I1051:AF1051)</f>
        <v>0</v>
      </c>
      <c r="I1051" s="44"/>
      <c r="J1051" s="44"/>
      <c r="K1051" s="44"/>
      <c r="L1051" s="44"/>
      <c r="M1051" s="44"/>
      <c r="N1051" s="44"/>
      <c r="O1051" s="44"/>
      <c r="P1051" s="44"/>
      <c r="Q1051" s="44"/>
      <c r="R1051" s="44"/>
      <c r="S1051" s="44"/>
      <c r="T1051" s="44"/>
      <c r="U1051" s="44"/>
      <c r="V1051" s="44"/>
      <c r="W1051" s="44"/>
      <c r="X1051" s="44"/>
      <c r="Y1051" s="44"/>
      <c r="Z1051" s="44"/>
      <c r="AA1051" s="44"/>
      <c r="AB1051" s="44"/>
      <c r="AC1051" s="44"/>
      <c r="AD1051" s="44"/>
      <c r="AE1051" s="44"/>
      <c r="AF1051" s="44"/>
    </row>
    <row r="1052" spans="1:32" x14ac:dyDescent="0.3">
      <c r="A1052" s="38" t="s">
        <v>276</v>
      </c>
      <c r="B1052" s="38" t="s">
        <v>174</v>
      </c>
      <c r="C1052" s="38" t="s">
        <v>277</v>
      </c>
      <c r="D1052" s="39" t="s">
        <v>180</v>
      </c>
      <c r="E1052" s="39" t="s">
        <v>177</v>
      </c>
      <c r="F1052" s="38" t="s">
        <v>139</v>
      </c>
      <c r="G1052" s="38" t="s">
        <v>130</v>
      </c>
      <c r="H1052" s="44"/>
      <c r="I1052" s="44"/>
      <c r="J1052" s="44"/>
      <c r="K1052" s="44"/>
      <c r="L1052" s="44"/>
      <c r="M1052" s="44"/>
      <c r="N1052" s="44"/>
      <c r="O1052" s="44"/>
      <c r="P1052" s="44"/>
      <c r="Q1052" s="44"/>
      <c r="R1052" s="44"/>
      <c r="S1052" s="44"/>
      <c r="T1052" s="44"/>
      <c r="U1052" s="44"/>
      <c r="V1052" s="44"/>
      <c r="W1052" s="44"/>
      <c r="X1052" s="44"/>
      <c r="Y1052" s="44"/>
      <c r="Z1052" s="44"/>
      <c r="AA1052" s="44"/>
      <c r="AB1052" s="44"/>
      <c r="AC1052" s="44"/>
      <c r="AD1052" s="44"/>
      <c r="AE1052" s="44"/>
      <c r="AF1052" s="44"/>
    </row>
    <row r="1053" spans="1:32" x14ac:dyDescent="0.3">
      <c r="A1053" s="38" t="s">
        <v>276</v>
      </c>
      <c r="B1053" s="38" t="s">
        <v>174</v>
      </c>
      <c r="C1053" s="38" t="s">
        <v>277</v>
      </c>
      <c r="D1053" s="39" t="s">
        <v>180</v>
      </c>
      <c r="E1053" s="39" t="s">
        <v>177</v>
      </c>
      <c r="F1053" s="38" t="s">
        <v>140</v>
      </c>
      <c r="G1053" s="38" t="s">
        <v>130</v>
      </c>
      <c r="H1053" s="44"/>
      <c r="I1053" s="44">
        <f>I1048-(I1043+I1042)+(I1047+I1046+I1045+I1044)</f>
        <v>-495</v>
      </c>
      <c r="J1053" s="44">
        <f t="shared" ref="J1053:AF1053" si="241">I1053+J1048-J1043</f>
        <v>-917</v>
      </c>
      <c r="K1053" s="44">
        <f t="shared" si="241"/>
        <v>-995</v>
      </c>
      <c r="L1053" s="44">
        <f t="shared" si="241"/>
        <v>-1121</v>
      </c>
      <c r="M1053" s="44">
        <f t="shared" si="241"/>
        <v>-1242</v>
      </c>
      <c r="N1053" s="44">
        <f t="shared" si="241"/>
        <v>-1731</v>
      </c>
      <c r="O1053" s="44">
        <f t="shared" si="241"/>
        <v>-2235</v>
      </c>
      <c r="P1053" s="44">
        <f t="shared" si="241"/>
        <v>-2625</v>
      </c>
      <c r="Q1053" s="44">
        <f t="shared" si="241"/>
        <v>-3074</v>
      </c>
      <c r="R1053" s="44">
        <f t="shared" si="241"/>
        <v>-3568</v>
      </c>
      <c r="S1053" s="44">
        <f t="shared" si="241"/>
        <v>-3976</v>
      </c>
      <c r="T1053" s="44">
        <f t="shared" si="241"/>
        <v>-4446</v>
      </c>
      <c r="U1053" s="44">
        <f t="shared" si="241"/>
        <v>-4820</v>
      </c>
      <c r="V1053" s="44">
        <f t="shared" si="241"/>
        <v>-5049</v>
      </c>
      <c r="W1053" s="44">
        <f t="shared" si="241"/>
        <v>-5172</v>
      </c>
      <c r="X1053" s="44">
        <f t="shared" si="241"/>
        <v>-5300</v>
      </c>
      <c r="Y1053" s="44">
        <f t="shared" si="241"/>
        <v>-5423</v>
      </c>
      <c r="Z1053" s="44">
        <f t="shared" si="241"/>
        <v>-5551</v>
      </c>
      <c r="AA1053" s="44">
        <f t="shared" si="241"/>
        <v>-5655</v>
      </c>
      <c r="AB1053" s="44">
        <f t="shared" si="241"/>
        <v>-5764</v>
      </c>
      <c r="AC1053" s="44">
        <f t="shared" si="241"/>
        <v>-5868</v>
      </c>
      <c r="AD1053" s="44">
        <f t="shared" si="241"/>
        <v>-5977</v>
      </c>
      <c r="AE1053" s="44">
        <f t="shared" si="241"/>
        <v>-6063</v>
      </c>
      <c r="AF1053" s="44">
        <f t="shared" si="241"/>
        <v>-6154</v>
      </c>
    </row>
    <row r="1054" spans="1:32" ht="15" thickBot="1" x14ac:dyDescent="0.35">
      <c r="A1054" s="40" t="s">
        <v>276</v>
      </c>
      <c r="B1054" s="40" t="s">
        <v>174</v>
      </c>
      <c r="C1054" s="40" t="s">
        <v>277</v>
      </c>
      <c r="D1054" s="41" t="s">
        <v>180</v>
      </c>
      <c r="E1054" s="41" t="s">
        <v>177</v>
      </c>
      <c r="F1054" s="40" t="s">
        <v>141</v>
      </c>
      <c r="G1054" s="40" t="s">
        <v>130</v>
      </c>
      <c r="H1054" s="45"/>
      <c r="I1054" s="45">
        <f>I1048-I1052</f>
        <v>0</v>
      </c>
      <c r="J1054" s="45">
        <f t="shared" ref="J1054:AF1054" si="242">I1054+J1048-J1052</f>
        <v>0</v>
      </c>
      <c r="K1054" s="45">
        <f t="shared" si="242"/>
        <v>0</v>
      </c>
      <c r="L1054" s="45">
        <f t="shared" si="242"/>
        <v>0</v>
      </c>
      <c r="M1054" s="45">
        <f t="shared" si="242"/>
        <v>0</v>
      </c>
      <c r="N1054" s="45">
        <f t="shared" si="242"/>
        <v>0</v>
      </c>
      <c r="O1054" s="45">
        <f t="shared" si="242"/>
        <v>0</v>
      </c>
      <c r="P1054" s="45">
        <f t="shared" si="242"/>
        <v>0</v>
      </c>
      <c r="Q1054" s="45">
        <f t="shared" si="242"/>
        <v>0</v>
      </c>
      <c r="R1054" s="45">
        <f t="shared" si="242"/>
        <v>0</v>
      </c>
      <c r="S1054" s="45">
        <f t="shared" si="242"/>
        <v>0</v>
      </c>
      <c r="T1054" s="45">
        <f t="shared" si="242"/>
        <v>0</v>
      </c>
      <c r="U1054" s="45">
        <f t="shared" si="242"/>
        <v>0</v>
      </c>
      <c r="V1054" s="45">
        <f t="shared" si="242"/>
        <v>0</v>
      </c>
      <c r="W1054" s="45">
        <f t="shared" si="242"/>
        <v>0</v>
      </c>
      <c r="X1054" s="45">
        <f t="shared" si="242"/>
        <v>0</v>
      </c>
      <c r="Y1054" s="45">
        <f t="shared" si="242"/>
        <v>0</v>
      </c>
      <c r="Z1054" s="45">
        <f t="shared" si="242"/>
        <v>0</v>
      </c>
      <c r="AA1054" s="45">
        <f t="shared" si="242"/>
        <v>0</v>
      </c>
      <c r="AB1054" s="45">
        <f t="shared" si="242"/>
        <v>0</v>
      </c>
      <c r="AC1054" s="45">
        <f t="shared" si="242"/>
        <v>0</v>
      </c>
      <c r="AD1054" s="45">
        <f t="shared" si="242"/>
        <v>0</v>
      </c>
      <c r="AE1054" s="45">
        <f t="shared" si="242"/>
        <v>0</v>
      </c>
      <c r="AF1054" s="45">
        <f t="shared" si="242"/>
        <v>0</v>
      </c>
    </row>
    <row r="1055" spans="1:32" x14ac:dyDescent="0.3">
      <c r="A1055" s="38" t="s">
        <v>278</v>
      </c>
      <c r="B1055" s="38" t="s">
        <v>174</v>
      </c>
      <c r="C1055" s="38" t="s">
        <v>279</v>
      </c>
      <c r="D1055" s="39" t="s">
        <v>198</v>
      </c>
      <c r="E1055" s="39" t="s">
        <v>195</v>
      </c>
      <c r="F1055" s="38" t="s">
        <v>129</v>
      </c>
      <c r="G1055" s="38" t="s">
        <v>130</v>
      </c>
      <c r="H1055" s="44">
        <v>2894</v>
      </c>
      <c r="I1055" s="44">
        <v>2894</v>
      </c>
      <c r="J1055" s="44"/>
      <c r="K1055" s="44"/>
      <c r="L1055" s="44"/>
      <c r="M1055" s="44"/>
      <c r="N1055" s="44"/>
      <c r="O1055" s="44"/>
      <c r="P1055" s="44"/>
      <c r="Q1055" s="44"/>
      <c r="R1055" s="44"/>
      <c r="S1055" s="44"/>
      <c r="T1055" s="44"/>
      <c r="U1055" s="44"/>
      <c r="V1055" s="44"/>
      <c r="W1055" s="44"/>
      <c r="X1055" s="44"/>
      <c r="Y1055" s="44"/>
      <c r="Z1055" s="44"/>
      <c r="AA1055" s="44"/>
      <c r="AB1055" s="44"/>
      <c r="AC1055" s="44"/>
      <c r="AD1055" s="44"/>
      <c r="AE1055" s="44"/>
      <c r="AF1055" s="44"/>
    </row>
    <row r="1056" spans="1:32" x14ac:dyDescent="0.3">
      <c r="A1056" s="38" t="s">
        <v>278</v>
      </c>
      <c r="B1056" s="38" t="s">
        <v>174</v>
      </c>
      <c r="C1056" s="38" t="s">
        <v>279</v>
      </c>
      <c r="D1056" s="39" t="s">
        <v>198</v>
      </c>
      <c r="E1056" s="39" t="s">
        <v>195</v>
      </c>
      <c r="F1056" s="38" t="s">
        <v>131</v>
      </c>
      <c r="G1056" s="38" t="s">
        <v>130</v>
      </c>
      <c r="H1056" s="44">
        <v>136387</v>
      </c>
      <c r="I1056" s="44">
        <v>4805</v>
      </c>
      <c r="J1056" s="44">
        <v>3788</v>
      </c>
      <c r="K1056" s="44">
        <v>4769</v>
      </c>
      <c r="L1056" s="44">
        <v>27183</v>
      </c>
      <c r="M1056" s="44">
        <v>14961</v>
      </c>
      <c r="N1056" s="44">
        <v>5552</v>
      </c>
      <c r="O1056" s="44">
        <v>4492</v>
      </c>
      <c r="P1056" s="44">
        <v>5420</v>
      </c>
      <c r="Q1056" s="44">
        <v>6989</v>
      </c>
      <c r="R1056" s="44">
        <v>8850</v>
      </c>
      <c r="S1056" s="44">
        <v>5937</v>
      </c>
      <c r="T1056" s="44">
        <v>5939</v>
      </c>
      <c r="U1056" s="44">
        <v>5372</v>
      </c>
      <c r="V1056" s="44">
        <v>3728</v>
      </c>
      <c r="W1056" s="44">
        <v>3632</v>
      </c>
      <c r="X1056" s="44">
        <v>3631</v>
      </c>
      <c r="Y1056" s="44">
        <v>3623</v>
      </c>
      <c r="Z1056" s="44">
        <v>2851</v>
      </c>
      <c r="AA1056" s="44">
        <v>3641</v>
      </c>
      <c r="AB1056" s="44">
        <v>3487</v>
      </c>
      <c r="AC1056" s="44">
        <v>3246</v>
      </c>
      <c r="AD1056" s="44">
        <v>3163</v>
      </c>
      <c r="AE1056" s="44">
        <v>614</v>
      </c>
      <c r="AF1056" s="44">
        <v>714</v>
      </c>
    </row>
    <row r="1057" spans="1:32" x14ac:dyDescent="0.3">
      <c r="A1057" s="38" t="s">
        <v>278</v>
      </c>
      <c r="B1057" s="38" t="s">
        <v>174</v>
      </c>
      <c r="C1057" s="38" t="s">
        <v>279</v>
      </c>
      <c r="D1057" s="39" t="s">
        <v>198</v>
      </c>
      <c r="E1057" s="39" t="s">
        <v>195</v>
      </c>
      <c r="F1057" s="38" t="s">
        <v>132</v>
      </c>
      <c r="G1057" s="38" t="s">
        <v>130</v>
      </c>
      <c r="H1057" s="44">
        <v>134100</v>
      </c>
      <c r="I1057" s="44">
        <v>134100</v>
      </c>
      <c r="J1057" s="44"/>
      <c r="K1057" s="44"/>
      <c r="L1057" s="44"/>
      <c r="M1057" s="44"/>
      <c r="N1057" s="44"/>
      <c r="O1057" s="44"/>
      <c r="P1057" s="44"/>
      <c r="Q1057" s="44"/>
      <c r="R1057" s="44"/>
      <c r="S1057" s="44"/>
      <c r="T1057" s="44"/>
      <c r="U1057" s="44"/>
      <c r="V1057" s="44"/>
      <c r="W1057" s="44"/>
      <c r="X1057" s="44"/>
      <c r="Y1057" s="44"/>
      <c r="Z1057" s="44"/>
      <c r="AA1057" s="44"/>
      <c r="AB1057" s="44"/>
      <c r="AC1057" s="44"/>
      <c r="AD1057" s="44"/>
      <c r="AE1057" s="44"/>
      <c r="AF1057" s="44"/>
    </row>
    <row r="1058" spans="1:32" x14ac:dyDescent="0.3">
      <c r="A1058" s="38" t="s">
        <v>278</v>
      </c>
      <c r="B1058" s="38" t="s">
        <v>174</v>
      </c>
      <c r="C1058" s="38" t="s">
        <v>279</v>
      </c>
      <c r="D1058" s="39" t="s">
        <v>198</v>
      </c>
      <c r="E1058" s="39" t="s">
        <v>195</v>
      </c>
      <c r="F1058" s="38" t="s">
        <v>133</v>
      </c>
      <c r="G1058" s="38" t="s">
        <v>130</v>
      </c>
      <c r="H1058" s="44">
        <v>0</v>
      </c>
      <c r="I1058" s="44">
        <v>0</v>
      </c>
      <c r="J1058" s="44"/>
      <c r="K1058" s="44"/>
      <c r="L1058" s="44"/>
      <c r="M1058" s="44"/>
      <c r="N1058" s="44"/>
      <c r="O1058" s="44"/>
      <c r="P1058" s="44"/>
      <c r="Q1058" s="44"/>
      <c r="R1058" s="44"/>
      <c r="S1058" s="44"/>
      <c r="T1058" s="44"/>
      <c r="U1058" s="44"/>
      <c r="V1058" s="44"/>
      <c r="W1058" s="44"/>
      <c r="X1058" s="44"/>
      <c r="Y1058" s="44"/>
      <c r="Z1058" s="44"/>
      <c r="AA1058" s="44"/>
      <c r="AB1058" s="44"/>
      <c r="AC1058" s="44"/>
      <c r="AD1058" s="44"/>
      <c r="AE1058" s="44"/>
      <c r="AF1058" s="44"/>
    </row>
    <row r="1059" spans="1:32" x14ac:dyDescent="0.3">
      <c r="A1059" s="38" t="s">
        <v>278</v>
      </c>
      <c r="B1059" s="38" t="s">
        <v>174</v>
      </c>
      <c r="C1059" s="38" t="s">
        <v>279</v>
      </c>
      <c r="D1059" s="39" t="s">
        <v>198</v>
      </c>
      <c r="E1059" s="39" t="s">
        <v>195</v>
      </c>
      <c r="F1059" s="38" t="s">
        <v>134</v>
      </c>
      <c r="G1059" s="38" t="s">
        <v>130</v>
      </c>
      <c r="H1059" s="44">
        <v>562</v>
      </c>
      <c r="I1059" s="44">
        <v>562</v>
      </c>
      <c r="J1059" s="44"/>
      <c r="K1059" s="44"/>
      <c r="L1059" s="44"/>
      <c r="M1059" s="44"/>
      <c r="N1059" s="44"/>
      <c r="O1059" s="44"/>
      <c r="P1059" s="44"/>
      <c r="Q1059" s="44"/>
      <c r="R1059" s="44"/>
      <c r="S1059" s="44"/>
      <c r="T1059" s="44"/>
      <c r="U1059" s="44"/>
      <c r="V1059" s="44"/>
      <c r="W1059" s="44"/>
      <c r="X1059" s="44"/>
      <c r="Y1059" s="44"/>
      <c r="Z1059" s="44"/>
      <c r="AA1059" s="44"/>
      <c r="AB1059" s="44"/>
      <c r="AC1059" s="44"/>
      <c r="AD1059" s="44"/>
      <c r="AE1059" s="44"/>
      <c r="AF1059" s="44"/>
    </row>
    <row r="1060" spans="1:32" x14ac:dyDescent="0.3">
      <c r="A1060" s="38" t="s">
        <v>278</v>
      </c>
      <c r="B1060" s="38" t="s">
        <v>174</v>
      </c>
      <c r="C1060" s="38" t="s">
        <v>279</v>
      </c>
      <c r="D1060" s="39" t="s">
        <v>198</v>
      </c>
      <c r="E1060" s="39" t="s">
        <v>195</v>
      </c>
      <c r="F1060" s="38" t="s">
        <v>135</v>
      </c>
      <c r="G1060" s="38" t="s">
        <v>130</v>
      </c>
      <c r="H1060" s="44"/>
      <c r="I1060" s="44"/>
      <c r="J1060" s="44"/>
      <c r="K1060" s="44"/>
      <c r="L1060" s="44"/>
      <c r="M1060" s="44"/>
      <c r="N1060" s="44"/>
      <c r="O1060" s="44"/>
      <c r="P1060" s="44"/>
      <c r="Q1060" s="44"/>
      <c r="R1060" s="44"/>
      <c r="S1060" s="44"/>
      <c r="T1060" s="44"/>
      <c r="U1060" s="44"/>
      <c r="V1060" s="44"/>
      <c r="W1060" s="44"/>
      <c r="X1060" s="44"/>
      <c r="Y1060" s="44"/>
      <c r="Z1060" s="44"/>
      <c r="AA1060" s="44"/>
      <c r="AB1060" s="44"/>
      <c r="AC1060" s="44"/>
      <c r="AD1060" s="44"/>
      <c r="AE1060" s="44"/>
      <c r="AF1060" s="44"/>
    </row>
    <row r="1061" spans="1:32" x14ac:dyDescent="0.3">
      <c r="A1061" s="38" t="s">
        <v>278</v>
      </c>
      <c r="B1061" s="38" t="s">
        <v>174</v>
      </c>
      <c r="C1061" s="38" t="s">
        <v>279</v>
      </c>
      <c r="D1061" s="39" t="s">
        <v>198</v>
      </c>
      <c r="E1061" s="39" t="s">
        <v>195</v>
      </c>
      <c r="F1061" s="38" t="s">
        <v>136</v>
      </c>
      <c r="G1061" s="38" t="s">
        <v>130</v>
      </c>
      <c r="H1061" s="44">
        <f>SUM(I1061:AF1061)</f>
        <v>50500</v>
      </c>
      <c r="I1061" s="44">
        <f t="shared" ref="I1061:AF1061" si="243">IF(AND(ISBLANK(I1064) = TRUE,ISBLANK(I1063) = TRUE),I1062,I1063+I1064)</f>
        <v>40500</v>
      </c>
      <c r="J1061" s="44">
        <f t="shared" si="243"/>
        <v>0</v>
      </c>
      <c r="K1061" s="44">
        <f t="shared" si="243"/>
        <v>0</v>
      </c>
      <c r="L1061" s="44">
        <f t="shared" si="243"/>
        <v>0</v>
      </c>
      <c r="M1061" s="44">
        <f t="shared" si="243"/>
        <v>0</v>
      </c>
      <c r="N1061" s="44">
        <f t="shared" si="243"/>
        <v>0</v>
      </c>
      <c r="O1061" s="44">
        <f t="shared" si="243"/>
        <v>0</v>
      </c>
      <c r="P1061" s="44">
        <f t="shared" si="243"/>
        <v>0</v>
      </c>
      <c r="Q1061" s="44">
        <f t="shared" si="243"/>
        <v>0</v>
      </c>
      <c r="R1061" s="44">
        <f t="shared" si="243"/>
        <v>10000</v>
      </c>
      <c r="S1061" s="44">
        <f t="shared" si="243"/>
        <v>0</v>
      </c>
      <c r="T1061" s="44">
        <f t="shared" si="243"/>
        <v>0</v>
      </c>
      <c r="U1061" s="44">
        <f t="shared" si="243"/>
        <v>0</v>
      </c>
      <c r="V1061" s="44">
        <f t="shared" si="243"/>
        <v>0</v>
      </c>
      <c r="W1061" s="44">
        <f t="shared" si="243"/>
        <v>0</v>
      </c>
      <c r="X1061" s="44">
        <f t="shared" si="243"/>
        <v>0</v>
      </c>
      <c r="Y1061" s="44">
        <f t="shared" si="243"/>
        <v>0</v>
      </c>
      <c r="Z1061" s="44">
        <f t="shared" si="243"/>
        <v>0</v>
      </c>
      <c r="AA1061" s="44">
        <f t="shared" si="243"/>
        <v>0</v>
      </c>
      <c r="AB1061" s="44">
        <f t="shared" si="243"/>
        <v>0</v>
      </c>
      <c r="AC1061" s="44">
        <f t="shared" si="243"/>
        <v>0</v>
      </c>
      <c r="AD1061" s="44">
        <f t="shared" si="243"/>
        <v>0</v>
      </c>
      <c r="AE1061" s="44">
        <f t="shared" si="243"/>
        <v>0</v>
      </c>
      <c r="AF1061" s="44">
        <f t="shared" si="243"/>
        <v>0</v>
      </c>
    </row>
    <row r="1062" spans="1:32" x14ac:dyDescent="0.3">
      <c r="A1062" s="38" t="s">
        <v>278</v>
      </c>
      <c r="B1062" s="38" t="s">
        <v>174</v>
      </c>
      <c r="C1062" s="38" t="s">
        <v>279</v>
      </c>
      <c r="D1062" s="39" t="s">
        <v>198</v>
      </c>
      <c r="E1062" s="39" t="s">
        <v>195</v>
      </c>
      <c r="F1062" s="38" t="s">
        <v>124</v>
      </c>
      <c r="G1062" s="38" t="s">
        <v>130</v>
      </c>
      <c r="H1062" s="44">
        <v>50500</v>
      </c>
      <c r="I1062" s="44">
        <v>40500</v>
      </c>
      <c r="J1062" s="44"/>
      <c r="K1062" s="44"/>
      <c r="L1062" s="44"/>
      <c r="M1062" s="44"/>
      <c r="N1062" s="44"/>
      <c r="O1062" s="44"/>
      <c r="P1062" s="44"/>
      <c r="Q1062" s="44"/>
      <c r="R1062" s="44">
        <v>10000</v>
      </c>
      <c r="S1062" s="44"/>
      <c r="T1062" s="44"/>
      <c r="U1062" s="44"/>
      <c r="V1062" s="44"/>
      <c r="W1062" s="44"/>
      <c r="X1062" s="44"/>
      <c r="Y1062" s="44"/>
      <c r="Z1062" s="44"/>
      <c r="AA1062" s="44"/>
      <c r="AB1062" s="44"/>
      <c r="AC1062" s="44"/>
      <c r="AD1062" s="44"/>
      <c r="AE1062" s="44"/>
      <c r="AF1062" s="44"/>
    </row>
    <row r="1063" spans="1:32" x14ac:dyDescent="0.3">
      <c r="A1063" s="38" t="s">
        <v>278</v>
      </c>
      <c r="B1063" s="38" t="s">
        <v>174</v>
      </c>
      <c r="C1063" s="38" t="s">
        <v>279</v>
      </c>
      <c r="D1063" s="39" t="s">
        <v>198</v>
      </c>
      <c r="E1063" s="39" t="s">
        <v>195</v>
      </c>
      <c r="F1063" s="38" t="s">
        <v>137</v>
      </c>
      <c r="G1063" s="38" t="s">
        <v>130</v>
      </c>
      <c r="H1063" s="44">
        <f>SUM(I1063:AF1063)</f>
        <v>0</v>
      </c>
      <c r="I1063" s="44"/>
      <c r="J1063" s="44"/>
      <c r="K1063" s="44"/>
      <c r="L1063" s="44"/>
      <c r="M1063" s="44"/>
      <c r="N1063" s="44"/>
      <c r="O1063" s="44"/>
      <c r="P1063" s="44"/>
      <c r="Q1063" s="44"/>
      <c r="R1063" s="44"/>
      <c r="S1063" s="44"/>
      <c r="T1063" s="44"/>
      <c r="U1063" s="44"/>
      <c r="V1063" s="44"/>
      <c r="W1063" s="44"/>
      <c r="X1063" s="44"/>
      <c r="Y1063" s="44"/>
      <c r="Z1063" s="44"/>
      <c r="AA1063" s="44"/>
      <c r="AB1063" s="44"/>
      <c r="AC1063" s="44"/>
      <c r="AD1063" s="44"/>
      <c r="AE1063" s="44"/>
      <c r="AF1063" s="44"/>
    </row>
    <row r="1064" spans="1:32" x14ac:dyDescent="0.3">
      <c r="A1064" s="38" t="s">
        <v>278</v>
      </c>
      <c r="B1064" s="38" t="s">
        <v>174</v>
      </c>
      <c r="C1064" s="38" t="s">
        <v>279</v>
      </c>
      <c r="D1064" s="39" t="s">
        <v>198</v>
      </c>
      <c r="E1064" s="39" t="s">
        <v>195</v>
      </c>
      <c r="F1064" s="38" t="s">
        <v>138</v>
      </c>
      <c r="G1064" s="38" t="s">
        <v>130</v>
      </c>
      <c r="H1064" s="44">
        <f>SUM(I1064:AF1064)</f>
        <v>0</v>
      </c>
      <c r="I1064" s="44"/>
      <c r="J1064" s="44"/>
      <c r="K1064" s="44"/>
      <c r="L1064" s="44"/>
      <c r="M1064" s="44"/>
      <c r="N1064" s="44"/>
      <c r="O1064" s="44"/>
      <c r="P1064" s="44"/>
      <c r="Q1064" s="44"/>
      <c r="R1064" s="44"/>
      <c r="S1064" s="44"/>
      <c r="T1064" s="44"/>
      <c r="U1064" s="44"/>
      <c r="V1064" s="44"/>
      <c r="W1064" s="44"/>
      <c r="X1064" s="44"/>
      <c r="Y1064" s="44"/>
      <c r="Z1064" s="44"/>
      <c r="AA1064" s="44"/>
      <c r="AB1064" s="44"/>
      <c r="AC1064" s="44"/>
      <c r="AD1064" s="44"/>
      <c r="AE1064" s="44"/>
      <c r="AF1064" s="44"/>
    </row>
    <row r="1065" spans="1:32" x14ac:dyDescent="0.3">
      <c r="A1065" s="38" t="s">
        <v>278</v>
      </c>
      <c r="B1065" s="38" t="s">
        <v>174</v>
      </c>
      <c r="C1065" s="38" t="s">
        <v>279</v>
      </c>
      <c r="D1065" s="39" t="s">
        <v>198</v>
      </c>
      <c r="E1065" s="39" t="s">
        <v>195</v>
      </c>
      <c r="F1065" s="38" t="s">
        <v>139</v>
      </c>
      <c r="G1065" s="38" t="s">
        <v>130</v>
      </c>
      <c r="H1065" s="44">
        <v>50500</v>
      </c>
      <c r="I1065" s="44">
        <v>40500</v>
      </c>
      <c r="J1065" s="44"/>
      <c r="K1065" s="44"/>
      <c r="L1065" s="44"/>
      <c r="M1065" s="44"/>
      <c r="N1065" s="44"/>
      <c r="O1065" s="44"/>
      <c r="P1065" s="44"/>
      <c r="Q1065" s="44"/>
      <c r="R1065" s="44">
        <v>10000</v>
      </c>
      <c r="S1065" s="44"/>
      <c r="T1065" s="44"/>
      <c r="U1065" s="44"/>
      <c r="V1065" s="44"/>
      <c r="W1065" s="44"/>
      <c r="X1065" s="44"/>
      <c r="Y1065" s="44"/>
      <c r="Z1065" s="44"/>
      <c r="AA1065" s="44"/>
      <c r="AB1065" s="44"/>
      <c r="AC1065" s="44"/>
      <c r="AD1065" s="44"/>
      <c r="AE1065" s="44"/>
      <c r="AF1065" s="44"/>
    </row>
    <row r="1066" spans="1:32" x14ac:dyDescent="0.3">
      <c r="A1066" s="38" t="s">
        <v>278</v>
      </c>
      <c r="B1066" s="38" t="s">
        <v>174</v>
      </c>
      <c r="C1066" s="38" t="s">
        <v>279</v>
      </c>
      <c r="D1066" s="39" t="s">
        <v>198</v>
      </c>
      <c r="E1066" s="39" t="s">
        <v>195</v>
      </c>
      <c r="F1066" s="38" t="s">
        <v>140</v>
      </c>
      <c r="G1066" s="38" t="s">
        <v>130</v>
      </c>
      <c r="H1066" s="44"/>
      <c r="I1066" s="44">
        <f>I1061-(I1056+I1055)+(I1060+I1059+I1058+I1057)</f>
        <v>167463</v>
      </c>
      <c r="J1066" s="44">
        <f t="shared" ref="J1066:AF1066" si="244">I1066+J1061-J1056</f>
        <v>163675</v>
      </c>
      <c r="K1066" s="44">
        <f t="shared" si="244"/>
        <v>158906</v>
      </c>
      <c r="L1066" s="44">
        <f t="shared" si="244"/>
        <v>131723</v>
      </c>
      <c r="M1066" s="44">
        <f t="shared" si="244"/>
        <v>116762</v>
      </c>
      <c r="N1066" s="44">
        <f t="shared" si="244"/>
        <v>111210</v>
      </c>
      <c r="O1066" s="44">
        <f t="shared" si="244"/>
        <v>106718</v>
      </c>
      <c r="P1066" s="44">
        <f t="shared" si="244"/>
        <v>101298</v>
      </c>
      <c r="Q1066" s="44">
        <f t="shared" si="244"/>
        <v>94309</v>
      </c>
      <c r="R1066" s="44">
        <f t="shared" si="244"/>
        <v>95459</v>
      </c>
      <c r="S1066" s="44">
        <f t="shared" si="244"/>
        <v>89522</v>
      </c>
      <c r="T1066" s="44">
        <f t="shared" si="244"/>
        <v>83583</v>
      </c>
      <c r="U1066" s="44">
        <f t="shared" si="244"/>
        <v>78211</v>
      </c>
      <c r="V1066" s="44">
        <f t="shared" si="244"/>
        <v>74483</v>
      </c>
      <c r="W1066" s="44">
        <f t="shared" si="244"/>
        <v>70851</v>
      </c>
      <c r="X1066" s="44">
        <f t="shared" si="244"/>
        <v>67220</v>
      </c>
      <c r="Y1066" s="44">
        <f t="shared" si="244"/>
        <v>63597</v>
      </c>
      <c r="Z1066" s="44">
        <f t="shared" si="244"/>
        <v>60746</v>
      </c>
      <c r="AA1066" s="44">
        <f t="shared" si="244"/>
        <v>57105</v>
      </c>
      <c r="AB1066" s="44">
        <f t="shared" si="244"/>
        <v>53618</v>
      </c>
      <c r="AC1066" s="44">
        <f t="shared" si="244"/>
        <v>50372</v>
      </c>
      <c r="AD1066" s="44">
        <f t="shared" si="244"/>
        <v>47209</v>
      </c>
      <c r="AE1066" s="44">
        <f t="shared" si="244"/>
        <v>46595</v>
      </c>
      <c r="AF1066" s="44">
        <f t="shared" si="244"/>
        <v>45881</v>
      </c>
    </row>
    <row r="1067" spans="1:32" ht="15" thickBot="1" x14ac:dyDescent="0.35">
      <c r="A1067" s="40" t="s">
        <v>278</v>
      </c>
      <c r="B1067" s="40" t="s">
        <v>174</v>
      </c>
      <c r="C1067" s="40" t="s">
        <v>279</v>
      </c>
      <c r="D1067" s="41" t="s">
        <v>198</v>
      </c>
      <c r="E1067" s="41" t="s">
        <v>195</v>
      </c>
      <c r="F1067" s="40" t="s">
        <v>141</v>
      </c>
      <c r="G1067" s="40" t="s">
        <v>130</v>
      </c>
      <c r="H1067" s="45"/>
      <c r="I1067" s="45">
        <f>I1061-I1065</f>
        <v>0</v>
      </c>
      <c r="J1067" s="45">
        <f t="shared" ref="J1067:AF1067" si="245">I1067+J1061-J1065</f>
        <v>0</v>
      </c>
      <c r="K1067" s="45">
        <f t="shared" si="245"/>
        <v>0</v>
      </c>
      <c r="L1067" s="45">
        <f t="shared" si="245"/>
        <v>0</v>
      </c>
      <c r="M1067" s="45">
        <f t="shared" si="245"/>
        <v>0</v>
      </c>
      <c r="N1067" s="45">
        <f t="shared" si="245"/>
        <v>0</v>
      </c>
      <c r="O1067" s="45">
        <f t="shared" si="245"/>
        <v>0</v>
      </c>
      <c r="P1067" s="45">
        <f t="shared" si="245"/>
        <v>0</v>
      </c>
      <c r="Q1067" s="45">
        <f t="shared" si="245"/>
        <v>0</v>
      </c>
      <c r="R1067" s="45">
        <f t="shared" si="245"/>
        <v>0</v>
      </c>
      <c r="S1067" s="45">
        <f t="shared" si="245"/>
        <v>0</v>
      </c>
      <c r="T1067" s="45">
        <f t="shared" si="245"/>
        <v>0</v>
      </c>
      <c r="U1067" s="45">
        <f t="shared" si="245"/>
        <v>0</v>
      </c>
      <c r="V1067" s="45">
        <f t="shared" si="245"/>
        <v>0</v>
      </c>
      <c r="W1067" s="45">
        <f t="shared" si="245"/>
        <v>0</v>
      </c>
      <c r="X1067" s="45">
        <f t="shared" si="245"/>
        <v>0</v>
      </c>
      <c r="Y1067" s="45">
        <f t="shared" si="245"/>
        <v>0</v>
      </c>
      <c r="Z1067" s="45">
        <f t="shared" si="245"/>
        <v>0</v>
      </c>
      <c r="AA1067" s="45">
        <f t="shared" si="245"/>
        <v>0</v>
      </c>
      <c r="AB1067" s="45">
        <f t="shared" si="245"/>
        <v>0</v>
      </c>
      <c r="AC1067" s="45">
        <f t="shared" si="245"/>
        <v>0</v>
      </c>
      <c r="AD1067" s="45">
        <f t="shared" si="245"/>
        <v>0</v>
      </c>
      <c r="AE1067" s="45">
        <f t="shared" si="245"/>
        <v>0</v>
      </c>
      <c r="AF1067" s="45">
        <f t="shared" si="245"/>
        <v>0</v>
      </c>
    </row>
    <row r="1068" spans="1:32" x14ac:dyDescent="0.3">
      <c r="A1068" s="38" t="s">
        <v>278</v>
      </c>
      <c r="B1068" s="38" t="s">
        <v>174</v>
      </c>
      <c r="C1068" s="38" t="s">
        <v>279</v>
      </c>
      <c r="D1068" s="39" t="s">
        <v>198</v>
      </c>
      <c r="E1068" s="39" t="s">
        <v>177</v>
      </c>
      <c r="F1068" s="38" t="s">
        <v>129</v>
      </c>
      <c r="G1068" s="38" t="s">
        <v>130</v>
      </c>
      <c r="H1068" s="44">
        <v>0</v>
      </c>
      <c r="I1068" s="44">
        <v>0</v>
      </c>
      <c r="J1068" s="44"/>
      <c r="K1068" s="44"/>
      <c r="L1068" s="44"/>
      <c r="M1068" s="44"/>
      <c r="N1068" s="44"/>
      <c r="O1068" s="44"/>
      <c r="P1068" s="44"/>
      <c r="Q1068" s="44"/>
      <c r="R1068" s="44"/>
      <c r="S1068" s="44"/>
      <c r="T1068" s="44"/>
      <c r="U1068" s="44"/>
      <c r="V1068" s="44"/>
      <c r="W1068" s="44"/>
      <c r="X1068" s="44"/>
      <c r="Y1068" s="44"/>
      <c r="Z1068" s="44"/>
      <c r="AA1068" s="44"/>
      <c r="AB1068" s="44"/>
      <c r="AC1068" s="44"/>
      <c r="AD1068" s="44"/>
      <c r="AE1068" s="44"/>
      <c r="AF1068" s="44"/>
    </row>
    <row r="1069" spans="1:32" x14ac:dyDescent="0.3">
      <c r="A1069" s="38" t="s">
        <v>278</v>
      </c>
      <c r="B1069" s="38" t="s">
        <v>174</v>
      </c>
      <c r="C1069" s="38" t="s">
        <v>279</v>
      </c>
      <c r="D1069" s="39" t="s">
        <v>198</v>
      </c>
      <c r="E1069" s="39" t="s">
        <v>177</v>
      </c>
      <c r="F1069" s="38" t="s">
        <v>131</v>
      </c>
      <c r="G1069" s="38" t="s">
        <v>130</v>
      </c>
      <c r="H1069" s="44">
        <v>1</v>
      </c>
      <c r="I1069" s="44">
        <v>1</v>
      </c>
      <c r="J1069" s="44">
        <v>0</v>
      </c>
      <c r="K1069" s="44">
        <v>0</v>
      </c>
      <c r="L1069" s="44">
        <v>0</v>
      </c>
      <c r="M1069" s="44">
        <v>0</v>
      </c>
      <c r="N1069" s="44">
        <v>0</v>
      </c>
      <c r="O1069" s="44">
        <v>0</v>
      </c>
      <c r="P1069" s="44">
        <v>0</v>
      </c>
      <c r="Q1069" s="44">
        <v>0</v>
      </c>
      <c r="R1069" s="44">
        <v>0</v>
      </c>
      <c r="S1069" s="44">
        <v>0</v>
      </c>
      <c r="T1069" s="44">
        <v>0</v>
      </c>
      <c r="U1069" s="44">
        <v>0</v>
      </c>
      <c r="V1069" s="44">
        <v>0</v>
      </c>
      <c r="W1069" s="44">
        <v>0</v>
      </c>
      <c r="X1069" s="44">
        <v>0</v>
      </c>
      <c r="Y1069" s="44">
        <v>0</v>
      </c>
      <c r="Z1069" s="44">
        <v>0</v>
      </c>
      <c r="AA1069" s="44">
        <v>0</v>
      </c>
      <c r="AB1069" s="44">
        <v>0</v>
      </c>
      <c r="AC1069" s="44">
        <v>0</v>
      </c>
      <c r="AD1069" s="44">
        <v>0</v>
      </c>
      <c r="AE1069" s="44">
        <v>0</v>
      </c>
      <c r="AF1069" s="44">
        <v>0</v>
      </c>
    </row>
    <row r="1070" spans="1:32" x14ac:dyDescent="0.3">
      <c r="A1070" s="38" t="s">
        <v>278</v>
      </c>
      <c r="B1070" s="38" t="s">
        <v>174</v>
      </c>
      <c r="C1070" s="38" t="s">
        <v>279</v>
      </c>
      <c r="D1070" s="39" t="s">
        <v>198</v>
      </c>
      <c r="E1070" s="39" t="s">
        <v>177</v>
      </c>
      <c r="F1070" s="38" t="s">
        <v>132</v>
      </c>
      <c r="G1070" s="38" t="s">
        <v>130</v>
      </c>
      <c r="H1070" s="44"/>
      <c r="I1070" s="44"/>
      <c r="J1070" s="44"/>
      <c r="K1070" s="44"/>
      <c r="L1070" s="44"/>
      <c r="M1070" s="44"/>
      <c r="N1070" s="44"/>
      <c r="O1070" s="44"/>
      <c r="P1070" s="44"/>
      <c r="Q1070" s="44"/>
      <c r="R1070" s="44"/>
      <c r="S1070" s="44"/>
      <c r="T1070" s="44"/>
      <c r="U1070" s="44"/>
      <c r="V1070" s="44"/>
      <c r="W1070" s="44"/>
      <c r="X1070" s="44"/>
      <c r="Y1070" s="44"/>
      <c r="Z1070" s="44"/>
      <c r="AA1070" s="44"/>
      <c r="AB1070" s="44"/>
      <c r="AC1070" s="44"/>
      <c r="AD1070" s="44"/>
      <c r="AE1070" s="44"/>
      <c r="AF1070" s="44"/>
    </row>
    <row r="1071" spans="1:32" x14ac:dyDescent="0.3">
      <c r="A1071" s="38" t="s">
        <v>278</v>
      </c>
      <c r="B1071" s="38" t="s">
        <v>174</v>
      </c>
      <c r="C1071" s="38" t="s">
        <v>279</v>
      </c>
      <c r="D1071" s="39" t="s">
        <v>198</v>
      </c>
      <c r="E1071" s="39" t="s">
        <v>177</v>
      </c>
      <c r="F1071" s="38" t="s">
        <v>133</v>
      </c>
      <c r="G1071" s="38" t="s">
        <v>130</v>
      </c>
      <c r="H1071" s="44"/>
      <c r="I1071" s="44"/>
      <c r="J1071" s="44"/>
      <c r="K1071" s="44"/>
      <c r="L1071" s="44"/>
      <c r="M1071" s="44"/>
      <c r="N1071" s="44"/>
      <c r="O1071" s="44"/>
      <c r="P1071" s="44"/>
      <c r="Q1071" s="44"/>
      <c r="R1071" s="44"/>
      <c r="S1071" s="44"/>
      <c r="T1071" s="44"/>
      <c r="U1071" s="44"/>
      <c r="V1071" s="44"/>
      <c r="W1071" s="44"/>
      <c r="X1071" s="44"/>
      <c r="Y1071" s="44"/>
      <c r="Z1071" s="44"/>
      <c r="AA1071" s="44"/>
      <c r="AB1071" s="44"/>
      <c r="AC1071" s="44"/>
      <c r="AD1071" s="44"/>
      <c r="AE1071" s="44"/>
      <c r="AF1071" s="44"/>
    </row>
    <row r="1072" spans="1:32" x14ac:dyDescent="0.3">
      <c r="A1072" s="38" t="s">
        <v>278</v>
      </c>
      <c r="B1072" s="38" t="s">
        <v>174</v>
      </c>
      <c r="C1072" s="38" t="s">
        <v>279</v>
      </c>
      <c r="D1072" s="39" t="s">
        <v>198</v>
      </c>
      <c r="E1072" s="39" t="s">
        <v>177</v>
      </c>
      <c r="F1072" s="38" t="s">
        <v>134</v>
      </c>
      <c r="G1072" s="38" t="s">
        <v>130</v>
      </c>
      <c r="H1072" s="44"/>
      <c r="I1072" s="44"/>
      <c r="J1072" s="44"/>
      <c r="K1072" s="44"/>
      <c r="L1072" s="44"/>
      <c r="M1072" s="44"/>
      <c r="N1072" s="44"/>
      <c r="O1072" s="44"/>
      <c r="P1072" s="44"/>
      <c r="Q1072" s="44"/>
      <c r="R1072" s="44"/>
      <c r="S1072" s="44"/>
      <c r="T1072" s="44"/>
      <c r="U1072" s="44"/>
      <c r="V1072" s="44"/>
      <c r="W1072" s="44"/>
      <c r="X1072" s="44"/>
      <c r="Y1072" s="44"/>
      <c r="Z1072" s="44"/>
      <c r="AA1072" s="44"/>
      <c r="AB1072" s="44"/>
      <c r="AC1072" s="44"/>
      <c r="AD1072" s="44"/>
      <c r="AE1072" s="44"/>
      <c r="AF1072" s="44"/>
    </row>
    <row r="1073" spans="1:32" x14ac:dyDescent="0.3">
      <c r="A1073" s="38" t="s">
        <v>278</v>
      </c>
      <c r="B1073" s="38" t="s">
        <v>174</v>
      </c>
      <c r="C1073" s="38" t="s">
        <v>279</v>
      </c>
      <c r="D1073" s="39" t="s">
        <v>198</v>
      </c>
      <c r="E1073" s="39" t="s">
        <v>177</v>
      </c>
      <c r="F1073" s="38" t="s">
        <v>135</v>
      </c>
      <c r="G1073" s="38" t="s">
        <v>130</v>
      </c>
      <c r="H1073" s="44"/>
      <c r="I1073" s="44"/>
      <c r="J1073" s="44"/>
      <c r="K1073" s="44"/>
      <c r="L1073" s="44"/>
      <c r="M1073" s="44"/>
      <c r="N1073" s="44"/>
      <c r="O1073" s="44"/>
      <c r="P1073" s="44"/>
      <c r="Q1073" s="44"/>
      <c r="R1073" s="44"/>
      <c r="S1073" s="44"/>
      <c r="T1073" s="44"/>
      <c r="U1073" s="44"/>
      <c r="V1073" s="44"/>
      <c r="W1073" s="44"/>
      <c r="X1073" s="44"/>
      <c r="Y1073" s="44"/>
      <c r="Z1073" s="44"/>
      <c r="AA1073" s="44"/>
      <c r="AB1073" s="44"/>
      <c r="AC1073" s="44"/>
      <c r="AD1073" s="44"/>
      <c r="AE1073" s="44"/>
      <c r="AF1073" s="44"/>
    </row>
    <row r="1074" spans="1:32" x14ac:dyDescent="0.3">
      <c r="A1074" s="38" t="s">
        <v>278</v>
      </c>
      <c r="B1074" s="38" t="s">
        <v>174</v>
      </c>
      <c r="C1074" s="38" t="s">
        <v>279</v>
      </c>
      <c r="D1074" s="39" t="s">
        <v>198</v>
      </c>
      <c r="E1074" s="39" t="s">
        <v>177</v>
      </c>
      <c r="F1074" s="38" t="s">
        <v>136</v>
      </c>
      <c r="G1074" s="38" t="s">
        <v>130</v>
      </c>
      <c r="H1074" s="44">
        <f>SUM(I1074:AF1074)</f>
        <v>40000</v>
      </c>
      <c r="I1074" s="44">
        <f t="shared" ref="I1074:AF1074" si="246">IF(AND(ISBLANK(I1077) = TRUE,ISBLANK(I1076) = TRUE),I1075,I1076+I1077)</f>
        <v>0</v>
      </c>
      <c r="J1074" s="44">
        <f t="shared" si="246"/>
        <v>0</v>
      </c>
      <c r="K1074" s="44">
        <f t="shared" si="246"/>
        <v>0</v>
      </c>
      <c r="L1074" s="44">
        <f t="shared" si="246"/>
        <v>0</v>
      </c>
      <c r="M1074" s="44">
        <f t="shared" si="246"/>
        <v>0</v>
      </c>
      <c r="N1074" s="44">
        <f t="shared" si="246"/>
        <v>0</v>
      </c>
      <c r="O1074" s="44">
        <f t="shared" si="246"/>
        <v>0</v>
      </c>
      <c r="P1074" s="44">
        <f t="shared" si="246"/>
        <v>10000</v>
      </c>
      <c r="Q1074" s="44">
        <f t="shared" si="246"/>
        <v>10000</v>
      </c>
      <c r="R1074" s="44">
        <f t="shared" si="246"/>
        <v>10000</v>
      </c>
      <c r="S1074" s="44">
        <f t="shared" si="246"/>
        <v>0</v>
      </c>
      <c r="T1074" s="44">
        <f t="shared" si="246"/>
        <v>0</v>
      </c>
      <c r="U1074" s="44">
        <f t="shared" si="246"/>
        <v>10000</v>
      </c>
      <c r="V1074" s="44">
        <f t="shared" si="246"/>
        <v>0</v>
      </c>
      <c r="W1074" s="44">
        <f t="shared" si="246"/>
        <v>0</v>
      </c>
      <c r="X1074" s="44">
        <f t="shared" si="246"/>
        <v>0</v>
      </c>
      <c r="Y1074" s="44">
        <f t="shared" si="246"/>
        <v>0</v>
      </c>
      <c r="Z1074" s="44">
        <f t="shared" si="246"/>
        <v>0</v>
      </c>
      <c r="AA1074" s="44">
        <f t="shared" si="246"/>
        <v>0</v>
      </c>
      <c r="AB1074" s="44">
        <f t="shared" si="246"/>
        <v>0</v>
      </c>
      <c r="AC1074" s="44">
        <f t="shared" si="246"/>
        <v>0</v>
      </c>
      <c r="AD1074" s="44">
        <f t="shared" si="246"/>
        <v>0</v>
      </c>
      <c r="AE1074" s="44">
        <f t="shared" si="246"/>
        <v>0</v>
      </c>
      <c r="AF1074" s="44">
        <f t="shared" si="246"/>
        <v>0</v>
      </c>
    </row>
    <row r="1075" spans="1:32" x14ac:dyDescent="0.3">
      <c r="A1075" s="38" t="s">
        <v>278</v>
      </c>
      <c r="B1075" s="38" t="s">
        <v>174</v>
      </c>
      <c r="C1075" s="38" t="s">
        <v>279</v>
      </c>
      <c r="D1075" s="39" t="s">
        <v>198</v>
      </c>
      <c r="E1075" s="39" t="s">
        <v>177</v>
      </c>
      <c r="F1075" s="38" t="s">
        <v>124</v>
      </c>
      <c r="G1075" s="38" t="s">
        <v>130</v>
      </c>
      <c r="H1075" s="44">
        <v>40000</v>
      </c>
      <c r="I1075" s="44"/>
      <c r="J1075" s="44"/>
      <c r="K1075" s="44"/>
      <c r="L1075" s="44"/>
      <c r="M1075" s="44"/>
      <c r="N1075" s="44"/>
      <c r="O1075" s="44"/>
      <c r="P1075" s="44">
        <v>10000</v>
      </c>
      <c r="Q1075" s="44">
        <v>10000</v>
      </c>
      <c r="R1075" s="44">
        <v>10000</v>
      </c>
      <c r="S1075" s="44"/>
      <c r="T1075" s="44"/>
      <c r="U1075" s="44">
        <v>10000</v>
      </c>
      <c r="V1075" s="44"/>
      <c r="W1075" s="44"/>
      <c r="X1075" s="44"/>
      <c r="Y1075" s="44"/>
      <c r="Z1075" s="44"/>
      <c r="AA1075" s="44"/>
      <c r="AB1075" s="44"/>
      <c r="AC1075" s="44"/>
      <c r="AD1075" s="44"/>
      <c r="AE1075" s="44"/>
      <c r="AF1075" s="44"/>
    </row>
    <row r="1076" spans="1:32" x14ac:dyDescent="0.3">
      <c r="A1076" s="38" t="s">
        <v>278</v>
      </c>
      <c r="B1076" s="38" t="s">
        <v>174</v>
      </c>
      <c r="C1076" s="38" t="s">
        <v>279</v>
      </c>
      <c r="D1076" s="39" t="s">
        <v>198</v>
      </c>
      <c r="E1076" s="39" t="s">
        <v>177</v>
      </c>
      <c r="F1076" s="38" t="s">
        <v>137</v>
      </c>
      <c r="G1076" s="38" t="s">
        <v>130</v>
      </c>
      <c r="H1076" s="44">
        <f>SUM(I1076:AF1076)</f>
        <v>0</v>
      </c>
      <c r="I1076" s="44"/>
      <c r="J1076" s="44"/>
      <c r="K1076" s="44"/>
      <c r="L1076" s="44"/>
      <c r="M1076" s="44"/>
      <c r="N1076" s="44"/>
      <c r="O1076" s="44"/>
      <c r="P1076" s="44"/>
      <c r="Q1076" s="44"/>
      <c r="R1076" s="44"/>
      <c r="S1076" s="44"/>
      <c r="T1076" s="44"/>
      <c r="U1076" s="44"/>
      <c r="V1076" s="44"/>
      <c r="W1076" s="44"/>
      <c r="X1076" s="44"/>
      <c r="Y1076" s="44"/>
      <c r="Z1076" s="44"/>
      <c r="AA1076" s="44"/>
      <c r="AB1076" s="44"/>
      <c r="AC1076" s="44"/>
      <c r="AD1076" s="44"/>
      <c r="AE1076" s="44"/>
      <c r="AF1076" s="44"/>
    </row>
    <row r="1077" spans="1:32" x14ac:dyDescent="0.3">
      <c r="A1077" s="38" t="s">
        <v>278</v>
      </c>
      <c r="B1077" s="38" t="s">
        <v>174</v>
      </c>
      <c r="C1077" s="38" t="s">
        <v>279</v>
      </c>
      <c r="D1077" s="39" t="s">
        <v>198</v>
      </c>
      <c r="E1077" s="39" t="s">
        <v>177</v>
      </c>
      <c r="F1077" s="38" t="s">
        <v>138</v>
      </c>
      <c r="G1077" s="38" t="s">
        <v>130</v>
      </c>
      <c r="H1077" s="44">
        <f>SUM(I1077:AF1077)</f>
        <v>0</v>
      </c>
      <c r="I1077" s="44"/>
      <c r="J1077" s="44"/>
      <c r="K1077" s="44"/>
      <c r="L1077" s="44"/>
      <c r="M1077" s="44"/>
      <c r="N1077" s="44"/>
      <c r="O1077" s="44"/>
      <c r="P1077" s="44"/>
      <c r="Q1077" s="44"/>
      <c r="R1077" s="44"/>
      <c r="S1077" s="44"/>
      <c r="T1077" s="44"/>
      <c r="U1077" s="44"/>
      <c r="V1077" s="44"/>
      <c r="W1077" s="44"/>
      <c r="X1077" s="44"/>
      <c r="Y1077" s="44"/>
      <c r="Z1077" s="44"/>
      <c r="AA1077" s="44"/>
      <c r="AB1077" s="44"/>
      <c r="AC1077" s="44"/>
      <c r="AD1077" s="44"/>
      <c r="AE1077" s="44"/>
      <c r="AF1077" s="44"/>
    </row>
    <row r="1078" spans="1:32" x14ac:dyDescent="0.3">
      <c r="A1078" s="38" t="s">
        <v>278</v>
      </c>
      <c r="B1078" s="38" t="s">
        <v>174</v>
      </c>
      <c r="C1078" s="38" t="s">
        <v>279</v>
      </c>
      <c r="D1078" s="39" t="s">
        <v>198</v>
      </c>
      <c r="E1078" s="39" t="s">
        <v>177</v>
      </c>
      <c r="F1078" s="38" t="s">
        <v>139</v>
      </c>
      <c r="G1078" s="38" t="s">
        <v>130</v>
      </c>
      <c r="H1078" s="44">
        <v>40000</v>
      </c>
      <c r="I1078" s="44"/>
      <c r="J1078" s="44"/>
      <c r="K1078" s="44"/>
      <c r="L1078" s="44"/>
      <c r="M1078" s="44"/>
      <c r="N1078" s="44"/>
      <c r="O1078" s="44"/>
      <c r="P1078" s="44">
        <v>10000</v>
      </c>
      <c r="Q1078" s="44">
        <v>10000</v>
      </c>
      <c r="R1078" s="44">
        <v>10000</v>
      </c>
      <c r="S1078" s="44"/>
      <c r="T1078" s="44"/>
      <c r="U1078" s="44">
        <v>10000</v>
      </c>
      <c r="V1078" s="44"/>
      <c r="W1078" s="44"/>
      <c r="X1078" s="44"/>
      <c r="Y1078" s="44"/>
      <c r="Z1078" s="44"/>
      <c r="AA1078" s="44"/>
      <c r="AB1078" s="44"/>
      <c r="AC1078" s="44"/>
      <c r="AD1078" s="44"/>
      <c r="AE1078" s="44"/>
      <c r="AF1078" s="44"/>
    </row>
    <row r="1079" spans="1:32" x14ac:dyDescent="0.3">
      <c r="A1079" s="38" t="s">
        <v>278</v>
      </c>
      <c r="B1079" s="38" t="s">
        <v>174</v>
      </c>
      <c r="C1079" s="38" t="s">
        <v>279</v>
      </c>
      <c r="D1079" s="39" t="s">
        <v>198</v>
      </c>
      <c r="E1079" s="39" t="s">
        <v>177</v>
      </c>
      <c r="F1079" s="38" t="s">
        <v>140</v>
      </c>
      <c r="G1079" s="38" t="s">
        <v>130</v>
      </c>
      <c r="H1079" s="44"/>
      <c r="I1079" s="44">
        <f>I1074-(I1069+I1068)+(I1073+I1072+I1071+I1070)</f>
        <v>-1</v>
      </c>
      <c r="J1079" s="44">
        <f t="shared" ref="J1079:AF1079" si="247">I1079+J1074-J1069</f>
        <v>-1</v>
      </c>
      <c r="K1079" s="44">
        <f t="shared" si="247"/>
        <v>-1</v>
      </c>
      <c r="L1079" s="44">
        <f t="shared" si="247"/>
        <v>-1</v>
      </c>
      <c r="M1079" s="44">
        <f t="shared" si="247"/>
        <v>-1</v>
      </c>
      <c r="N1079" s="44">
        <f t="shared" si="247"/>
        <v>-1</v>
      </c>
      <c r="O1079" s="44">
        <f t="shared" si="247"/>
        <v>-1</v>
      </c>
      <c r="P1079" s="44">
        <f t="shared" si="247"/>
        <v>9999</v>
      </c>
      <c r="Q1079" s="44">
        <f t="shared" si="247"/>
        <v>19999</v>
      </c>
      <c r="R1079" s="44">
        <f t="shared" si="247"/>
        <v>29999</v>
      </c>
      <c r="S1079" s="44">
        <f t="shared" si="247"/>
        <v>29999</v>
      </c>
      <c r="T1079" s="44">
        <f t="shared" si="247"/>
        <v>29999</v>
      </c>
      <c r="U1079" s="44">
        <f t="shared" si="247"/>
        <v>39999</v>
      </c>
      <c r="V1079" s="44">
        <f t="shared" si="247"/>
        <v>39999</v>
      </c>
      <c r="W1079" s="44">
        <f t="shared" si="247"/>
        <v>39999</v>
      </c>
      <c r="X1079" s="44">
        <f t="shared" si="247"/>
        <v>39999</v>
      </c>
      <c r="Y1079" s="44">
        <f t="shared" si="247"/>
        <v>39999</v>
      </c>
      <c r="Z1079" s="44">
        <f t="shared" si="247"/>
        <v>39999</v>
      </c>
      <c r="AA1079" s="44">
        <f t="shared" si="247"/>
        <v>39999</v>
      </c>
      <c r="AB1079" s="44">
        <f t="shared" si="247"/>
        <v>39999</v>
      </c>
      <c r="AC1079" s="44">
        <f t="shared" si="247"/>
        <v>39999</v>
      </c>
      <c r="AD1079" s="44">
        <f t="shared" si="247"/>
        <v>39999</v>
      </c>
      <c r="AE1079" s="44">
        <f t="shared" si="247"/>
        <v>39999</v>
      </c>
      <c r="AF1079" s="44">
        <f t="shared" si="247"/>
        <v>39999</v>
      </c>
    </row>
    <row r="1080" spans="1:32" ht="15" thickBot="1" x14ac:dyDescent="0.35">
      <c r="A1080" s="40" t="s">
        <v>278</v>
      </c>
      <c r="B1080" s="40" t="s">
        <v>174</v>
      </c>
      <c r="C1080" s="40" t="s">
        <v>279</v>
      </c>
      <c r="D1080" s="41" t="s">
        <v>198</v>
      </c>
      <c r="E1080" s="41" t="s">
        <v>177</v>
      </c>
      <c r="F1080" s="40" t="s">
        <v>141</v>
      </c>
      <c r="G1080" s="40" t="s">
        <v>130</v>
      </c>
      <c r="H1080" s="45"/>
      <c r="I1080" s="45">
        <f>I1074-I1078</f>
        <v>0</v>
      </c>
      <c r="J1080" s="45">
        <f t="shared" ref="J1080:AF1080" si="248">I1080+J1074-J1078</f>
        <v>0</v>
      </c>
      <c r="K1080" s="45">
        <f t="shared" si="248"/>
        <v>0</v>
      </c>
      <c r="L1080" s="45">
        <f t="shared" si="248"/>
        <v>0</v>
      </c>
      <c r="M1080" s="45">
        <f t="shared" si="248"/>
        <v>0</v>
      </c>
      <c r="N1080" s="45">
        <f t="shared" si="248"/>
        <v>0</v>
      </c>
      <c r="O1080" s="45">
        <f t="shared" si="248"/>
        <v>0</v>
      </c>
      <c r="P1080" s="45">
        <f t="shared" si="248"/>
        <v>0</v>
      </c>
      <c r="Q1080" s="45">
        <f t="shared" si="248"/>
        <v>0</v>
      </c>
      <c r="R1080" s="45">
        <f t="shared" si="248"/>
        <v>0</v>
      </c>
      <c r="S1080" s="45">
        <f t="shared" si="248"/>
        <v>0</v>
      </c>
      <c r="T1080" s="45">
        <f t="shared" si="248"/>
        <v>0</v>
      </c>
      <c r="U1080" s="45">
        <f t="shared" si="248"/>
        <v>0</v>
      </c>
      <c r="V1080" s="45">
        <f t="shared" si="248"/>
        <v>0</v>
      </c>
      <c r="W1080" s="45">
        <f t="shared" si="248"/>
        <v>0</v>
      </c>
      <c r="X1080" s="45">
        <f t="shared" si="248"/>
        <v>0</v>
      </c>
      <c r="Y1080" s="45">
        <f t="shared" si="248"/>
        <v>0</v>
      </c>
      <c r="Z1080" s="45">
        <f t="shared" si="248"/>
        <v>0</v>
      </c>
      <c r="AA1080" s="45">
        <f t="shared" si="248"/>
        <v>0</v>
      </c>
      <c r="AB1080" s="45">
        <f t="shared" si="248"/>
        <v>0</v>
      </c>
      <c r="AC1080" s="45">
        <f t="shared" si="248"/>
        <v>0</v>
      </c>
      <c r="AD1080" s="45">
        <f t="shared" si="248"/>
        <v>0</v>
      </c>
      <c r="AE1080" s="45">
        <f t="shared" si="248"/>
        <v>0</v>
      </c>
      <c r="AF1080" s="45">
        <f t="shared" si="248"/>
        <v>0</v>
      </c>
    </row>
    <row r="1081" spans="1:32" x14ac:dyDescent="0.3">
      <c r="A1081" s="38" t="s">
        <v>280</v>
      </c>
      <c r="B1081" s="38" t="s">
        <v>174</v>
      </c>
      <c r="C1081" s="38" t="s">
        <v>279</v>
      </c>
      <c r="D1081" s="39" t="s">
        <v>176</v>
      </c>
      <c r="E1081" s="39" t="s">
        <v>195</v>
      </c>
      <c r="F1081" s="38" t="s">
        <v>129</v>
      </c>
      <c r="G1081" s="38" t="s">
        <v>130</v>
      </c>
      <c r="H1081" s="44">
        <v>17484</v>
      </c>
      <c r="I1081" s="44">
        <v>17484</v>
      </c>
      <c r="J1081" s="44"/>
      <c r="K1081" s="44"/>
      <c r="L1081" s="44"/>
      <c r="M1081" s="44"/>
      <c r="N1081" s="44"/>
      <c r="O1081" s="44"/>
      <c r="P1081" s="44"/>
      <c r="Q1081" s="44"/>
      <c r="R1081" s="44"/>
      <c r="S1081" s="44"/>
      <c r="T1081" s="44"/>
      <c r="U1081" s="44"/>
      <c r="V1081" s="44"/>
      <c r="W1081" s="44"/>
      <c r="X1081" s="44"/>
      <c r="Y1081" s="44"/>
      <c r="Z1081" s="44"/>
      <c r="AA1081" s="44"/>
      <c r="AB1081" s="44"/>
      <c r="AC1081" s="44"/>
      <c r="AD1081" s="44"/>
      <c r="AE1081" s="44"/>
      <c r="AF1081" s="44"/>
    </row>
    <row r="1082" spans="1:32" x14ac:dyDescent="0.3">
      <c r="A1082" s="38" t="s">
        <v>280</v>
      </c>
      <c r="B1082" s="38" t="s">
        <v>174</v>
      </c>
      <c r="C1082" s="38" t="s">
        <v>279</v>
      </c>
      <c r="D1082" s="39" t="s">
        <v>176</v>
      </c>
      <c r="E1082" s="39" t="s">
        <v>195</v>
      </c>
      <c r="F1082" s="38" t="s">
        <v>131</v>
      </c>
      <c r="G1082" s="38" t="s">
        <v>130</v>
      </c>
      <c r="H1082" s="44">
        <v>202222</v>
      </c>
      <c r="I1082" s="44">
        <v>7623</v>
      </c>
      <c r="J1082" s="44">
        <v>23236</v>
      </c>
      <c r="K1082" s="44">
        <v>17865</v>
      </c>
      <c r="L1082" s="44">
        <v>28217</v>
      </c>
      <c r="M1082" s="44">
        <v>18271</v>
      </c>
      <c r="N1082" s="44">
        <v>6636</v>
      </c>
      <c r="O1082" s="44">
        <v>5520</v>
      </c>
      <c r="P1082" s="44">
        <v>6611</v>
      </c>
      <c r="Q1082" s="44">
        <v>10283</v>
      </c>
      <c r="R1082" s="44">
        <v>11237</v>
      </c>
      <c r="S1082" s="44">
        <v>7272</v>
      </c>
      <c r="T1082" s="44">
        <v>7096</v>
      </c>
      <c r="U1082" s="44">
        <v>6515</v>
      </c>
      <c r="V1082" s="44">
        <v>5076</v>
      </c>
      <c r="W1082" s="44">
        <v>4704</v>
      </c>
      <c r="X1082" s="44">
        <v>4473</v>
      </c>
      <c r="Y1082" s="44">
        <v>4537</v>
      </c>
      <c r="Z1082" s="44">
        <v>4433</v>
      </c>
      <c r="AA1082" s="44">
        <v>5287</v>
      </c>
      <c r="AB1082" s="44">
        <v>5333</v>
      </c>
      <c r="AC1082" s="44">
        <v>4796</v>
      </c>
      <c r="AD1082" s="44">
        <v>4169</v>
      </c>
      <c r="AE1082" s="44">
        <v>1528</v>
      </c>
      <c r="AF1082" s="44">
        <v>1504</v>
      </c>
    </row>
    <row r="1083" spans="1:32" x14ac:dyDescent="0.3">
      <c r="A1083" s="38" t="s">
        <v>280</v>
      </c>
      <c r="B1083" s="38" t="s">
        <v>174</v>
      </c>
      <c r="C1083" s="38" t="s">
        <v>279</v>
      </c>
      <c r="D1083" s="39" t="s">
        <v>176</v>
      </c>
      <c r="E1083" s="39" t="s">
        <v>195</v>
      </c>
      <c r="F1083" s="38" t="s">
        <v>132</v>
      </c>
      <c r="G1083" s="38" t="s">
        <v>130</v>
      </c>
      <c r="H1083" s="44">
        <v>40920</v>
      </c>
      <c r="I1083" s="44">
        <v>40920</v>
      </c>
      <c r="J1083" s="44"/>
      <c r="K1083" s="44"/>
      <c r="L1083" s="44"/>
      <c r="M1083" s="44"/>
      <c r="N1083" s="44"/>
      <c r="O1083" s="44"/>
      <c r="P1083" s="44"/>
      <c r="Q1083" s="44"/>
      <c r="R1083" s="44"/>
      <c r="S1083" s="44"/>
      <c r="T1083" s="44"/>
      <c r="U1083" s="44"/>
      <c r="V1083" s="44"/>
      <c r="W1083" s="44"/>
      <c r="X1083" s="44"/>
      <c r="Y1083" s="44"/>
      <c r="Z1083" s="44"/>
      <c r="AA1083" s="44"/>
      <c r="AB1083" s="44"/>
      <c r="AC1083" s="44"/>
      <c r="AD1083" s="44"/>
      <c r="AE1083" s="44"/>
      <c r="AF1083" s="44"/>
    </row>
    <row r="1084" spans="1:32" x14ac:dyDescent="0.3">
      <c r="A1084" s="38" t="s">
        <v>280</v>
      </c>
      <c r="B1084" s="38" t="s">
        <v>174</v>
      </c>
      <c r="C1084" s="38" t="s">
        <v>279</v>
      </c>
      <c r="D1084" s="39" t="s">
        <v>176</v>
      </c>
      <c r="E1084" s="39" t="s">
        <v>195</v>
      </c>
      <c r="F1084" s="38" t="s">
        <v>133</v>
      </c>
      <c r="G1084" s="38" t="s">
        <v>130</v>
      </c>
      <c r="H1084" s="44">
        <v>0</v>
      </c>
      <c r="I1084" s="44">
        <v>0</v>
      </c>
      <c r="J1084" s="44"/>
      <c r="K1084" s="44"/>
      <c r="L1084" s="44"/>
      <c r="M1084" s="44"/>
      <c r="N1084" s="44"/>
      <c r="O1084" s="44"/>
      <c r="P1084" s="44"/>
      <c r="Q1084" s="44"/>
      <c r="R1084" s="44"/>
      <c r="S1084" s="44"/>
      <c r="T1084" s="44"/>
      <c r="U1084" s="44"/>
      <c r="V1084" s="44"/>
      <c r="W1084" s="44"/>
      <c r="X1084" s="44"/>
      <c r="Y1084" s="44"/>
      <c r="Z1084" s="44"/>
      <c r="AA1084" s="44"/>
      <c r="AB1084" s="44"/>
      <c r="AC1084" s="44"/>
      <c r="AD1084" s="44"/>
      <c r="AE1084" s="44"/>
      <c r="AF1084" s="44"/>
    </row>
    <row r="1085" spans="1:32" x14ac:dyDescent="0.3">
      <c r="A1085" s="38" t="s">
        <v>280</v>
      </c>
      <c r="B1085" s="38" t="s">
        <v>174</v>
      </c>
      <c r="C1085" s="38" t="s">
        <v>279</v>
      </c>
      <c r="D1085" s="39" t="s">
        <v>176</v>
      </c>
      <c r="E1085" s="39" t="s">
        <v>195</v>
      </c>
      <c r="F1085" s="38" t="s">
        <v>134</v>
      </c>
      <c r="G1085" s="38" t="s">
        <v>130</v>
      </c>
      <c r="H1085" s="44">
        <v>15557</v>
      </c>
      <c r="I1085" s="44">
        <v>15557</v>
      </c>
      <c r="J1085" s="44"/>
      <c r="K1085" s="44"/>
      <c r="L1085" s="44"/>
      <c r="M1085" s="44"/>
      <c r="N1085" s="44"/>
      <c r="O1085" s="44"/>
      <c r="P1085" s="44"/>
      <c r="Q1085" s="44"/>
      <c r="R1085" s="44"/>
      <c r="S1085" s="44"/>
      <c r="T1085" s="44"/>
      <c r="U1085" s="44"/>
      <c r="V1085" s="44"/>
      <c r="W1085" s="44"/>
      <c r="X1085" s="44"/>
      <c r="Y1085" s="44"/>
      <c r="Z1085" s="44"/>
      <c r="AA1085" s="44"/>
      <c r="AB1085" s="44"/>
      <c r="AC1085" s="44"/>
      <c r="AD1085" s="44"/>
      <c r="AE1085" s="44"/>
      <c r="AF1085" s="44"/>
    </row>
    <row r="1086" spans="1:32" x14ac:dyDescent="0.3">
      <c r="A1086" s="38" t="s">
        <v>280</v>
      </c>
      <c r="B1086" s="38" t="s">
        <v>174</v>
      </c>
      <c r="C1086" s="38" t="s">
        <v>279</v>
      </c>
      <c r="D1086" s="39" t="s">
        <v>176</v>
      </c>
      <c r="E1086" s="39" t="s">
        <v>195</v>
      </c>
      <c r="F1086" s="38" t="s">
        <v>135</v>
      </c>
      <c r="G1086" s="38" t="s">
        <v>130</v>
      </c>
      <c r="H1086" s="44"/>
      <c r="I1086" s="44"/>
      <c r="J1086" s="44"/>
      <c r="K1086" s="44"/>
      <c r="L1086" s="44"/>
      <c r="M1086" s="44"/>
      <c r="N1086" s="44"/>
      <c r="O1086" s="44"/>
      <c r="P1086" s="44"/>
      <c r="Q1086" s="44"/>
      <c r="R1086" s="44"/>
      <c r="S1086" s="44"/>
      <c r="T1086" s="44"/>
      <c r="U1086" s="44"/>
      <c r="V1086" s="44"/>
      <c r="W1086" s="44"/>
      <c r="X1086" s="44"/>
      <c r="Y1086" s="44"/>
      <c r="Z1086" s="44"/>
      <c r="AA1086" s="44"/>
      <c r="AB1086" s="44"/>
      <c r="AC1086" s="44"/>
      <c r="AD1086" s="44"/>
      <c r="AE1086" s="44"/>
      <c r="AF1086" s="44"/>
    </row>
    <row r="1087" spans="1:32" x14ac:dyDescent="0.3">
      <c r="A1087" s="38" t="s">
        <v>280</v>
      </c>
      <c r="B1087" s="38" t="s">
        <v>174</v>
      </c>
      <c r="C1087" s="38" t="s">
        <v>279</v>
      </c>
      <c r="D1087" s="39" t="s">
        <v>176</v>
      </c>
      <c r="E1087" s="39" t="s">
        <v>195</v>
      </c>
      <c r="F1087" s="38" t="s">
        <v>136</v>
      </c>
      <c r="G1087" s="38" t="s">
        <v>130</v>
      </c>
      <c r="H1087" s="44">
        <f>SUM(I1087:AF1087)</f>
        <v>22176</v>
      </c>
      <c r="I1087" s="44">
        <f t="shared" ref="I1087:AF1087" si="249">IF(AND(ISBLANK(I1090) = TRUE,ISBLANK(I1089) = TRUE),I1088,I1089+I1090)</f>
        <v>0</v>
      </c>
      <c r="J1087" s="44">
        <f t="shared" si="249"/>
        <v>0</v>
      </c>
      <c r="K1087" s="44">
        <f t="shared" si="249"/>
        <v>0</v>
      </c>
      <c r="L1087" s="44">
        <f t="shared" si="249"/>
        <v>0</v>
      </c>
      <c r="M1087" s="44">
        <f t="shared" si="249"/>
        <v>0</v>
      </c>
      <c r="N1087" s="44">
        <f t="shared" si="249"/>
        <v>0</v>
      </c>
      <c r="O1087" s="44">
        <f t="shared" si="249"/>
        <v>0</v>
      </c>
      <c r="P1087" s="44">
        <f t="shared" si="249"/>
        <v>0</v>
      </c>
      <c r="Q1087" s="44">
        <f t="shared" si="249"/>
        <v>1584</v>
      </c>
      <c r="R1087" s="44">
        <f t="shared" si="249"/>
        <v>4752</v>
      </c>
      <c r="S1087" s="44">
        <f t="shared" si="249"/>
        <v>3168</v>
      </c>
      <c r="T1087" s="44">
        <f t="shared" si="249"/>
        <v>3168</v>
      </c>
      <c r="U1087" s="44">
        <f t="shared" si="249"/>
        <v>3168</v>
      </c>
      <c r="V1087" s="44">
        <f t="shared" si="249"/>
        <v>3168</v>
      </c>
      <c r="W1087" s="44">
        <f t="shared" si="249"/>
        <v>1584</v>
      </c>
      <c r="X1087" s="44">
        <f t="shared" si="249"/>
        <v>1584</v>
      </c>
      <c r="Y1087" s="44">
        <f t="shared" si="249"/>
        <v>0</v>
      </c>
      <c r="Z1087" s="44">
        <f t="shared" si="249"/>
        <v>0</v>
      </c>
      <c r="AA1087" s="44">
        <f t="shared" si="249"/>
        <v>0</v>
      </c>
      <c r="AB1087" s="44">
        <f t="shared" si="249"/>
        <v>0</v>
      </c>
      <c r="AC1087" s="44">
        <f t="shared" si="249"/>
        <v>0</v>
      </c>
      <c r="AD1087" s="44">
        <f t="shared" si="249"/>
        <v>0</v>
      </c>
      <c r="AE1087" s="44">
        <f t="shared" si="249"/>
        <v>0</v>
      </c>
      <c r="AF1087" s="44">
        <f t="shared" si="249"/>
        <v>0</v>
      </c>
    </row>
    <row r="1088" spans="1:32" x14ac:dyDescent="0.3">
      <c r="A1088" s="38" t="s">
        <v>280</v>
      </c>
      <c r="B1088" s="38" t="s">
        <v>174</v>
      </c>
      <c r="C1088" s="38" t="s">
        <v>279</v>
      </c>
      <c r="D1088" s="39" t="s">
        <v>176</v>
      </c>
      <c r="E1088" s="39" t="s">
        <v>195</v>
      </c>
      <c r="F1088" s="38" t="s">
        <v>124</v>
      </c>
      <c r="G1088" s="38" t="s">
        <v>130</v>
      </c>
      <c r="H1088" s="44">
        <v>22176</v>
      </c>
      <c r="I1088" s="44"/>
      <c r="J1088" s="44"/>
      <c r="K1088" s="44"/>
      <c r="L1088" s="44"/>
      <c r="M1088" s="44"/>
      <c r="N1088" s="44"/>
      <c r="O1088" s="44"/>
      <c r="P1088" s="44"/>
      <c r="Q1088" s="44">
        <v>1584</v>
      </c>
      <c r="R1088" s="44">
        <v>4752</v>
      </c>
      <c r="S1088" s="44">
        <v>3168</v>
      </c>
      <c r="T1088" s="44">
        <v>3168</v>
      </c>
      <c r="U1088" s="44">
        <v>3168</v>
      </c>
      <c r="V1088" s="44">
        <v>3168</v>
      </c>
      <c r="W1088" s="44">
        <v>1584</v>
      </c>
      <c r="X1088" s="44">
        <v>1584</v>
      </c>
      <c r="Y1088" s="44"/>
      <c r="Z1088" s="44"/>
      <c r="AA1088" s="44"/>
      <c r="AB1088" s="44"/>
      <c r="AC1088" s="44"/>
      <c r="AD1088" s="44"/>
      <c r="AE1088" s="44"/>
      <c r="AF1088" s="44"/>
    </row>
    <row r="1089" spans="1:32" x14ac:dyDescent="0.3">
      <c r="A1089" s="38" t="s">
        <v>280</v>
      </c>
      <c r="B1089" s="38" t="s">
        <v>174</v>
      </c>
      <c r="C1089" s="38" t="s">
        <v>279</v>
      </c>
      <c r="D1089" s="39" t="s">
        <v>176</v>
      </c>
      <c r="E1089" s="39" t="s">
        <v>195</v>
      </c>
      <c r="F1089" s="38" t="s">
        <v>137</v>
      </c>
      <c r="G1089" s="38" t="s">
        <v>130</v>
      </c>
      <c r="H1089" s="44">
        <f>SUM(I1089:AF1089)</f>
        <v>0</v>
      </c>
      <c r="I1089" s="44"/>
      <c r="J1089" s="44"/>
      <c r="K1089" s="44"/>
      <c r="L1089" s="44"/>
      <c r="M1089" s="44"/>
      <c r="N1089" s="44"/>
      <c r="O1089" s="44"/>
      <c r="P1089" s="44"/>
      <c r="Q1089" s="44"/>
      <c r="R1089" s="44"/>
      <c r="S1089" s="44"/>
      <c r="T1089" s="44"/>
      <c r="U1089" s="44"/>
      <c r="V1089" s="44"/>
      <c r="W1089" s="44"/>
      <c r="X1089" s="44"/>
      <c r="Y1089" s="44"/>
      <c r="Z1089" s="44"/>
      <c r="AA1089" s="44"/>
      <c r="AB1089" s="44"/>
      <c r="AC1089" s="44"/>
      <c r="AD1089" s="44"/>
      <c r="AE1089" s="44"/>
      <c r="AF1089" s="44"/>
    </row>
    <row r="1090" spans="1:32" x14ac:dyDescent="0.3">
      <c r="A1090" s="38" t="s">
        <v>280</v>
      </c>
      <c r="B1090" s="38" t="s">
        <v>174</v>
      </c>
      <c r="C1090" s="38" t="s">
        <v>279</v>
      </c>
      <c r="D1090" s="39" t="s">
        <v>176</v>
      </c>
      <c r="E1090" s="39" t="s">
        <v>195</v>
      </c>
      <c r="F1090" s="38" t="s">
        <v>138</v>
      </c>
      <c r="G1090" s="38" t="s">
        <v>130</v>
      </c>
      <c r="H1090" s="44">
        <f>SUM(I1090:AF1090)</f>
        <v>0</v>
      </c>
      <c r="I1090" s="44"/>
      <c r="J1090" s="44"/>
      <c r="K1090" s="44"/>
      <c r="L1090" s="44"/>
      <c r="M1090" s="44"/>
      <c r="N1090" s="44"/>
      <c r="O1090" s="44"/>
      <c r="P1090" s="44"/>
      <c r="Q1090" s="44"/>
      <c r="R1090" s="44"/>
      <c r="S1090" s="44"/>
      <c r="T1090" s="44"/>
      <c r="U1090" s="44"/>
      <c r="V1090" s="44"/>
      <c r="W1090" s="44"/>
      <c r="X1090" s="44"/>
      <c r="Y1090" s="44"/>
      <c r="Z1090" s="44"/>
      <c r="AA1090" s="44"/>
      <c r="AB1090" s="44"/>
      <c r="AC1090" s="44"/>
      <c r="AD1090" s="44"/>
      <c r="AE1090" s="44"/>
      <c r="AF1090" s="44"/>
    </row>
    <row r="1091" spans="1:32" x14ac:dyDescent="0.3">
      <c r="A1091" s="38" t="s">
        <v>280</v>
      </c>
      <c r="B1091" s="38" t="s">
        <v>174</v>
      </c>
      <c r="C1091" s="38" t="s">
        <v>279</v>
      </c>
      <c r="D1091" s="39" t="s">
        <v>176</v>
      </c>
      <c r="E1091" s="39" t="s">
        <v>195</v>
      </c>
      <c r="F1091" s="38" t="s">
        <v>139</v>
      </c>
      <c r="G1091" s="38" t="s">
        <v>130</v>
      </c>
      <c r="H1091" s="44">
        <v>22176</v>
      </c>
      <c r="I1091" s="44"/>
      <c r="J1091" s="44"/>
      <c r="K1091" s="44"/>
      <c r="L1091" s="44"/>
      <c r="M1091" s="44"/>
      <c r="N1091" s="44"/>
      <c r="O1091" s="44"/>
      <c r="P1091" s="44"/>
      <c r="Q1091" s="44">
        <v>1584</v>
      </c>
      <c r="R1091" s="44">
        <v>4752</v>
      </c>
      <c r="S1091" s="44">
        <v>3168</v>
      </c>
      <c r="T1091" s="44">
        <v>3168</v>
      </c>
      <c r="U1091" s="44">
        <v>3168</v>
      </c>
      <c r="V1091" s="44">
        <v>3168</v>
      </c>
      <c r="W1091" s="44">
        <v>1584</v>
      </c>
      <c r="X1091" s="44">
        <v>1584</v>
      </c>
      <c r="Y1091" s="44"/>
      <c r="Z1091" s="44"/>
      <c r="AA1091" s="44"/>
      <c r="AB1091" s="44"/>
      <c r="AC1091" s="44"/>
      <c r="AD1091" s="44"/>
      <c r="AE1091" s="44"/>
      <c r="AF1091" s="44"/>
    </row>
    <row r="1092" spans="1:32" x14ac:dyDescent="0.3">
      <c r="A1092" s="38" t="s">
        <v>280</v>
      </c>
      <c r="B1092" s="38" t="s">
        <v>174</v>
      </c>
      <c r="C1092" s="38" t="s">
        <v>279</v>
      </c>
      <c r="D1092" s="39" t="s">
        <v>176</v>
      </c>
      <c r="E1092" s="39" t="s">
        <v>195</v>
      </c>
      <c r="F1092" s="38" t="s">
        <v>140</v>
      </c>
      <c r="G1092" s="38" t="s">
        <v>130</v>
      </c>
      <c r="H1092" s="44"/>
      <c r="I1092" s="44">
        <f>I1087-(I1082+I1081)+(I1086+I1085+I1084+I1083)</f>
        <v>31370</v>
      </c>
      <c r="J1092" s="44">
        <f t="shared" ref="J1092:AF1092" si="250">I1092+J1087-J1082</f>
        <v>8134</v>
      </c>
      <c r="K1092" s="44">
        <f t="shared" si="250"/>
        <v>-9731</v>
      </c>
      <c r="L1092" s="44">
        <f t="shared" si="250"/>
        <v>-37948</v>
      </c>
      <c r="M1092" s="44">
        <f t="shared" si="250"/>
        <v>-56219</v>
      </c>
      <c r="N1092" s="44">
        <f t="shared" si="250"/>
        <v>-62855</v>
      </c>
      <c r="O1092" s="44">
        <f t="shared" si="250"/>
        <v>-68375</v>
      </c>
      <c r="P1092" s="44">
        <f t="shared" si="250"/>
        <v>-74986</v>
      </c>
      <c r="Q1092" s="44">
        <f t="shared" si="250"/>
        <v>-83685</v>
      </c>
      <c r="R1092" s="44">
        <f t="shared" si="250"/>
        <v>-90170</v>
      </c>
      <c r="S1092" s="44">
        <f t="shared" si="250"/>
        <v>-94274</v>
      </c>
      <c r="T1092" s="44">
        <f t="shared" si="250"/>
        <v>-98202</v>
      </c>
      <c r="U1092" s="44">
        <f t="shared" si="250"/>
        <v>-101549</v>
      </c>
      <c r="V1092" s="44">
        <f t="shared" si="250"/>
        <v>-103457</v>
      </c>
      <c r="W1092" s="44">
        <f t="shared" si="250"/>
        <v>-106577</v>
      </c>
      <c r="X1092" s="44">
        <f t="shared" si="250"/>
        <v>-109466</v>
      </c>
      <c r="Y1092" s="44">
        <f t="shared" si="250"/>
        <v>-114003</v>
      </c>
      <c r="Z1092" s="44">
        <f t="shared" si="250"/>
        <v>-118436</v>
      </c>
      <c r="AA1092" s="44">
        <f t="shared" si="250"/>
        <v>-123723</v>
      </c>
      <c r="AB1092" s="44">
        <f t="shared" si="250"/>
        <v>-129056</v>
      </c>
      <c r="AC1092" s="44">
        <f t="shared" si="250"/>
        <v>-133852</v>
      </c>
      <c r="AD1092" s="44">
        <f t="shared" si="250"/>
        <v>-138021</v>
      </c>
      <c r="AE1092" s="44">
        <f t="shared" si="250"/>
        <v>-139549</v>
      </c>
      <c r="AF1092" s="44">
        <f t="shared" si="250"/>
        <v>-141053</v>
      </c>
    </row>
    <row r="1093" spans="1:32" ht="15" thickBot="1" x14ac:dyDescent="0.35">
      <c r="A1093" s="40" t="s">
        <v>280</v>
      </c>
      <c r="B1093" s="40" t="s">
        <v>174</v>
      </c>
      <c r="C1093" s="40" t="s">
        <v>279</v>
      </c>
      <c r="D1093" s="41" t="s">
        <v>176</v>
      </c>
      <c r="E1093" s="41" t="s">
        <v>195</v>
      </c>
      <c r="F1093" s="40" t="s">
        <v>141</v>
      </c>
      <c r="G1093" s="40" t="s">
        <v>130</v>
      </c>
      <c r="H1093" s="45"/>
      <c r="I1093" s="45">
        <f>I1087-I1091</f>
        <v>0</v>
      </c>
      <c r="J1093" s="45">
        <f t="shared" ref="J1093:AF1093" si="251">I1093+J1087-J1091</f>
        <v>0</v>
      </c>
      <c r="K1093" s="45">
        <f t="shared" si="251"/>
        <v>0</v>
      </c>
      <c r="L1093" s="45">
        <f t="shared" si="251"/>
        <v>0</v>
      </c>
      <c r="M1093" s="45">
        <f t="shared" si="251"/>
        <v>0</v>
      </c>
      <c r="N1093" s="45">
        <f t="shared" si="251"/>
        <v>0</v>
      </c>
      <c r="O1093" s="45">
        <f t="shared" si="251"/>
        <v>0</v>
      </c>
      <c r="P1093" s="45">
        <f t="shared" si="251"/>
        <v>0</v>
      </c>
      <c r="Q1093" s="45">
        <f t="shared" si="251"/>
        <v>0</v>
      </c>
      <c r="R1093" s="45">
        <f t="shared" si="251"/>
        <v>0</v>
      </c>
      <c r="S1093" s="45">
        <f t="shared" si="251"/>
        <v>0</v>
      </c>
      <c r="T1093" s="45">
        <f t="shared" si="251"/>
        <v>0</v>
      </c>
      <c r="U1093" s="45">
        <f t="shared" si="251"/>
        <v>0</v>
      </c>
      <c r="V1093" s="45">
        <f t="shared" si="251"/>
        <v>0</v>
      </c>
      <c r="W1093" s="45">
        <f t="shared" si="251"/>
        <v>0</v>
      </c>
      <c r="X1093" s="45">
        <f t="shared" si="251"/>
        <v>0</v>
      </c>
      <c r="Y1093" s="45">
        <f t="shared" si="251"/>
        <v>0</v>
      </c>
      <c r="Z1093" s="45">
        <f t="shared" si="251"/>
        <v>0</v>
      </c>
      <c r="AA1093" s="45">
        <f t="shared" si="251"/>
        <v>0</v>
      </c>
      <c r="AB1093" s="45">
        <f t="shared" si="251"/>
        <v>0</v>
      </c>
      <c r="AC1093" s="45">
        <f t="shared" si="251"/>
        <v>0</v>
      </c>
      <c r="AD1093" s="45">
        <f t="shared" si="251"/>
        <v>0</v>
      </c>
      <c r="AE1093" s="45">
        <f t="shared" si="251"/>
        <v>0</v>
      </c>
      <c r="AF1093" s="45">
        <f t="shared" si="251"/>
        <v>0</v>
      </c>
    </row>
    <row r="1094" spans="1:32" x14ac:dyDescent="0.3">
      <c r="A1094" s="38" t="s">
        <v>281</v>
      </c>
      <c r="B1094" s="38" t="s">
        <v>174</v>
      </c>
      <c r="C1094" s="38" t="s">
        <v>282</v>
      </c>
      <c r="D1094" s="39" t="s">
        <v>183</v>
      </c>
      <c r="E1094" s="39" t="s">
        <v>177</v>
      </c>
      <c r="F1094" s="38" t="s">
        <v>129</v>
      </c>
      <c r="G1094" s="38" t="s">
        <v>130</v>
      </c>
      <c r="H1094" s="44">
        <v>213</v>
      </c>
      <c r="I1094" s="44">
        <v>213</v>
      </c>
      <c r="J1094" s="44"/>
      <c r="K1094" s="44"/>
      <c r="L1094" s="44"/>
      <c r="M1094" s="44"/>
      <c r="N1094" s="44"/>
      <c r="O1094" s="44"/>
      <c r="P1094" s="44"/>
      <c r="Q1094" s="44"/>
      <c r="R1094" s="44"/>
      <c r="S1094" s="44"/>
      <c r="T1094" s="44"/>
      <c r="U1094" s="44"/>
      <c r="V1094" s="44"/>
      <c r="W1094" s="44"/>
      <c r="X1094" s="44"/>
      <c r="Y1094" s="44"/>
      <c r="Z1094" s="44"/>
      <c r="AA1094" s="44"/>
      <c r="AB1094" s="44"/>
      <c r="AC1094" s="44"/>
      <c r="AD1094" s="44"/>
      <c r="AE1094" s="44"/>
      <c r="AF1094" s="44"/>
    </row>
    <row r="1095" spans="1:32" x14ac:dyDescent="0.3">
      <c r="A1095" s="38" t="s">
        <v>281</v>
      </c>
      <c r="B1095" s="38" t="s">
        <v>174</v>
      </c>
      <c r="C1095" s="38" t="s">
        <v>282</v>
      </c>
      <c r="D1095" s="39" t="s">
        <v>183</v>
      </c>
      <c r="E1095" s="39" t="s">
        <v>177</v>
      </c>
      <c r="F1095" s="38" t="s">
        <v>131</v>
      </c>
      <c r="G1095" s="38" t="s">
        <v>130</v>
      </c>
      <c r="H1095" s="44">
        <v>570.5</v>
      </c>
      <c r="I1095" s="44">
        <v>32</v>
      </c>
      <c r="J1095" s="44">
        <v>31.5</v>
      </c>
      <c r="K1095" s="44">
        <v>27</v>
      </c>
      <c r="L1095" s="44">
        <v>27</v>
      </c>
      <c r="M1095" s="44">
        <v>24.5</v>
      </c>
      <c r="N1095" s="44">
        <v>24.5</v>
      </c>
      <c r="O1095" s="44">
        <v>24.5</v>
      </c>
      <c r="P1095" s="44">
        <v>24.5</v>
      </c>
      <c r="Q1095" s="44">
        <v>22.5</v>
      </c>
      <c r="R1095" s="44">
        <v>20.5</v>
      </c>
      <c r="S1095" s="44">
        <v>20.5</v>
      </c>
      <c r="T1095" s="44">
        <v>20</v>
      </c>
      <c r="U1095" s="44">
        <v>21</v>
      </c>
      <c r="V1095" s="44">
        <v>25</v>
      </c>
      <c r="W1095" s="44">
        <v>25</v>
      </c>
      <c r="X1095" s="44">
        <v>24.5</v>
      </c>
      <c r="Y1095" s="44">
        <v>24.5</v>
      </c>
      <c r="Z1095" s="44">
        <v>23</v>
      </c>
      <c r="AA1095" s="44">
        <v>23</v>
      </c>
      <c r="AB1095" s="44">
        <v>22.5</v>
      </c>
      <c r="AC1095" s="44">
        <v>22.5</v>
      </c>
      <c r="AD1095" s="44">
        <v>20.5</v>
      </c>
      <c r="AE1095" s="44">
        <v>20</v>
      </c>
      <c r="AF1095" s="44">
        <v>20</v>
      </c>
    </row>
    <row r="1096" spans="1:32" x14ac:dyDescent="0.3">
      <c r="A1096" s="38" t="s">
        <v>281</v>
      </c>
      <c r="B1096" s="38" t="s">
        <v>174</v>
      </c>
      <c r="C1096" s="38" t="s">
        <v>282</v>
      </c>
      <c r="D1096" s="39" t="s">
        <v>183</v>
      </c>
      <c r="E1096" s="39" t="s">
        <v>177</v>
      </c>
      <c r="F1096" s="38" t="s">
        <v>132</v>
      </c>
      <c r="G1096" s="38" t="s">
        <v>130</v>
      </c>
      <c r="H1096" s="44">
        <v>0</v>
      </c>
      <c r="I1096" s="44">
        <v>0</v>
      </c>
      <c r="J1096" s="44"/>
      <c r="K1096" s="44"/>
      <c r="L1096" s="44"/>
      <c r="M1096" s="44"/>
      <c r="N1096" s="44"/>
      <c r="O1096" s="44"/>
      <c r="P1096" s="44"/>
      <c r="Q1096" s="44"/>
      <c r="R1096" s="44"/>
      <c r="S1096" s="44"/>
      <c r="T1096" s="44"/>
      <c r="U1096" s="44"/>
      <c r="V1096" s="44"/>
      <c r="W1096" s="44"/>
      <c r="X1096" s="44"/>
      <c r="Y1096" s="44"/>
      <c r="Z1096" s="44"/>
      <c r="AA1096" s="44"/>
      <c r="AB1096" s="44"/>
      <c r="AC1096" s="44"/>
      <c r="AD1096" s="44"/>
      <c r="AE1096" s="44"/>
      <c r="AF1096" s="44"/>
    </row>
    <row r="1097" spans="1:32" x14ac:dyDescent="0.3">
      <c r="A1097" s="38" t="s">
        <v>281</v>
      </c>
      <c r="B1097" s="38" t="s">
        <v>174</v>
      </c>
      <c r="C1097" s="38" t="s">
        <v>282</v>
      </c>
      <c r="D1097" s="39" t="s">
        <v>183</v>
      </c>
      <c r="E1097" s="39" t="s">
        <v>177</v>
      </c>
      <c r="F1097" s="38" t="s">
        <v>133</v>
      </c>
      <c r="G1097" s="38" t="s">
        <v>130</v>
      </c>
      <c r="H1097" s="44">
        <v>0</v>
      </c>
      <c r="I1097" s="44">
        <v>0</v>
      </c>
      <c r="J1097" s="44"/>
      <c r="K1097" s="44"/>
      <c r="L1097" s="44"/>
      <c r="M1097" s="44"/>
      <c r="N1097" s="44"/>
      <c r="O1097" s="44"/>
      <c r="P1097" s="44"/>
      <c r="Q1097" s="44"/>
      <c r="R1097" s="44"/>
      <c r="S1097" s="44"/>
      <c r="T1097" s="44"/>
      <c r="U1097" s="44"/>
      <c r="V1097" s="44"/>
      <c r="W1097" s="44"/>
      <c r="X1097" s="44"/>
      <c r="Y1097" s="44"/>
      <c r="Z1097" s="44"/>
      <c r="AA1097" s="44"/>
      <c r="AB1097" s="44"/>
      <c r="AC1097" s="44"/>
      <c r="AD1097" s="44"/>
      <c r="AE1097" s="44"/>
      <c r="AF1097" s="44"/>
    </row>
    <row r="1098" spans="1:32" x14ac:dyDescent="0.3">
      <c r="A1098" s="38" t="s">
        <v>281</v>
      </c>
      <c r="B1098" s="38" t="s">
        <v>174</v>
      </c>
      <c r="C1098" s="38" t="s">
        <v>282</v>
      </c>
      <c r="D1098" s="39" t="s">
        <v>183</v>
      </c>
      <c r="E1098" s="39" t="s">
        <v>177</v>
      </c>
      <c r="F1098" s="38" t="s">
        <v>134</v>
      </c>
      <c r="G1098" s="38" t="s">
        <v>130</v>
      </c>
      <c r="H1098" s="44">
        <v>0</v>
      </c>
      <c r="I1098" s="44">
        <v>0</v>
      </c>
      <c r="J1098" s="44"/>
      <c r="K1098" s="44"/>
      <c r="L1098" s="44"/>
      <c r="M1098" s="44"/>
      <c r="N1098" s="44"/>
      <c r="O1098" s="44"/>
      <c r="P1098" s="44"/>
      <c r="Q1098" s="44"/>
      <c r="R1098" s="44"/>
      <c r="S1098" s="44"/>
      <c r="T1098" s="44"/>
      <c r="U1098" s="44"/>
      <c r="V1098" s="44"/>
      <c r="W1098" s="44"/>
      <c r="X1098" s="44"/>
      <c r="Y1098" s="44"/>
      <c r="Z1098" s="44"/>
      <c r="AA1098" s="44"/>
      <c r="AB1098" s="44"/>
      <c r="AC1098" s="44"/>
      <c r="AD1098" s="44"/>
      <c r="AE1098" s="44"/>
      <c r="AF1098" s="44"/>
    </row>
    <row r="1099" spans="1:32" x14ac:dyDescent="0.3">
      <c r="A1099" s="38" t="s">
        <v>281</v>
      </c>
      <c r="B1099" s="38" t="s">
        <v>174</v>
      </c>
      <c r="C1099" s="38" t="s">
        <v>282</v>
      </c>
      <c r="D1099" s="39" t="s">
        <v>183</v>
      </c>
      <c r="E1099" s="39" t="s">
        <v>177</v>
      </c>
      <c r="F1099" s="38" t="s">
        <v>135</v>
      </c>
      <c r="G1099" s="38" t="s">
        <v>130</v>
      </c>
      <c r="H1099" s="44"/>
      <c r="I1099" s="44"/>
      <c r="J1099" s="44"/>
      <c r="K1099" s="44"/>
      <c r="L1099" s="44"/>
      <c r="M1099" s="44"/>
      <c r="N1099" s="44"/>
      <c r="O1099" s="44"/>
      <c r="P1099" s="44"/>
      <c r="Q1099" s="44"/>
      <c r="R1099" s="44"/>
      <c r="S1099" s="44"/>
      <c r="T1099" s="44"/>
      <c r="U1099" s="44"/>
      <c r="V1099" s="44"/>
      <c r="W1099" s="44"/>
      <c r="X1099" s="44"/>
      <c r="Y1099" s="44"/>
      <c r="Z1099" s="44"/>
      <c r="AA1099" s="44"/>
      <c r="AB1099" s="44"/>
      <c r="AC1099" s="44"/>
      <c r="AD1099" s="44"/>
      <c r="AE1099" s="44"/>
      <c r="AF1099" s="44"/>
    </row>
    <row r="1100" spans="1:32" x14ac:dyDescent="0.3">
      <c r="A1100" s="38" t="s">
        <v>281</v>
      </c>
      <c r="B1100" s="38" t="s">
        <v>174</v>
      </c>
      <c r="C1100" s="38" t="s">
        <v>282</v>
      </c>
      <c r="D1100" s="39" t="s">
        <v>183</v>
      </c>
      <c r="E1100" s="39" t="s">
        <v>177</v>
      </c>
      <c r="F1100" s="38" t="s">
        <v>136</v>
      </c>
      <c r="G1100" s="38" t="s">
        <v>130</v>
      </c>
      <c r="H1100" s="44">
        <f>SUM(I1100:AF1100)</f>
        <v>3200</v>
      </c>
      <c r="I1100" s="44">
        <f t="shared" ref="I1100:AF1100" si="252">IF(AND(ISBLANK(I1103) = TRUE,ISBLANK(I1102) = TRUE),I1101,I1102+I1103)</f>
        <v>0</v>
      </c>
      <c r="J1100" s="44">
        <f t="shared" si="252"/>
        <v>0</v>
      </c>
      <c r="K1100" s="44">
        <f t="shared" si="252"/>
        <v>0</v>
      </c>
      <c r="L1100" s="44">
        <f t="shared" si="252"/>
        <v>0</v>
      </c>
      <c r="M1100" s="44">
        <f t="shared" si="252"/>
        <v>0</v>
      </c>
      <c r="N1100" s="44">
        <f t="shared" si="252"/>
        <v>0</v>
      </c>
      <c r="O1100" s="44">
        <f t="shared" si="252"/>
        <v>0</v>
      </c>
      <c r="P1100" s="44">
        <f t="shared" si="252"/>
        <v>0</v>
      </c>
      <c r="Q1100" s="44">
        <f t="shared" si="252"/>
        <v>0</v>
      </c>
      <c r="R1100" s="44">
        <f t="shared" si="252"/>
        <v>0</v>
      </c>
      <c r="S1100" s="44">
        <f t="shared" si="252"/>
        <v>0</v>
      </c>
      <c r="T1100" s="44">
        <f t="shared" si="252"/>
        <v>0</v>
      </c>
      <c r="U1100" s="44">
        <f t="shared" si="252"/>
        <v>0</v>
      </c>
      <c r="V1100" s="44">
        <f t="shared" si="252"/>
        <v>0</v>
      </c>
      <c r="W1100" s="44">
        <f t="shared" si="252"/>
        <v>3200</v>
      </c>
      <c r="X1100" s="44">
        <f t="shared" si="252"/>
        <v>0</v>
      </c>
      <c r="Y1100" s="44">
        <f t="shared" si="252"/>
        <v>0</v>
      </c>
      <c r="Z1100" s="44">
        <f t="shared" si="252"/>
        <v>0</v>
      </c>
      <c r="AA1100" s="44">
        <f t="shared" si="252"/>
        <v>0</v>
      </c>
      <c r="AB1100" s="44">
        <f t="shared" si="252"/>
        <v>0</v>
      </c>
      <c r="AC1100" s="44">
        <f t="shared" si="252"/>
        <v>0</v>
      </c>
      <c r="AD1100" s="44">
        <f t="shared" si="252"/>
        <v>0</v>
      </c>
      <c r="AE1100" s="44">
        <f t="shared" si="252"/>
        <v>0</v>
      </c>
      <c r="AF1100" s="44">
        <f t="shared" si="252"/>
        <v>0</v>
      </c>
    </row>
    <row r="1101" spans="1:32" x14ac:dyDescent="0.3">
      <c r="A1101" s="38" t="s">
        <v>281</v>
      </c>
      <c r="B1101" s="38" t="s">
        <v>174</v>
      </c>
      <c r="C1101" s="38" t="s">
        <v>282</v>
      </c>
      <c r="D1101" s="39" t="s">
        <v>183</v>
      </c>
      <c r="E1101" s="39" t="s">
        <v>177</v>
      </c>
      <c r="F1101" s="38" t="s">
        <v>124</v>
      </c>
      <c r="G1101" s="38" t="s">
        <v>130</v>
      </c>
      <c r="H1101" s="44">
        <v>3200</v>
      </c>
      <c r="I1101" s="44"/>
      <c r="J1101" s="44"/>
      <c r="K1101" s="44"/>
      <c r="L1101" s="44"/>
      <c r="M1101" s="44"/>
      <c r="N1101" s="44"/>
      <c r="O1101" s="44"/>
      <c r="P1101" s="44"/>
      <c r="Q1101" s="44"/>
      <c r="R1101" s="44"/>
      <c r="S1101" s="44"/>
      <c r="T1101" s="44"/>
      <c r="U1101" s="44"/>
      <c r="V1101" s="44"/>
      <c r="W1101" s="44">
        <v>3200</v>
      </c>
      <c r="X1101" s="44"/>
      <c r="Y1101" s="44"/>
      <c r="Z1101" s="44"/>
      <c r="AA1101" s="44"/>
      <c r="AB1101" s="44"/>
      <c r="AC1101" s="44"/>
      <c r="AD1101" s="44"/>
      <c r="AE1101" s="44"/>
      <c r="AF1101" s="44"/>
    </row>
    <row r="1102" spans="1:32" x14ac:dyDescent="0.3">
      <c r="A1102" s="38" t="s">
        <v>281</v>
      </c>
      <c r="B1102" s="38" t="s">
        <v>174</v>
      </c>
      <c r="C1102" s="38" t="s">
        <v>282</v>
      </c>
      <c r="D1102" s="39" t="s">
        <v>183</v>
      </c>
      <c r="E1102" s="39" t="s">
        <v>177</v>
      </c>
      <c r="F1102" s="38" t="s">
        <v>137</v>
      </c>
      <c r="G1102" s="38" t="s">
        <v>130</v>
      </c>
      <c r="H1102" s="44">
        <f>SUM(I1102:AF1102)</f>
        <v>0</v>
      </c>
      <c r="I1102" s="44"/>
      <c r="J1102" s="44"/>
      <c r="K1102" s="44"/>
      <c r="L1102" s="44"/>
      <c r="M1102" s="44"/>
      <c r="N1102" s="44"/>
      <c r="O1102" s="44"/>
      <c r="P1102" s="44"/>
      <c r="Q1102" s="44"/>
      <c r="R1102" s="44"/>
      <c r="S1102" s="44"/>
      <c r="T1102" s="44"/>
      <c r="U1102" s="44"/>
      <c r="V1102" s="44"/>
      <c r="W1102" s="44"/>
      <c r="X1102" s="44"/>
      <c r="Y1102" s="44"/>
      <c r="Z1102" s="44"/>
      <c r="AA1102" s="44"/>
      <c r="AB1102" s="44"/>
      <c r="AC1102" s="44"/>
      <c r="AD1102" s="44"/>
      <c r="AE1102" s="44"/>
      <c r="AF1102" s="44"/>
    </row>
    <row r="1103" spans="1:32" x14ac:dyDescent="0.3">
      <c r="A1103" s="38" t="s">
        <v>281</v>
      </c>
      <c r="B1103" s="38" t="s">
        <v>174</v>
      </c>
      <c r="C1103" s="38" t="s">
        <v>282</v>
      </c>
      <c r="D1103" s="39" t="s">
        <v>183</v>
      </c>
      <c r="E1103" s="39" t="s">
        <v>177</v>
      </c>
      <c r="F1103" s="38" t="s">
        <v>138</v>
      </c>
      <c r="G1103" s="38" t="s">
        <v>130</v>
      </c>
      <c r="H1103" s="44">
        <f>SUM(I1103:AF1103)</f>
        <v>0</v>
      </c>
      <c r="I1103" s="44"/>
      <c r="J1103" s="44"/>
      <c r="K1103" s="44"/>
      <c r="L1103" s="44"/>
      <c r="M1103" s="44"/>
      <c r="N1103" s="44"/>
      <c r="O1103" s="44"/>
      <c r="P1103" s="44"/>
      <c r="Q1103" s="44"/>
      <c r="R1103" s="44"/>
      <c r="S1103" s="44"/>
      <c r="T1103" s="44"/>
      <c r="U1103" s="44"/>
      <c r="V1103" s="44"/>
      <c r="W1103" s="44"/>
      <c r="X1103" s="44"/>
      <c r="Y1103" s="44"/>
      <c r="Z1103" s="44"/>
      <c r="AA1103" s="44"/>
      <c r="AB1103" s="44"/>
      <c r="AC1103" s="44"/>
      <c r="AD1103" s="44"/>
      <c r="AE1103" s="44"/>
      <c r="AF1103" s="44"/>
    </row>
    <row r="1104" spans="1:32" x14ac:dyDescent="0.3">
      <c r="A1104" s="38" t="s">
        <v>281</v>
      </c>
      <c r="B1104" s="38" t="s">
        <v>174</v>
      </c>
      <c r="C1104" s="38" t="s">
        <v>282</v>
      </c>
      <c r="D1104" s="39" t="s">
        <v>183</v>
      </c>
      <c r="E1104" s="39" t="s">
        <v>177</v>
      </c>
      <c r="F1104" s="38" t="s">
        <v>139</v>
      </c>
      <c r="G1104" s="38" t="s">
        <v>130</v>
      </c>
      <c r="H1104" s="44">
        <v>3200</v>
      </c>
      <c r="I1104" s="44"/>
      <c r="J1104" s="44"/>
      <c r="K1104" s="44"/>
      <c r="L1104" s="44"/>
      <c r="M1104" s="44"/>
      <c r="N1104" s="44"/>
      <c r="O1104" s="44"/>
      <c r="P1104" s="44"/>
      <c r="Q1104" s="44"/>
      <c r="R1104" s="44"/>
      <c r="S1104" s="44"/>
      <c r="T1104" s="44"/>
      <c r="U1104" s="44"/>
      <c r="V1104" s="44"/>
      <c r="W1104" s="44">
        <v>3200</v>
      </c>
      <c r="X1104" s="44"/>
      <c r="Y1104" s="44"/>
      <c r="Z1104" s="44"/>
      <c r="AA1104" s="44"/>
      <c r="AB1104" s="44"/>
      <c r="AC1104" s="44"/>
      <c r="AD1104" s="44"/>
      <c r="AE1104" s="44"/>
      <c r="AF1104" s="44"/>
    </row>
    <row r="1105" spans="1:32" x14ac:dyDescent="0.3">
      <c r="A1105" s="38" t="s">
        <v>281</v>
      </c>
      <c r="B1105" s="38" t="s">
        <v>174</v>
      </c>
      <c r="C1105" s="38" t="s">
        <v>282</v>
      </c>
      <c r="D1105" s="39" t="s">
        <v>183</v>
      </c>
      <c r="E1105" s="39" t="s">
        <v>177</v>
      </c>
      <c r="F1105" s="38" t="s">
        <v>140</v>
      </c>
      <c r="G1105" s="38" t="s">
        <v>130</v>
      </c>
      <c r="H1105" s="44"/>
      <c r="I1105" s="44">
        <f>I1100-(I1095+I1094)+(I1099+I1098+I1097+I1096)</f>
        <v>-245</v>
      </c>
      <c r="J1105" s="44">
        <f t="shared" ref="J1105:AF1105" si="253">I1105+J1100-J1095</f>
        <v>-276.5</v>
      </c>
      <c r="K1105" s="44">
        <f t="shared" si="253"/>
        <v>-303.5</v>
      </c>
      <c r="L1105" s="44">
        <f t="shared" si="253"/>
        <v>-330.5</v>
      </c>
      <c r="M1105" s="44">
        <f t="shared" si="253"/>
        <v>-355</v>
      </c>
      <c r="N1105" s="44">
        <f t="shared" si="253"/>
        <v>-379.5</v>
      </c>
      <c r="O1105" s="44">
        <f t="shared" si="253"/>
        <v>-404</v>
      </c>
      <c r="P1105" s="44">
        <f t="shared" si="253"/>
        <v>-428.5</v>
      </c>
      <c r="Q1105" s="44">
        <f t="shared" si="253"/>
        <v>-451</v>
      </c>
      <c r="R1105" s="44">
        <f t="shared" si="253"/>
        <v>-471.5</v>
      </c>
      <c r="S1105" s="44">
        <f t="shared" si="253"/>
        <v>-492</v>
      </c>
      <c r="T1105" s="44">
        <f t="shared" si="253"/>
        <v>-512</v>
      </c>
      <c r="U1105" s="44">
        <f t="shared" si="253"/>
        <v>-533</v>
      </c>
      <c r="V1105" s="44">
        <f t="shared" si="253"/>
        <v>-558</v>
      </c>
      <c r="W1105" s="44">
        <f t="shared" si="253"/>
        <v>2617</v>
      </c>
      <c r="X1105" s="44">
        <f t="shared" si="253"/>
        <v>2592.5</v>
      </c>
      <c r="Y1105" s="44">
        <f t="shared" si="253"/>
        <v>2568</v>
      </c>
      <c r="Z1105" s="44">
        <f t="shared" si="253"/>
        <v>2545</v>
      </c>
      <c r="AA1105" s="44">
        <f t="shared" si="253"/>
        <v>2522</v>
      </c>
      <c r="AB1105" s="44">
        <f t="shared" si="253"/>
        <v>2499.5</v>
      </c>
      <c r="AC1105" s="44">
        <f t="shared" si="253"/>
        <v>2477</v>
      </c>
      <c r="AD1105" s="44">
        <f t="shared" si="253"/>
        <v>2456.5</v>
      </c>
      <c r="AE1105" s="44">
        <f t="shared" si="253"/>
        <v>2436.5</v>
      </c>
      <c r="AF1105" s="44">
        <f t="shared" si="253"/>
        <v>2416.5</v>
      </c>
    </row>
    <row r="1106" spans="1:32" ht="15" thickBot="1" x14ac:dyDescent="0.35">
      <c r="A1106" s="40" t="s">
        <v>281</v>
      </c>
      <c r="B1106" s="40" t="s">
        <v>174</v>
      </c>
      <c r="C1106" s="40" t="s">
        <v>282</v>
      </c>
      <c r="D1106" s="41" t="s">
        <v>183</v>
      </c>
      <c r="E1106" s="41" t="s">
        <v>177</v>
      </c>
      <c r="F1106" s="40" t="s">
        <v>141</v>
      </c>
      <c r="G1106" s="40" t="s">
        <v>130</v>
      </c>
      <c r="H1106" s="45"/>
      <c r="I1106" s="45">
        <f>I1100-I1104</f>
        <v>0</v>
      </c>
      <c r="J1106" s="45">
        <f t="shared" ref="J1106:AF1106" si="254">I1106+J1100-J1104</f>
        <v>0</v>
      </c>
      <c r="K1106" s="45">
        <f t="shared" si="254"/>
        <v>0</v>
      </c>
      <c r="L1106" s="45">
        <f t="shared" si="254"/>
        <v>0</v>
      </c>
      <c r="M1106" s="45">
        <f t="shared" si="254"/>
        <v>0</v>
      </c>
      <c r="N1106" s="45">
        <f t="shared" si="254"/>
        <v>0</v>
      </c>
      <c r="O1106" s="45">
        <f t="shared" si="254"/>
        <v>0</v>
      </c>
      <c r="P1106" s="45">
        <f t="shared" si="254"/>
        <v>0</v>
      </c>
      <c r="Q1106" s="45">
        <f t="shared" si="254"/>
        <v>0</v>
      </c>
      <c r="R1106" s="45">
        <f t="shared" si="254"/>
        <v>0</v>
      </c>
      <c r="S1106" s="45">
        <f t="shared" si="254"/>
        <v>0</v>
      </c>
      <c r="T1106" s="45">
        <f t="shared" si="254"/>
        <v>0</v>
      </c>
      <c r="U1106" s="45">
        <f t="shared" si="254"/>
        <v>0</v>
      </c>
      <c r="V1106" s="45">
        <f t="shared" si="254"/>
        <v>0</v>
      </c>
      <c r="W1106" s="45">
        <f t="shared" si="254"/>
        <v>0</v>
      </c>
      <c r="X1106" s="45">
        <f t="shared" si="254"/>
        <v>0</v>
      </c>
      <c r="Y1106" s="45">
        <f t="shared" si="254"/>
        <v>0</v>
      </c>
      <c r="Z1106" s="45">
        <f t="shared" si="254"/>
        <v>0</v>
      </c>
      <c r="AA1106" s="45">
        <f t="shared" si="254"/>
        <v>0</v>
      </c>
      <c r="AB1106" s="45">
        <f t="shared" si="254"/>
        <v>0</v>
      </c>
      <c r="AC1106" s="45">
        <f t="shared" si="254"/>
        <v>0</v>
      </c>
      <c r="AD1106" s="45">
        <f t="shared" si="254"/>
        <v>0</v>
      </c>
      <c r="AE1106" s="45">
        <f t="shared" si="254"/>
        <v>0</v>
      </c>
      <c r="AF1106" s="45">
        <f t="shared" si="254"/>
        <v>0</v>
      </c>
    </row>
    <row r="1107" spans="1:32" x14ac:dyDescent="0.3">
      <c r="A1107" s="38" t="s">
        <v>283</v>
      </c>
      <c r="B1107" s="38" t="s">
        <v>174</v>
      </c>
      <c r="C1107" s="38" t="s">
        <v>282</v>
      </c>
      <c r="D1107" s="39" t="s">
        <v>180</v>
      </c>
      <c r="E1107" s="39" t="s">
        <v>177</v>
      </c>
      <c r="F1107" s="38" t="s">
        <v>129</v>
      </c>
      <c r="G1107" s="38" t="s">
        <v>130</v>
      </c>
      <c r="H1107" s="44">
        <v>213</v>
      </c>
      <c r="I1107" s="44">
        <v>213</v>
      </c>
      <c r="J1107" s="44"/>
      <c r="K1107" s="44"/>
      <c r="L1107" s="44"/>
      <c r="M1107" s="44"/>
      <c r="N1107" s="44"/>
      <c r="O1107" s="44"/>
      <c r="P1107" s="44"/>
      <c r="Q1107" s="44"/>
      <c r="R1107" s="44"/>
      <c r="S1107" s="44"/>
      <c r="T1107" s="44"/>
      <c r="U1107" s="44"/>
      <c r="V1107" s="44"/>
      <c r="W1107" s="44"/>
      <c r="X1107" s="44"/>
      <c r="Y1107" s="44"/>
      <c r="Z1107" s="44"/>
      <c r="AA1107" s="44"/>
      <c r="AB1107" s="44"/>
      <c r="AC1107" s="44"/>
      <c r="AD1107" s="44"/>
      <c r="AE1107" s="44"/>
      <c r="AF1107" s="44"/>
    </row>
    <row r="1108" spans="1:32" x14ac:dyDescent="0.3">
      <c r="A1108" s="38" t="s">
        <v>283</v>
      </c>
      <c r="B1108" s="38" t="s">
        <v>174</v>
      </c>
      <c r="C1108" s="38" t="s">
        <v>282</v>
      </c>
      <c r="D1108" s="39" t="s">
        <v>180</v>
      </c>
      <c r="E1108" s="39" t="s">
        <v>177</v>
      </c>
      <c r="F1108" s="38" t="s">
        <v>131</v>
      </c>
      <c r="G1108" s="38" t="s">
        <v>130</v>
      </c>
      <c r="H1108" s="44">
        <v>570.5</v>
      </c>
      <c r="I1108" s="44">
        <v>32</v>
      </c>
      <c r="J1108" s="44">
        <v>31.5</v>
      </c>
      <c r="K1108" s="44">
        <v>27</v>
      </c>
      <c r="L1108" s="44">
        <v>27</v>
      </c>
      <c r="M1108" s="44">
        <v>24.5</v>
      </c>
      <c r="N1108" s="44">
        <v>24.5</v>
      </c>
      <c r="O1108" s="44">
        <v>24.5</v>
      </c>
      <c r="P1108" s="44">
        <v>24.5</v>
      </c>
      <c r="Q1108" s="44">
        <v>22.5</v>
      </c>
      <c r="R1108" s="44">
        <v>20.5</v>
      </c>
      <c r="S1108" s="44">
        <v>20.5</v>
      </c>
      <c r="T1108" s="44">
        <v>20</v>
      </c>
      <c r="U1108" s="44">
        <v>21</v>
      </c>
      <c r="V1108" s="44">
        <v>25</v>
      </c>
      <c r="W1108" s="44">
        <v>25</v>
      </c>
      <c r="X1108" s="44">
        <v>24.5</v>
      </c>
      <c r="Y1108" s="44">
        <v>24.5</v>
      </c>
      <c r="Z1108" s="44">
        <v>23</v>
      </c>
      <c r="AA1108" s="44">
        <v>23</v>
      </c>
      <c r="AB1108" s="44">
        <v>22.5</v>
      </c>
      <c r="AC1108" s="44">
        <v>22.5</v>
      </c>
      <c r="AD1108" s="44">
        <v>20.5</v>
      </c>
      <c r="AE1108" s="44">
        <v>20</v>
      </c>
      <c r="AF1108" s="44">
        <v>20</v>
      </c>
    </row>
    <row r="1109" spans="1:32" x14ac:dyDescent="0.3">
      <c r="A1109" s="38" t="s">
        <v>283</v>
      </c>
      <c r="B1109" s="38" t="s">
        <v>174</v>
      </c>
      <c r="C1109" s="38" t="s">
        <v>282</v>
      </c>
      <c r="D1109" s="39" t="s">
        <v>180</v>
      </c>
      <c r="E1109" s="39" t="s">
        <v>177</v>
      </c>
      <c r="F1109" s="38" t="s">
        <v>132</v>
      </c>
      <c r="G1109" s="38" t="s">
        <v>130</v>
      </c>
      <c r="H1109" s="44">
        <v>2919</v>
      </c>
      <c r="I1109" s="44">
        <v>2919</v>
      </c>
      <c r="J1109" s="44"/>
      <c r="K1109" s="44"/>
      <c r="L1109" s="44"/>
      <c r="M1109" s="44"/>
      <c r="N1109" s="44"/>
      <c r="O1109" s="44"/>
      <c r="P1109" s="44"/>
      <c r="Q1109" s="44"/>
      <c r="R1109" s="44"/>
      <c r="S1109" s="44"/>
      <c r="T1109" s="44"/>
      <c r="U1109" s="44"/>
      <c r="V1109" s="44"/>
      <c r="W1109" s="44"/>
      <c r="X1109" s="44"/>
      <c r="Y1109" s="44"/>
      <c r="Z1109" s="44"/>
      <c r="AA1109" s="44"/>
      <c r="AB1109" s="44"/>
      <c r="AC1109" s="44"/>
      <c r="AD1109" s="44"/>
      <c r="AE1109" s="44"/>
      <c r="AF1109" s="44"/>
    </row>
    <row r="1110" spans="1:32" x14ac:dyDescent="0.3">
      <c r="A1110" s="38" t="s">
        <v>283</v>
      </c>
      <c r="B1110" s="38" t="s">
        <v>174</v>
      </c>
      <c r="C1110" s="38" t="s">
        <v>282</v>
      </c>
      <c r="D1110" s="39" t="s">
        <v>180</v>
      </c>
      <c r="E1110" s="39" t="s">
        <v>177</v>
      </c>
      <c r="F1110" s="38" t="s">
        <v>133</v>
      </c>
      <c r="G1110" s="38" t="s">
        <v>130</v>
      </c>
      <c r="H1110" s="44">
        <v>0</v>
      </c>
      <c r="I1110" s="44">
        <v>0</v>
      </c>
      <c r="J1110" s="44"/>
      <c r="K1110" s="44"/>
      <c r="L1110" s="44"/>
      <c r="M1110" s="44"/>
      <c r="N1110" s="44"/>
      <c r="O1110" s="44"/>
      <c r="P1110" s="44"/>
      <c r="Q1110" s="44"/>
      <c r="R1110" s="44"/>
      <c r="S1110" s="44"/>
      <c r="T1110" s="44"/>
      <c r="U1110" s="44"/>
      <c r="V1110" s="44"/>
      <c r="W1110" s="44"/>
      <c r="X1110" s="44"/>
      <c r="Y1110" s="44"/>
      <c r="Z1110" s="44"/>
      <c r="AA1110" s="44"/>
      <c r="AB1110" s="44"/>
      <c r="AC1110" s="44"/>
      <c r="AD1110" s="44"/>
      <c r="AE1110" s="44"/>
      <c r="AF1110" s="44"/>
    </row>
    <row r="1111" spans="1:32" x14ac:dyDescent="0.3">
      <c r="A1111" s="38" t="s">
        <v>283</v>
      </c>
      <c r="B1111" s="38" t="s">
        <v>174</v>
      </c>
      <c r="C1111" s="38" t="s">
        <v>282</v>
      </c>
      <c r="D1111" s="39" t="s">
        <v>180</v>
      </c>
      <c r="E1111" s="39" t="s">
        <v>177</v>
      </c>
      <c r="F1111" s="38" t="s">
        <v>134</v>
      </c>
      <c r="G1111" s="38" t="s">
        <v>130</v>
      </c>
      <c r="H1111" s="44">
        <v>9</v>
      </c>
      <c r="I1111" s="44">
        <v>9</v>
      </c>
      <c r="J1111" s="44"/>
      <c r="K1111" s="44"/>
      <c r="L1111" s="44"/>
      <c r="M1111" s="44"/>
      <c r="N1111" s="44"/>
      <c r="O1111" s="44"/>
      <c r="P1111" s="44"/>
      <c r="Q1111" s="44"/>
      <c r="R1111" s="44"/>
      <c r="S1111" s="44"/>
      <c r="T1111" s="44"/>
      <c r="U1111" s="44"/>
      <c r="V1111" s="44"/>
      <c r="W1111" s="44"/>
      <c r="X1111" s="44"/>
      <c r="Y1111" s="44"/>
      <c r="Z1111" s="44"/>
      <c r="AA1111" s="44"/>
      <c r="AB1111" s="44"/>
      <c r="AC1111" s="44"/>
      <c r="AD1111" s="44"/>
      <c r="AE1111" s="44"/>
      <c r="AF1111" s="44"/>
    </row>
    <row r="1112" spans="1:32" x14ac:dyDescent="0.3">
      <c r="A1112" s="38" t="s">
        <v>283</v>
      </c>
      <c r="B1112" s="38" t="s">
        <v>174</v>
      </c>
      <c r="C1112" s="38" t="s">
        <v>282</v>
      </c>
      <c r="D1112" s="39" t="s">
        <v>180</v>
      </c>
      <c r="E1112" s="39" t="s">
        <v>177</v>
      </c>
      <c r="F1112" s="38" t="s">
        <v>135</v>
      </c>
      <c r="G1112" s="38" t="s">
        <v>130</v>
      </c>
      <c r="H1112" s="44"/>
      <c r="I1112" s="44"/>
      <c r="J1112" s="44"/>
      <c r="K1112" s="44"/>
      <c r="L1112" s="44"/>
      <c r="M1112" s="44"/>
      <c r="N1112" s="44"/>
      <c r="O1112" s="44"/>
      <c r="P1112" s="44"/>
      <c r="Q1112" s="44"/>
      <c r="R1112" s="44"/>
      <c r="S1112" s="44"/>
      <c r="T1112" s="44"/>
      <c r="U1112" s="44"/>
      <c r="V1112" s="44"/>
      <c r="W1112" s="44"/>
      <c r="X1112" s="44"/>
      <c r="Y1112" s="44"/>
      <c r="Z1112" s="44"/>
      <c r="AA1112" s="44"/>
      <c r="AB1112" s="44"/>
      <c r="AC1112" s="44"/>
      <c r="AD1112" s="44"/>
      <c r="AE1112" s="44"/>
      <c r="AF1112" s="44"/>
    </row>
    <row r="1113" spans="1:32" x14ac:dyDescent="0.3">
      <c r="A1113" s="38" t="s">
        <v>283</v>
      </c>
      <c r="B1113" s="38" t="s">
        <v>174</v>
      </c>
      <c r="C1113" s="38" t="s">
        <v>282</v>
      </c>
      <c r="D1113" s="39" t="s">
        <v>180</v>
      </c>
      <c r="E1113" s="39" t="s">
        <v>177</v>
      </c>
      <c r="F1113" s="38" t="s">
        <v>136</v>
      </c>
      <c r="G1113" s="38" t="s">
        <v>130</v>
      </c>
      <c r="H1113" s="44">
        <f>SUM(I1113:AF1113)</f>
        <v>3000</v>
      </c>
      <c r="I1113" s="44">
        <f t="shared" ref="I1113:AF1113" si="255">IF(AND(ISBLANK(I1116) = TRUE,ISBLANK(I1115) = TRUE),I1114,I1115+I1116)</f>
        <v>0</v>
      </c>
      <c r="J1113" s="44">
        <f t="shared" si="255"/>
        <v>0</v>
      </c>
      <c r="K1113" s="44">
        <f t="shared" si="255"/>
        <v>0</v>
      </c>
      <c r="L1113" s="44">
        <f t="shared" si="255"/>
        <v>0</v>
      </c>
      <c r="M1113" s="44">
        <f t="shared" si="255"/>
        <v>0</v>
      </c>
      <c r="N1113" s="44">
        <f t="shared" si="255"/>
        <v>0</v>
      </c>
      <c r="O1113" s="44">
        <f t="shared" si="255"/>
        <v>0</v>
      </c>
      <c r="P1113" s="44">
        <f t="shared" si="255"/>
        <v>0</v>
      </c>
      <c r="Q1113" s="44">
        <f t="shared" si="255"/>
        <v>0</v>
      </c>
      <c r="R1113" s="44">
        <f t="shared" si="255"/>
        <v>0</v>
      </c>
      <c r="S1113" s="44">
        <f t="shared" si="255"/>
        <v>0</v>
      </c>
      <c r="T1113" s="44">
        <f t="shared" si="255"/>
        <v>0</v>
      </c>
      <c r="U1113" s="44">
        <f t="shared" si="255"/>
        <v>0</v>
      </c>
      <c r="V1113" s="44">
        <f t="shared" si="255"/>
        <v>0</v>
      </c>
      <c r="W1113" s="44">
        <f t="shared" si="255"/>
        <v>3000</v>
      </c>
      <c r="X1113" s="44">
        <f t="shared" si="255"/>
        <v>0</v>
      </c>
      <c r="Y1113" s="44">
        <f t="shared" si="255"/>
        <v>0</v>
      </c>
      <c r="Z1113" s="44">
        <f t="shared" si="255"/>
        <v>0</v>
      </c>
      <c r="AA1113" s="44">
        <f t="shared" si="255"/>
        <v>0</v>
      </c>
      <c r="AB1113" s="44">
        <f t="shared" si="255"/>
        <v>0</v>
      </c>
      <c r="AC1113" s="44">
        <f t="shared" si="255"/>
        <v>0</v>
      </c>
      <c r="AD1113" s="44">
        <f t="shared" si="255"/>
        <v>0</v>
      </c>
      <c r="AE1113" s="44">
        <f t="shared" si="255"/>
        <v>0</v>
      </c>
      <c r="AF1113" s="44">
        <f t="shared" si="255"/>
        <v>0</v>
      </c>
    </row>
    <row r="1114" spans="1:32" x14ac:dyDescent="0.3">
      <c r="A1114" s="38" t="s">
        <v>283</v>
      </c>
      <c r="B1114" s="38" t="s">
        <v>174</v>
      </c>
      <c r="C1114" s="38" t="s">
        <v>282</v>
      </c>
      <c r="D1114" s="39" t="s">
        <v>180</v>
      </c>
      <c r="E1114" s="39" t="s">
        <v>177</v>
      </c>
      <c r="F1114" s="38" t="s">
        <v>124</v>
      </c>
      <c r="G1114" s="38" t="s">
        <v>130</v>
      </c>
      <c r="H1114" s="44">
        <v>3000</v>
      </c>
      <c r="I1114" s="44"/>
      <c r="J1114" s="44"/>
      <c r="K1114" s="44"/>
      <c r="L1114" s="44"/>
      <c r="M1114" s="44"/>
      <c r="N1114" s="44"/>
      <c r="O1114" s="44"/>
      <c r="P1114" s="44"/>
      <c r="Q1114" s="44"/>
      <c r="R1114" s="44"/>
      <c r="S1114" s="44"/>
      <c r="T1114" s="44"/>
      <c r="U1114" s="44"/>
      <c r="V1114" s="44"/>
      <c r="W1114" s="44">
        <v>3000</v>
      </c>
      <c r="X1114" s="44"/>
      <c r="Y1114" s="44"/>
      <c r="Z1114" s="44"/>
      <c r="AA1114" s="44"/>
      <c r="AB1114" s="44"/>
      <c r="AC1114" s="44"/>
      <c r="AD1114" s="44"/>
      <c r="AE1114" s="44"/>
      <c r="AF1114" s="44"/>
    </row>
    <row r="1115" spans="1:32" x14ac:dyDescent="0.3">
      <c r="A1115" s="38" t="s">
        <v>283</v>
      </c>
      <c r="B1115" s="38" t="s">
        <v>174</v>
      </c>
      <c r="C1115" s="38" t="s">
        <v>282</v>
      </c>
      <c r="D1115" s="39" t="s">
        <v>180</v>
      </c>
      <c r="E1115" s="39" t="s">
        <v>177</v>
      </c>
      <c r="F1115" s="38" t="s">
        <v>137</v>
      </c>
      <c r="G1115" s="38" t="s">
        <v>130</v>
      </c>
      <c r="H1115" s="44">
        <f>SUM(I1115:AF1115)</f>
        <v>0</v>
      </c>
      <c r="I1115" s="44"/>
      <c r="J1115" s="44"/>
      <c r="K1115" s="44"/>
      <c r="L1115" s="44"/>
      <c r="M1115" s="44"/>
      <c r="N1115" s="44"/>
      <c r="O1115" s="44"/>
      <c r="P1115" s="44"/>
      <c r="Q1115" s="44"/>
      <c r="R1115" s="44"/>
      <c r="S1115" s="44"/>
      <c r="T1115" s="44"/>
      <c r="U1115" s="44"/>
      <c r="V1115" s="44"/>
      <c r="W1115" s="44"/>
      <c r="X1115" s="44"/>
      <c r="Y1115" s="44"/>
      <c r="Z1115" s="44"/>
      <c r="AA1115" s="44"/>
      <c r="AB1115" s="44"/>
      <c r="AC1115" s="44"/>
      <c r="AD1115" s="44"/>
      <c r="AE1115" s="44"/>
      <c r="AF1115" s="44"/>
    </row>
    <row r="1116" spans="1:32" x14ac:dyDescent="0.3">
      <c r="A1116" s="38" t="s">
        <v>283</v>
      </c>
      <c r="B1116" s="38" t="s">
        <v>174</v>
      </c>
      <c r="C1116" s="38" t="s">
        <v>282</v>
      </c>
      <c r="D1116" s="39" t="s">
        <v>180</v>
      </c>
      <c r="E1116" s="39" t="s">
        <v>177</v>
      </c>
      <c r="F1116" s="38" t="s">
        <v>138</v>
      </c>
      <c r="G1116" s="38" t="s">
        <v>130</v>
      </c>
      <c r="H1116" s="44">
        <f>SUM(I1116:AF1116)</f>
        <v>0</v>
      </c>
      <c r="I1116" s="44"/>
      <c r="J1116" s="44"/>
      <c r="K1116" s="44"/>
      <c r="L1116" s="44"/>
      <c r="M1116" s="44"/>
      <c r="N1116" s="44"/>
      <c r="O1116" s="44"/>
      <c r="P1116" s="44"/>
      <c r="Q1116" s="44"/>
      <c r="R1116" s="44"/>
      <c r="S1116" s="44"/>
      <c r="T1116" s="44"/>
      <c r="U1116" s="44"/>
      <c r="V1116" s="44"/>
      <c r="W1116" s="44"/>
      <c r="X1116" s="44"/>
      <c r="Y1116" s="44"/>
      <c r="Z1116" s="44"/>
      <c r="AA1116" s="44"/>
      <c r="AB1116" s="44"/>
      <c r="AC1116" s="44"/>
      <c r="AD1116" s="44"/>
      <c r="AE1116" s="44"/>
      <c r="AF1116" s="44"/>
    </row>
    <row r="1117" spans="1:32" x14ac:dyDescent="0.3">
      <c r="A1117" s="38" t="s">
        <v>283</v>
      </c>
      <c r="B1117" s="38" t="s">
        <v>174</v>
      </c>
      <c r="C1117" s="38" t="s">
        <v>282</v>
      </c>
      <c r="D1117" s="39" t="s">
        <v>180</v>
      </c>
      <c r="E1117" s="39" t="s">
        <v>177</v>
      </c>
      <c r="F1117" s="38" t="s">
        <v>139</v>
      </c>
      <c r="G1117" s="38" t="s">
        <v>130</v>
      </c>
      <c r="H1117" s="44">
        <v>3000</v>
      </c>
      <c r="I1117" s="44"/>
      <c r="J1117" s="44"/>
      <c r="K1117" s="44"/>
      <c r="L1117" s="44"/>
      <c r="M1117" s="44"/>
      <c r="N1117" s="44"/>
      <c r="O1117" s="44"/>
      <c r="P1117" s="44"/>
      <c r="Q1117" s="44"/>
      <c r="R1117" s="44"/>
      <c r="S1117" s="44"/>
      <c r="T1117" s="44"/>
      <c r="U1117" s="44"/>
      <c r="V1117" s="44"/>
      <c r="W1117" s="44">
        <v>3000</v>
      </c>
      <c r="X1117" s="44"/>
      <c r="Y1117" s="44"/>
      <c r="Z1117" s="44"/>
      <c r="AA1117" s="44"/>
      <c r="AB1117" s="44"/>
      <c r="AC1117" s="44"/>
      <c r="AD1117" s="44"/>
      <c r="AE1117" s="44"/>
      <c r="AF1117" s="44"/>
    </row>
    <row r="1118" spans="1:32" x14ac:dyDescent="0.3">
      <c r="A1118" s="38" t="s">
        <v>283</v>
      </c>
      <c r="B1118" s="38" t="s">
        <v>174</v>
      </c>
      <c r="C1118" s="38" t="s">
        <v>282</v>
      </c>
      <c r="D1118" s="39" t="s">
        <v>180</v>
      </c>
      <c r="E1118" s="39" t="s">
        <v>177</v>
      </c>
      <c r="F1118" s="38" t="s">
        <v>140</v>
      </c>
      <c r="G1118" s="38" t="s">
        <v>130</v>
      </c>
      <c r="H1118" s="44"/>
      <c r="I1118" s="44">
        <f>I1113-(I1108+I1107)+(I1112+I1111+I1110+I1109)</f>
        <v>2683</v>
      </c>
      <c r="J1118" s="44">
        <f t="shared" ref="J1118:AF1118" si="256">I1118+J1113-J1108</f>
        <v>2651.5</v>
      </c>
      <c r="K1118" s="44">
        <f t="shared" si="256"/>
        <v>2624.5</v>
      </c>
      <c r="L1118" s="44">
        <f t="shared" si="256"/>
        <v>2597.5</v>
      </c>
      <c r="M1118" s="44">
        <f t="shared" si="256"/>
        <v>2573</v>
      </c>
      <c r="N1118" s="44">
        <f t="shared" si="256"/>
        <v>2548.5</v>
      </c>
      <c r="O1118" s="44">
        <f t="shared" si="256"/>
        <v>2524</v>
      </c>
      <c r="P1118" s="44">
        <f t="shared" si="256"/>
        <v>2499.5</v>
      </c>
      <c r="Q1118" s="44">
        <f t="shared" si="256"/>
        <v>2477</v>
      </c>
      <c r="R1118" s="44">
        <f t="shared" si="256"/>
        <v>2456.5</v>
      </c>
      <c r="S1118" s="44">
        <f t="shared" si="256"/>
        <v>2436</v>
      </c>
      <c r="T1118" s="44">
        <f t="shared" si="256"/>
        <v>2416</v>
      </c>
      <c r="U1118" s="44">
        <f t="shared" si="256"/>
        <v>2395</v>
      </c>
      <c r="V1118" s="44">
        <f t="shared" si="256"/>
        <v>2370</v>
      </c>
      <c r="W1118" s="44">
        <f t="shared" si="256"/>
        <v>5345</v>
      </c>
      <c r="X1118" s="44">
        <f t="shared" si="256"/>
        <v>5320.5</v>
      </c>
      <c r="Y1118" s="44">
        <f t="shared" si="256"/>
        <v>5296</v>
      </c>
      <c r="Z1118" s="44">
        <f t="shared" si="256"/>
        <v>5273</v>
      </c>
      <c r="AA1118" s="44">
        <f t="shared" si="256"/>
        <v>5250</v>
      </c>
      <c r="AB1118" s="44">
        <f t="shared" si="256"/>
        <v>5227.5</v>
      </c>
      <c r="AC1118" s="44">
        <f t="shared" si="256"/>
        <v>5205</v>
      </c>
      <c r="AD1118" s="44">
        <f t="shared" si="256"/>
        <v>5184.5</v>
      </c>
      <c r="AE1118" s="44">
        <f t="shared" si="256"/>
        <v>5164.5</v>
      </c>
      <c r="AF1118" s="44">
        <f t="shared" si="256"/>
        <v>5144.5</v>
      </c>
    </row>
    <row r="1119" spans="1:32" ht="15" thickBot="1" x14ac:dyDescent="0.35">
      <c r="A1119" s="40" t="s">
        <v>283</v>
      </c>
      <c r="B1119" s="40" t="s">
        <v>174</v>
      </c>
      <c r="C1119" s="40" t="s">
        <v>282</v>
      </c>
      <c r="D1119" s="41" t="s">
        <v>180</v>
      </c>
      <c r="E1119" s="41" t="s">
        <v>177</v>
      </c>
      <c r="F1119" s="40" t="s">
        <v>141</v>
      </c>
      <c r="G1119" s="40" t="s">
        <v>130</v>
      </c>
      <c r="H1119" s="45"/>
      <c r="I1119" s="45">
        <f>I1113-I1117</f>
        <v>0</v>
      </c>
      <c r="J1119" s="45">
        <f t="shared" ref="J1119:AF1119" si="257">I1119+J1113-J1117</f>
        <v>0</v>
      </c>
      <c r="K1119" s="45">
        <f t="shared" si="257"/>
        <v>0</v>
      </c>
      <c r="L1119" s="45">
        <f t="shared" si="257"/>
        <v>0</v>
      </c>
      <c r="M1119" s="45">
        <f t="shared" si="257"/>
        <v>0</v>
      </c>
      <c r="N1119" s="45">
        <f t="shared" si="257"/>
        <v>0</v>
      </c>
      <c r="O1119" s="45">
        <f t="shared" si="257"/>
        <v>0</v>
      </c>
      <c r="P1119" s="45">
        <f t="shared" si="257"/>
        <v>0</v>
      </c>
      <c r="Q1119" s="45">
        <f t="shared" si="257"/>
        <v>0</v>
      </c>
      <c r="R1119" s="45">
        <f t="shared" si="257"/>
        <v>0</v>
      </c>
      <c r="S1119" s="45">
        <f t="shared" si="257"/>
        <v>0</v>
      </c>
      <c r="T1119" s="45">
        <f t="shared" si="257"/>
        <v>0</v>
      </c>
      <c r="U1119" s="45">
        <f t="shared" si="257"/>
        <v>0</v>
      </c>
      <c r="V1119" s="45">
        <f t="shared" si="257"/>
        <v>0</v>
      </c>
      <c r="W1119" s="45">
        <f t="shared" si="257"/>
        <v>0</v>
      </c>
      <c r="X1119" s="45">
        <f t="shared" si="257"/>
        <v>0</v>
      </c>
      <c r="Y1119" s="45">
        <f t="shared" si="257"/>
        <v>0</v>
      </c>
      <c r="Z1119" s="45">
        <f t="shared" si="257"/>
        <v>0</v>
      </c>
      <c r="AA1119" s="45">
        <f t="shared" si="257"/>
        <v>0</v>
      </c>
      <c r="AB1119" s="45">
        <f t="shared" si="257"/>
        <v>0</v>
      </c>
      <c r="AC1119" s="45">
        <f t="shared" si="257"/>
        <v>0</v>
      </c>
      <c r="AD1119" s="45">
        <f t="shared" si="257"/>
        <v>0</v>
      </c>
      <c r="AE1119" s="45">
        <f t="shared" si="257"/>
        <v>0</v>
      </c>
      <c r="AF1119" s="45">
        <f t="shared" si="257"/>
        <v>0</v>
      </c>
    </row>
    <row r="1120" spans="1:32" x14ac:dyDescent="0.3">
      <c r="A1120" s="38" t="s">
        <v>284</v>
      </c>
      <c r="B1120" s="38" t="s">
        <v>174</v>
      </c>
      <c r="C1120" s="38" t="s">
        <v>285</v>
      </c>
      <c r="D1120" s="39" t="s">
        <v>183</v>
      </c>
      <c r="E1120" s="39" t="s">
        <v>177</v>
      </c>
      <c r="F1120" s="38" t="s">
        <v>129</v>
      </c>
      <c r="G1120" s="38" t="s">
        <v>130</v>
      </c>
      <c r="H1120" s="44">
        <v>457</v>
      </c>
      <c r="I1120" s="44">
        <v>457</v>
      </c>
      <c r="J1120" s="44"/>
      <c r="K1120" s="44"/>
      <c r="L1120" s="44"/>
      <c r="M1120" s="44"/>
      <c r="N1120" s="44"/>
      <c r="O1120" s="44"/>
      <c r="P1120" s="44"/>
      <c r="Q1120" s="44"/>
      <c r="R1120" s="44"/>
      <c r="S1120" s="44"/>
      <c r="T1120" s="44"/>
      <c r="U1120" s="44"/>
      <c r="V1120" s="44"/>
      <c r="W1120" s="44"/>
      <c r="X1120" s="44"/>
      <c r="Y1120" s="44"/>
      <c r="Z1120" s="44"/>
      <c r="AA1120" s="44"/>
      <c r="AB1120" s="44"/>
      <c r="AC1120" s="44"/>
      <c r="AD1120" s="44"/>
      <c r="AE1120" s="44"/>
      <c r="AF1120" s="44"/>
    </row>
    <row r="1121" spans="1:32" x14ac:dyDescent="0.3">
      <c r="A1121" s="38" t="s">
        <v>284</v>
      </c>
      <c r="B1121" s="38" t="s">
        <v>174</v>
      </c>
      <c r="C1121" s="38" t="s">
        <v>285</v>
      </c>
      <c r="D1121" s="39" t="s">
        <v>183</v>
      </c>
      <c r="E1121" s="39" t="s">
        <v>177</v>
      </c>
      <c r="F1121" s="38" t="s">
        <v>131</v>
      </c>
      <c r="G1121" s="38" t="s">
        <v>130</v>
      </c>
      <c r="H1121" s="44">
        <v>18886</v>
      </c>
      <c r="I1121" s="44">
        <v>909</v>
      </c>
      <c r="J1121" s="44">
        <v>839</v>
      </c>
      <c r="K1121" s="44">
        <v>736</v>
      </c>
      <c r="L1121" s="44">
        <v>629</v>
      </c>
      <c r="M1121" s="44">
        <v>885</v>
      </c>
      <c r="N1121" s="44">
        <v>911</v>
      </c>
      <c r="O1121" s="44">
        <v>910</v>
      </c>
      <c r="P1121" s="44">
        <v>910</v>
      </c>
      <c r="Q1121" s="44">
        <v>992</v>
      </c>
      <c r="R1121" s="44">
        <v>1055</v>
      </c>
      <c r="S1121" s="44">
        <v>1054</v>
      </c>
      <c r="T1121" s="44">
        <v>1053</v>
      </c>
      <c r="U1121" s="44">
        <v>981</v>
      </c>
      <c r="V1121" s="44">
        <v>545</v>
      </c>
      <c r="W1121" s="44">
        <v>545</v>
      </c>
      <c r="X1121" s="44">
        <v>543</v>
      </c>
      <c r="Y1121" s="44">
        <v>543</v>
      </c>
      <c r="Z1121" s="44">
        <v>642</v>
      </c>
      <c r="AA1121" s="44">
        <v>684</v>
      </c>
      <c r="AB1121" s="44">
        <v>682</v>
      </c>
      <c r="AC1121" s="44">
        <v>683</v>
      </c>
      <c r="AD1121" s="44">
        <v>710</v>
      </c>
      <c r="AE1121" s="44">
        <v>722</v>
      </c>
      <c r="AF1121" s="44">
        <v>723</v>
      </c>
    </row>
    <row r="1122" spans="1:32" x14ac:dyDescent="0.3">
      <c r="A1122" s="38" t="s">
        <v>284</v>
      </c>
      <c r="B1122" s="38" t="s">
        <v>174</v>
      </c>
      <c r="C1122" s="38" t="s">
        <v>285</v>
      </c>
      <c r="D1122" s="39" t="s">
        <v>183</v>
      </c>
      <c r="E1122" s="39" t="s">
        <v>177</v>
      </c>
      <c r="F1122" s="38" t="s">
        <v>132</v>
      </c>
      <c r="G1122" s="38" t="s">
        <v>130</v>
      </c>
      <c r="H1122" s="44">
        <v>80</v>
      </c>
      <c r="I1122" s="44">
        <v>80</v>
      </c>
      <c r="J1122" s="44"/>
      <c r="K1122" s="44"/>
      <c r="L1122" s="44"/>
      <c r="M1122" s="44"/>
      <c r="N1122" s="44"/>
      <c r="O1122" s="44"/>
      <c r="P1122" s="44"/>
      <c r="Q1122" s="44"/>
      <c r="R1122" s="44"/>
      <c r="S1122" s="44"/>
      <c r="T1122" s="44"/>
      <c r="U1122" s="44"/>
      <c r="V1122" s="44"/>
      <c r="W1122" s="44"/>
      <c r="X1122" s="44"/>
      <c r="Y1122" s="44"/>
      <c r="Z1122" s="44"/>
      <c r="AA1122" s="44"/>
      <c r="AB1122" s="44"/>
      <c r="AC1122" s="44"/>
      <c r="AD1122" s="44"/>
      <c r="AE1122" s="44"/>
      <c r="AF1122" s="44"/>
    </row>
    <row r="1123" spans="1:32" x14ac:dyDescent="0.3">
      <c r="A1123" s="38" t="s">
        <v>284</v>
      </c>
      <c r="B1123" s="38" t="s">
        <v>174</v>
      </c>
      <c r="C1123" s="38" t="s">
        <v>285</v>
      </c>
      <c r="D1123" s="39" t="s">
        <v>183</v>
      </c>
      <c r="E1123" s="39" t="s">
        <v>177</v>
      </c>
      <c r="F1123" s="38" t="s">
        <v>133</v>
      </c>
      <c r="G1123" s="38" t="s">
        <v>130</v>
      </c>
      <c r="H1123" s="44">
        <v>0</v>
      </c>
      <c r="I1123" s="44">
        <v>0</v>
      </c>
      <c r="J1123" s="44"/>
      <c r="K1123" s="44"/>
      <c r="L1123" s="44"/>
      <c r="M1123" s="44"/>
      <c r="N1123" s="44"/>
      <c r="O1123" s="44"/>
      <c r="P1123" s="44"/>
      <c r="Q1123" s="44"/>
      <c r="R1123" s="44"/>
      <c r="S1123" s="44"/>
      <c r="T1123" s="44"/>
      <c r="U1123" s="44"/>
      <c r="V1123" s="44"/>
      <c r="W1123" s="44"/>
      <c r="X1123" s="44"/>
      <c r="Y1123" s="44"/>
      <c r="Z1123" s="44"/>
      <c r="AA1123" s="44"/>
      <c r="AB1123" s="44"/>
      <c r="AC1123" s="44"/>
      <c r="AD1123" s="44"/>
      <c r="AE1123" s="44"/>
      <c r="AF1123" s="44"/>
    </row>
    <row r="1124" spans="1:32" x14ac:dyDescent="0.3">
      <c r="A1124" s="38" t="s">
        <v>284</v>
      </c>
      <c r="B1124" s="38" t="s">
        <v>174</v>
      </c>
      <c r="C1124" s="38" t="s">
        <v>285</v>
      </c>
      <c r="D1124" s="39" t="s">
        <v>183</v>
      </c>
      <c r="E1124" s="39" t="s">
        <v>177</v>
      </c>
      <c r="F1124" s="38" t="s">
        <v>134</v>
      </c>
      <c r="G1124" s="38" t="s">
        <v>130</v>
      </c>
      <c r="H1124" s="44">
        <v>9</v>
      </c>
      <c r="I1124" s="44">
        <v>9</v>
      </c>
      <c r="J1124" s="44"/>
      <c r="K1124" s="44"/>
      <c r="L1124" s="44"/>
      <c r="M1124" s="44"/>
      <c r="N1124" s="44"/>
      <c r="O1124" s="44"/>
      <c r="P1124" s="44"/>
      <c r="Q1124" s="44"/>
      <c r="R1124" s="44"/>
      <c r="S1124" s="44"/>
      <c r="T1124" s="44"/>
      <c r="U1124" s="44"/>
      <c r="V1124" s="44"/>
      <c r="W1124" s="44"/>
      <c r="X1124" s="44"/>
      <c r="Y1124" s="44"/>
      <c r="Z1124" s="44"/>
      <c r="AA1124" s="44"/>
      <c r="AB1124" s="44"/>
      <c r="AC1124" s="44"/>
      <c r="AD1124" s="44"/>
      <c r="AE1124" s="44"/>
      <c r="AF1124" s="44"/>
    </row>
    <row r="1125" spans="1:32" x14ac:dyDescent="0.3">
      <c r="A1125" s="38" t="s">
        <v>284</v>
      </c>
      <c r="B1125" s="38" t="s">
        <v>174</v>
      </c>
      <c r="C1125" s="38" t="s">
        <v>285</v>
      </c>
      <c r="D1125" s="39" t="s">
        <v>183</v>
      </c>
      <c r="E1125" s="39" t="s">
        <v>177</v>
      </c>
      <c r="F1125" s="38" t="s">
        <v>135</v>
      </c>
      <c r="G1125" s="38" t="s">
        <v>130</v>
      </c>
      <c r="H1125" s="44"/>
      <c r="I1125" s="44"/>
      <c r="J1125" s="44"/>
      <c r="K1125" s="44"/>
      <c r="L1125" s="44"/>
      <c r="M1125" s="44"/>
      <c r="N1125" s="44"/>
      <c r="O1125" s="44"/>
      <c r="P1125" s="44"/>
      <c r="Q1125" s="44"/>
      <c r="R1125" s="44"/>
      <c r="S1125" s="44"/>
      <c r="T1125" s="44"/>
      <c r="U1125" s="44"/>
      <c r="V1125" s="44"/>
      <c r="W1125" s="44"/>
      <c r="X1125" s="44"/>
      <c r="Y1125" s="44"/>
      <c r="Z1125" s="44"/>
      <c r="AA1125" s="44"/>
      <c r="AB1125" s="44"/>
      <c r="AC1125" s="44"/>
      <c r="AD1125" s="44"/>
      <c r="AE1125" s="44"/>
      <c r="AF1125" s="44"/>
    </row>
    <row r="1126" spans="1:32" x14ac:dyDescent="0.3">
      <c r="A1126" s="38" t="s">
        <v>284</v>
      </c>
      <c r="B1126" s="38" t="s">
        <v>174</v>
      </c>
      <c r="C1126" s="38" t="s">
        <v>285</v>
      </c>
      <c r="D1126" s="39" t="s">
        <v>183</v>
      </c>
      <c r="E1126" s="39" t="s">
        <v>177</v>
      </c>
      <c r="F1126" s="38" t="s">
        <v>136</v>
      </c>
      <c r="G1126" s="38" t="s">
        <v>130</v>
      </c>
      <c r="H1126" s="44">
        <f>SUM(I1126:AF1126)</f>
        <v>0</v>
      </c>
      <c r="I1126" s="44">
        <f t="shared" ref="I1126:AF1126" si="258">IF(AND(ISBLANK(I1129) = TRUE,ISBLANK(I1128) = TRUE),I1127,I1128+I1129)</f>
        <v>0</v>
      </c>
      <c r="J1126" s="44">
        <f t="shared" si="258"/>
        <v>0</v>
      </c>
      <c r="K1126" s="44">
        <f t="shared" si="258"/>
        <v>0</v>
      </c>
      <c r="L1126" s="44">
        <f t="shared" si="258"/>
        <v>0</v>
      </c>
      <c r="M1126" s="44">
        <f t="shared" si="258"/>
        <v>0</v>
      </c>
      <c r="N1126" s="44">
        <f t="shared" si="258"/>
        <v>0</v>
      </c>
      <c r="O1126" s="44">
        <f t="shared" si="258"/>
        <v>0</v>
      </c>
      <c r="P1126" s="44">
        <f t="shared" si="258"/>
        <v>0</v>
      </c>
      <c r="Q1126" s="44">
        <f t="shared" si="258"/>
        <v>0</v>
      </c>
      <c r="R1126" s="44">
        <f t="shared" si="258"/>
        <v>0</v>
      </c>
      <c r="S1126" s="44">
        <f t="shared" si="258"/>
        <v>0</v>
      </c>
      <c r="T1126" s="44">
        <f t="shared" si="258"/>
        <v>0</v>
      </c>
      <c r="U1126" s="44">
        <f t="shared" si="258"/>
        <v>0</v>
      </c>
      <c r="V1126" s="44">
        <f t="shared" si="258"/>
        <v>0</v>
      </c>
      <c r="W1126" s="44">
        <f t="shared" si="258"/>
        <v>0</v>
      </c>
      <c r="X1126" s="44">
        <f t="shared" si="258"/>
        <v>0</v>
      </c>
      <c r="Y1126" s="44">
        <f t="shared" si="258"/>
        <v>0</v>
      </c>
      <c r="Z1126" s="44">
        <f t="shared" si="258"/>
        <v>0</v>
      </c>
      <c r="AA1126" s="44">
        <f t="shared" si="258"/>
        <v>0</v>
      </c>
      <c r="AB1126" s="44">
        <f t="shared" si="258"/>
        <v>0</v>
      </c>
      <c r="AC1126" s="44">
        <f t="shared" si="258"/>
        <v>0</v>
      </c>
      <c r="AD1126" s="44">
        <f t="shared" si="258"/>
        <v>0</v>
      </c>
      <c r="AE1126" s="44">
        <f t="shared" si="258"/>
        <v>0</v>
      </c>
      <c r="AF1126" s="44">
        <f t="shared" si="258"/>
        <v>0</v>
      </c>
    </row>
    <row r="1127" spans="1:32" x14ac:dyDescent="0.3">
      <c r="A1127" s="38" t="s">
        <v>284</v>
      </c>
      <c r="B1127" s="38" t="s">
        <v>174</v>
      </c>
      <c r="C1127" s="38" t="s">
        <v>285</v>
      </c>
      <c r="D1127" s="39" t="s">
        <v>183</v>
      </c>
      <c r="E1127" s="39" t="s">
        <v>177</v>
      </c>
      <c r="F1127" s="38" t="s">
        <v>124</v>
      </c>
      <c r="G1127" s="38" t="s">
        <v>130</v>
      </c>
      <c r="H1127" s="44"/>
      <c r="I1127" s="44"/>
      <c r="J1127" s="44"/>
      <c r="K1127" s="44"/>
      <c r="L1127" s="44"/>
      <c r="M1127" s="44"/>
      <c r="N1127" s="44"/>
      <c r="O1127" s="44"/>
      <c r="P1127" s="44"/>
      <c r="Q1127" s="44"/>
      <c r="R1127" s="44"/>
      <c r="S1127" s="44"/>
      <c r="T1127" s="44"/>
      <c r="U1127" s="44"/>
      <c r="V1127" s="44"/>
      <c r="W1127" s="44"/>
      <c r="X1127" s="44"/>
      <c r="Y1127" s="44"/>
      <c r="Z1127" s="44"/>
      <c r="AA1127" s="44"/>
      <c r="AB1127" s="44"/>
      <c r="AC1127" s="44"/>
      <c r="AD1127" s="44"/>
      <c r="AE1127" s="44"/>
      <c r="AF1127" s="44"/>
    </row>
    <row r="1128" spans="1:32" x14ac:dyDescent="0.3">
      <c r="A1128" s="38" t="s">
        <v>284</v>
      </c>
      <c r="B1128" s="38" t="s">
        <v>174</v>
      </c>
      <c r="C1128" s="38" t="s">
        <v>285</v>
      </c>
      <c r="D1128" s="39" t="s">
        <v>183</v>
      </c>
      <c r="E1128" s="39" t="s">
        <v>177</v>
      </c>
      <c r="F1128" s="38" t="s">
        <v>137</v>
      </c>
      <c r="G1128" s="38" t="s">
        <v>130</v>
      </c>
      <c r="H1128" s="44">
        <f>SUM(I1128:AF1128)</f>
        <v>0</v>
      </c>
      <c r="I1128" s="44"/>
      <c r="J1128" s="44"/>
      <c r="K1128" s="44"/>
      <c r="L1128" s="44"/>
      <c r="M1128" s="44"/>
      <c r="N1128" s="44"/>
      <c r="O1128" s="44"/>
      <c r="P1128" s="44"/>
      <c r="Q1128" s="44"/>
      <c r="R1128" s="44"/>
      <c r="S1128" s="44"/>
      <c r="T1128" s="44"/>
      <c r="U1128" s="44"/>
      <c r="V1128" s="44"/>
      <c r="W1128" s="44"/>
      <c r="X1128" s="44"/>
      <c r="Y1128" s="44"/>
      <c r="Z1128" s="44"/>
      <c r="AA1128" s="44"/>
      <c r="AB1128" s="44"/>
      <c r="AC1128" s="44"/>
      <c r="AD1128" s="44"/>
      <c r="AE1128" s="44"/>
      <c r="AF1128" s="44"/>
    </row>
    <row r="1129" spans="1:32" x14ac:dyDescent="0.3">
      <c r="A1129" s="38" t="s">
        <v>284</v>
      </c>
      <c r="B1129" s="38" t="s">
        <v>174</v>
      </c>
      <c r="C1129" s="38" t="s">
        <v>285</v>
      </c>
      <c r="D1129" s="39" t="s">
        <v>183</v>
      </c>
      <c r="E1129" s="39" t="s">
        <v>177</v>
      </c>
      <c r="F1129" s="38" t="s">
        <v>138</v>
      </c>
      <c r="G1129" s="38" t="s">
        <v>130</v>
      </c>
      <c r="H1129" s="44">
        <f>SUM(I1129:AF1129)</f>
        <v>0</v>
      </c>
      <c r="I1129" s="44"/>
      <c r="J1129" s="44"/>
      <c r="K1129" s="44"/>
      <c r="L1129" s="44"/>
      <c r="M1129" s="44"/>
      <c r="N1129" s="44"/>
      <c r="O1129" s="44"/>
      <c r="P1129" s="44"/>
      <c r="Q1129" s="44"/>
      <c r="R1129" s="44"/>
      <c r="S1129" s="44"/>
      <c r="T1129" s="44"/>
      <c r="U1129" s="44"/>
      <c r="V1129" s="44"/>
      <c r="W1129" s="44"/>
      <c r="X1129" s="44"/>
      <c r="Y1129" s="44"/>
      <c r="Z1129" s="44"/>
      <c r="AA1129" s="44"/>
      <c r="AB1129" s="44"/>
      <c r="AC1129" s="44"/>
      <c r="AD1129" s="44"/>
      <c r="AE1129" s="44"/>
      <c r="AF1129" s="44"/>
    </row>
    <row r="1130" spans="1:32" x14ac:dyDescent="0.3">
      <c r="A1130" s="38" t="s">
        <v>284</v>
      </c>
      <c r="B1130" s="38" t="s">
        <v>174</v>
      </c>
      <c r="C1130" s="38" t="s">
        <v>285</v>
      </c>
      <c r="D1130" s="39" t="s">
        <v>183</v>
      </c>
      <c r="E1130" s="39" t="s">
        <v>177</v>
      </c>
      <c r="F1130" s="38" t="s">
        <v>139</v>
      </c>
      <c r="G1130" s="38" t="s">
        <v>130</v>
      </c>
      <c r="H1130" s="44"/>
      <c r="I1130" s="44"/>
      <c r="J1130" s="44"/>
      <c r="K1130" s="44"/>
      <c r="L1130" s="44"/>
      <c r="M1130" s="44"/>
      <c r="N1130" s="44"/>
      <c r="O1130" s="44"/>
      <c r="P1130" s="44"/>
      <c r="Q1130" s="44"/>
      <c r="R1130" s="44"/>
      <c r="S1130" s="44"/>
      <c r="T1130" s="44"/>
      <c r="U1130" s="44"/>
      <c r="V1130" s="44"/>
      <c r="W1130" s="44"/>
      <c r="X1130" s="44"/>
      <c r="Y1130" s="44"/>
      <c r="Z1130" s="44"/>
      <c r="AA1130" s="44"/>
      <c r="AB1130" s="44"/>
      <c r="AC1130" s="44"/>
      <c r="AD1130" s="44"/>
      <c r="AE1130" s="44"/>
      <c r="AF1130" s="44"/>
    </row>
    <row r="1131" spans="1:32" x14ac:dyDescent="0.3">
      <c r="A1131" s="38" t="s">
        <v>284</v>
      </c>
      <c r="B1131" s="38" t="s">
        <v>174</v>
      </c>
      <c r="C1131" s="38" t="s">
        <v>285</v>
      </c>
      <c r="D1131" s="39" t="s">
        <v>183</v>
      </c>
      <c r="E1131" s="39" t="s">
        <v>177</v>
      </c>
      <c r="F1131" s="38" t="s">
        <v>140</v>
      </c>
      <c r="G1131" s="38" t="s">
        <v>130</v>
      </c>
      <c r="H1131" s="44"/>
      <c r="I1131" s="44">
        <f>I1126-(I1121+I1120)+(I1125+I1124+I1123+I1122)</f>
        <v>-1277</v>
      </c>
      <c r="J1131" s="44">
        <f t="shared" ref="J1131:AF1131" si="259">I1131+J1126-J1121</f>
        <v>-2116</v>
      </c>
      <c r="K1131" s="44">
        <f t="shared" si="259"/>
        <v>-2852</v>
      </c>
      <c r="L1131" s="44">
        <f t="shared" si="259"/>
        <v>-3481</v>
      </c>
      <c r="M1131" s="44">
        <f t="shared" si="259"/>
        <v>-4366</v>
      </c>
      <c r="N1131" s="44">
        <f t="shared" si="259"/>
        <v>-5277</v>
      </c>
      <c r="O1131" s="44">
        <f t="shared" si="259"/>
        <v>-6187</v>
      </c>
      <c r="P1131" s="44">
        <f t="shared" si="259"/>
        <v>-7097</v>
      </c>
      <c r="Q1131" s="44">
        <f t="shared" si="259"/>
        <v>-8089</v>
      </c>
      <c r="R1131" s="44">
        <f t="shared" si="259"/>
        <v>-9144</v>
      </c>
      <c r="S1131" s="44">
        <f t="shared" si="259"/>
        <v>-10198</v>
      </c>
      <c r="T1131" s="44">
        <f t="shared" si="259"/>
        <v>-11251</v>
      </c>
      <c r="U1131" s="44">
        <f t="shared" si="259"/>
        <v>-12232</v>
      </c>
      <c r="V1131" s="44">
        <f t="shared" si="259"/>
        <v>-12777</v>
      </c>
      <c r="W1131" s="44">
        <f t="shared" si="259"/>
        <v>-13322</v>
      </c>
      <c r="X1131" s="44">
        <f t="shared" si="259"/>
        <v>-13865</v>
      </c>
      <c r="Y1131" s="44">
        <f t="shared" si="259"/>
        <v>-14408</v>
      </c>
      <c r="Z1131" s="44">
        <f t="shared" si="259"/>
        <v>-15050</v>
      </c>
      <c r="AA1131" s="44">
        <f t="shared" si="259"/>
        <v>-15734</v>
      </c>
      <c r="AB1131" s="44">
        <f t="shared" si="259"/>
        <v>-16416</v>
      </c>
      <c r="AC1131" s="44">
        <f t="shared" si="259"/>
        <v>-17099</v>
      </c>
      <c r="AD1131" s="44">
        <f t="shared" si="259"/>
        <v>-17809</v>
      </c>
      <c r="AE1131" s="44">
        <f t="shared" si="259"/>
        <v>-18531</v>
      </c>
      <c r="AF1131" s="44">
        <f t="shared" si="259"/>
        <v>-19254</v>
      </c>
    </row>
    <row r="1132" spans="1:32" ht="15" thickBot="1" x14ac:dyDescent="0.35">
      <c r="A1132" s="40" t="s">
        <v>284</v>
      </c>
      <c r="B1132" s="40" t="s">
        <v>174</v>
      </c>
      <c r="C1132" s="40" t="s">
        <v>285</v>
      </c>
      <c r="D1132" s="41" t="s">
        <v>183</v>
      </c>
      <c r="E1132" s="41" t="s">
        <v>177</v>
      </c>
      <c r="F1132" s="40" t="s">
        <v>141</v>
      </c>
      <c r="G1132" s="40" t="s">
        <v>130</v>
      </c>
      <c r="H1132" s="45"/>
      <c r="I1132" s="45">
        <f>I1126-I1130</f>
        <v>0</v>
      </c>
      <c r="J1132" s="45">
        <f t="shared" ref="J1132:AF1132" si="260">I1132+J1126-J1130</f>
        <v>0</v>
      </c>
      <c r="K1132" s="45">
        <f t="shared" si="260"/>
        <v>0</v>
      </c>
      <c r="L1132" s="45">
        <f t="shared" si="260"/>
        <v>0</v>
      </c>
      <c r="M1132" s="45">
        <f t="shared" si="260"/>
        <v>0</v>
      </c>
      <c r="N1132" s="45">
        <f t="shared" si="260"/>
        <v>0</v>
      </c>
      <c r="O1132" s="45">
        <f t="shared" si="260"/>
        <v>0</v>
      </c>
      <c r="P1132" s="45">
        <f t="shared" si="260"/>
        <v>0</v>
      </c>
      <c r="Q1132" s="45">
        <f t="shared" si="260"/>
        <v>0</v>
      </c>
      <c r="R1132" s="45">
        <f t="shared" si="260"/>
        <v>0</v>
      </c>
      <c r="S1132" s="45">
        <f t="shared" si="260"/>
        <v>0</v>
      </c>
      <c r="T1132" s="45">
        <f t="shared" si="260"/>
        <v>0</v>
      </c>
      <c r="U1132" s="45">
        <f t="shared" si="260"/>
        <v>0</v>
      </c>
      <c r="V1132" s="45">
        <f t="shared" si="260"/>
        <v>0</v>
      </c>
      <c r="W1132" s="45">
        <f t="shared" si="260"/>
        <v>0</v>
      </c>
      <c r="X1132" s="45">
        <f t="shared" si="260"/>
        <v>0</v>
      </c>
      <c r="Y1132" s="45">
        <f t="shared" si="260"/>
        <v>0</v>
      </c>
      <c r="Z1132" s="45">
        <f t="shared" si="260"/>
        <v>0</v>
      </c>
      <c r="AA1132" s="45">
        <f t="shared" si="260"/>
        <v>0</v>
      </c>
      <c r="AB1132" s="45">
        <f t="shared" si="260"/>
        <v>0</v>
      </c>
      <c r="AC1132" s="45">
        <f t="shared" si="260"/>
        <v>0</v>
      </c>
      <c r="AD1132" s="45">
        <f t="shared" si="260"/>
        <v>0</v>
      </c>
      <c r="AE1132" s="45">
        <f t="shared" si="260"/>
        <v>0</v>
      </c>
      <c r="AF1132" s="45">
        <f t="shared" si="260"/>
        <v>0</v>
      </c>
    </row>
    <row r="1133" spans="1:32" x14ac:dyDescent="0.3">
      <c r="A1133" s="38" t="s">
        <v>286</v>
      </c>
      <c r="B1133" s="38" t="s">
        <v>174</v>
      </c>
      <c r="C1133" s="38" t="s">
        <v>285</v>
      </c>
      <c r="D1133" s="39" t="s">
        <v>198</v>
      </c>
      <c r="E1133" s="39" t="s">
        <v>177</v>
      </c>
      <c r="F1133" s="38" t="s">
        <v>129</v>
      </c>
      <c r="G1133" s="38" t="s">
        <v>130</v>
      </c>
      <c r="H1133" s="44">
        <v>702</v>
      </c>
      <c r="I1133" s="44">
        <v>702</v>
      </c>
      <c r="J1133" s="44"/>
      <c r="K1133" s="44"/>
      <c r="L1133" s="44"/>
      <c r="M1133" s="44"/>
      <c r="N1133" s="44"/>
      <c r="O1133" s="44"/>
      <c r="P1133" s="44"/>
      <c r="Q1133" s="44"/>
      <c r="R1133" s="44"/>
      <c r="S1133" s="44"/>
      <c r="T1133" s="44"/>
      <c r="U1133" s="44"/>
      <c r="V1133" s="44"/>
      <c r="W1133" s="44"/>
      <c r="X1133" s="44"/>
      <c r="Y1133" s="44"/>
      <c r="Z1133" s="44"/>
      <c r="AA1133" s="44"/>
      <c r="AB1133" s="44"/>
      <c r="AC1133" s="44"/>
      <c r="AD1133" s="44"/>
      <c r="AE1133" s="44"/>
      <c r="AF1133" s="44"/>
    </row>
    <row r="1134" spans="1:32" x14ac:dyDescent="0.3">
      <c r="A1134" s="38" t="s">
        <v>286</v>
      </c>
      <c r="B1134" s="38" t="s">
        <v>174</v>
      </c>
      <c r="C1134" s="38" t="s">
        <v>285</v>
      </c>
      <c r="D1134" s="39" t="s">
        <v>198</v>
      </c>
      <c r="E1134" s="39" t="s">
        <v>177</v>
      </c>
      <c r="F1134" s="38" t="s">
        <v>131</v>
      </c>
      <c r="G1134" s="38" t="s">
        <v>130</v>
      </c>
      <c r="H1134" s="44">
        <v>21737</v>
      </c>
      <c r="I1134" s="44">
        <v>1043</v>
      </c>
      <c r="J1134" s="44">
        <v>976</v>
      </c>
      <c r="K1134" s="44">
        <v>871</v>
      </c>
      <c r="L1134" s="44">
        <v>735</v>
      </c>
      <c r="M1134" s="44">
        <v>946</v>
      </c>
      <c r="N1134" s="44">
        <v>952</v>
      </c>
      <c r="O1134" s="44">
        <v>945</v>
      </c>
      <c r="P1134" s="44">
        <v>943</v>
      </c>
      <c r="Q1134" s="44">
        <v>1043</v>
      </c>
      <c r="R1134" s="44">
        <v>1119</v>
      </c>
      <c r="S1134" s="44">
        <v>1117</v>
      </c>
      <c r="T1134" s="44">
        <v>1117</v>
      </c>
      <c r="U1134" s="44">
        <v>1058</v>
      </c>
      <c r="V1134" s="44">
        <v>701</v>
      </c>
      <c r="W1134" s="44">
        <v>701</v>
      </c>
      <c r="X1134" s="44">
        <v>699</v>
      </c>
      <c r="Y1134" s="44">
        <v>699</v>
      </c>
      <c r="Z1134" s="44">
        <v>891</v>
      </c>
      <c r="AA1134" s="44">
        <v>971</v>
      </c>
      <c r="AB1134" s="44">
        <v>970</v>
      </c>
      <c r="AC1134" s="44">
        <v>970</v>
      </c>
      <c r="AD1134" s="44">
        <v>800</v>
      </c>
      <c r="AE1134" s="44">
        <v>735</v>
      </c>
      <c r="AF1134" s="44">
        <v>735</v>
      </c>
    </row>
    <row r="1135" spans="1:32" x14ac:dyDescent="0.3">
      <c r="A1135" s="38" t="s">
        <v>286</v>
      </c>
      <c r="B1135" s="38" t="s">
        <v>174</v>
      </c>
      <c r="C1135" s="38" t="s">
        <v>285</v>
      </c>
      <c r="D1135" s="39" t="s">
        <v>198</v>
      </c>
      <c r="E1135" s="39" t="s">
        <v>177</v>
      </c>
      <c r="F1135" s="38" t="s">
        <v>132</v>
      </c>
      <c r="G1135" s="38" t="s">
        <v>130</v>
      </c>
      <c r="H1135" s="44">
        <v>0</v>
      </c>
      <c r="I1135" s="44">
        <v>0</v>
      </c>
      <c r="J1135" s="44"/>
      <c r="K1135" s="44"/>
      <c r="L1135" s="44"/>
      <c r="M1135" s="44"/>
      <c r="N1135" s="44"/>
      <c r="O1135" s="44"/>
      <c r="P1135" s="44"/>
      <c r="Q1135" s="44"/>
      <c r="R1135" s="44"/>
      <c r="S1135" s="44"/>
      <c r="T1135" s="44"/>
      <c r="U1135" s="44"/>
      <c r="V1135" s="44"/>
      <c r="W1135" s="44"/>
      <c r="X1135" s="44"/>
      <c r="Y1135" s="44"/>
      <c r="Z1135" s="44"/>
      <c r="AA1135" s="44"/>
      <c r="AB1135" s="44"/>
      <c r="AC1135" s="44"/>
      <c r="AD1135" s="44"/>
      <c r="AE1135" s="44"/>
      <c r="AF1135" s="44"/>
    </row>
    <row r="1136" spans="1:32" x14ac:dyDescent="0.3">
      <c r="A1136" s="38" t="s">
        <v>286</v>
      </c>
      <c r="B1136" s="38" t="s">
        <v>174</v>
      </c>
      <c r="C1136" s="38" t="s">
        <v>285</v>
      </c>
      <c r="D1136" s="39" t="s">
        <v>198</v>
      </c>
      <c r="E1136" s="39" t="s">
        <v>177</v>
      </c>
      <c r="F1136" s="38" t="s">
        <v>133</v>
      </c>
      <c r="G1136" s="38" t="s">
        <v>130</v>
      </c>
      <c r="H1136" s="44">
        <v>0</v>
      </c>
      <c r="I1136" s="44">
        <v>0</v>
      </c>
      <c r="J1136" s="44"/>
      <c r="K1136" s="44"/>
      <c r="L1136" s="44"/>
      <c r="M1136" s="44"/>
      <c r="N1136" s="44"/>
      <c r="O1136" s="44"/>
      <c r="P1136" s="44"/>
      <c r="Q1136" s="44"/>
      <c r="R1136" s="44"/>
      <c r="S1136" s="44"/>
      <c r="T1136" s="44"/>
      <c r="U1136" s="44"/>
      <c r="V1136" s="44"/>
      <c r="W1136" s="44"/>
      <c r="X1136" s="44"/>
      <c r="Y1136" s="44"/>
      <c r="Z1136" s="44"/>
      <c r="AA1136" s="44"/>
      <c r="AB1136" s="44"/>
      <c r="AC1136" s="44"/>
      <c r="AD1136" s="44"/>
      <c r="AE1136" s="44"/>
      <c r="AF1136" s="44"/>
    </row>
    <row r="1137" spans="1:32" x14ac:dyDescent="0.3">
      <c r="A1137" s="38" t="s">
        <v>286</v>
      </c>
      <c r="B1137" s="38" t="s">
        <v>174</v>
      </c>
      <c r="C1137" s="38" t="s">
        <v>285</v>
      </c>
      <c r="D1137" s="39" t="s">
        <v>198</v>
      </c>
      <c r="E1137" s="39" t="s">
        <v>177</v>
      </c>
      <c r="F1137" s="38" t="s">
        <v>134</v>
      </c>
      <c r="G1137" s="38" t="s">
        <v>130</v>
      </c>
      <c r="H1137" s="44">
        <v>0</v>
      </c>
      <c r="I1137" s="44">
        <v>0</v>
      </c>
      <c r="J1137" s="44"/>
      <c r="K1137" s="44"/>
      <c r="L1137" s="44"/>
      <c r="M1137" s="44"/>
      <c r="N1137" s="44"/>
      <c r="O1137" s="44"/>
      <c r="P1137" s="44"/>
      <c r="Q1137" s="44"/>
      <c r="R1137" s="44"/>
      <c r="S1137" s="44"/>
      <c r="T1137" s="44"/>
      <c r="U1137" s="44"/>
      <c r="V1137" s="44"/>
      <c r="W1137" s="44"/>
      <c r="X1137" s="44"/>
      <c r="Y1137" s="44"/>
      <c r="Z1137" s="44"/>
      <c r="AA1137" s="44"/>
      <c r="AB1137" s="44"/>
      <c r="AC1137" s="44"/>
      <c r="AD1137" s="44"/>
      <c r="AE1137" s="44"/>
      <c r="AF1137" s="44"/>
    </row>
    <row r="1138" spans="1:32" x14ac:dyDescent="0.3">
      <c r="A1138" s="38" t="s">
        <v>286</v>
      </c>
      <c r="B1138" s="38" t="s">
        <v>174</v>
      </c>
      <c r="C1138" s="38" t="s">
        <v>285</v>
      </c>
      <c r="D1138" s="39" t="s">
        <v>198</v>
      </c>
      <c r="E1138" s="39" t="s">
        <v>177</v>
      </c>
      <c r="F1138" s="38" t="s">
        <v>135</v>
      </c>
      <c r="G1138" s="38" t="s">
        <v>130</v>
      </c>
      <c r="H1138" s="44"/>
      <c r="I1138" s="44"/>
      <c r="J1138" s="44"/>
      <c r="K1138" s="44"/>
      <c r="L1138" s="44"/>
      <c r="M1138" s="44"/>
      <c r="N1138" s="44"/>
      <c r="O1138" s="44"/>
      <c r="P1138" s="44"/>
      <c r="Q1138" s="44"/>
      <c r="R1138" s="44"/>
      <c r="S1138" s="44"/>
      <c r="T1138" s="44"/>
      <c r="U1138" s="44"/>
      <c r="V1138" s="44"/>
      <c r="W1138" s="44"/>
      <c r="X1138" s="44"/>
      <c r="Y1138" s="44"/>
      <c r="Z1138" s="44"/>
      <c r="AA1138" s="44"/>
      <c r="AB1138" s="44"/>
      <c r="AC1138" s="44"/>
      <c r="AD1138" s="44"/>
      <c r="AE1138" s="44"/>
      <c r="AF1138" s="44"/>
    </row>
    <row r="1139" spans="1:32" x14ac:dyDescent="0.3">
      <c r="A1139" s="38" t="s">
        <v>286</v>
      </c>
      <c r="B1139" s="38" t="s">
        <v>174</v>
      </c>
      <c r="C1139" s="38" t="s">
        <v>285</v>
      </c>
      <c r="D1139" s="39" t="s">
        <v>198</v>
      </c>
      <c r="E1139" s="39" t="s">
        <v>177</v>
      </c>
      <c r="F1139" s="38" t="s">
        <v>136</v>
      </c>
      <c r="G1139" s="38" t="s">
        <v>130</v>
      </c>
      <c r="H1139" s="44">
        <f>SUM(I1139:AF1139)</f>
        <v>0</v>
      </c>
      <c r="I1139" s="44">
        <f t="shared" ref="I1139:AF1139" si="261">IF(AND(ISBLANK(I1142) = TRUE,ISBLANK(I1141) = TRUE),I1140,I1141+I1142)</f>
        <v>0</v>
      </c>
      <c r="J1139" s="44">
        <f t="shared" si="261"/>
        <v>0</v>
      </c>
      <c r="K1139" s="44">
        <f t="shared" si="261"/>
        <v>0</v>
      </c>
      <c r="L1139" s="44">
        <f t="shared" si="261"/>
        <v>0</v>
      </c>
      <c r="M1139" s="44">
        <f t="shared" si="261"/>
        <v>0</v>
      </c>
      <c r="N1139" s="44">
        <f t="shared" si="261"/>
        <v>0</v>
      </c>
      <c r="O1139" s="44">
        <f t="shared" si="261"/>
        <v>0</v>
      </c>
      <c r="P1139" s="44">
        <f t="shared" si="261"/>
        <v>0</v>
      </c>
      <c r="Q1139" s="44">
        <f t="shared" si="261"/>
        <v>0</v>
      </c>
      <c r="R1139" s="44">
        <f t="shared" si="261"/>
        <v>0</v>
      </c>
      <c r="S1139" s="44">
        <f t="shared" si="261"/>
        <v>0</v>
      </c>
      <c r="T1139" s="44">
        <f t="shared" si="261"/>
        <v>0</v>
      </c>
      <c r="U1139" s="44">
        <f t="shared" si="261"/>
        <v>0</v>
      </c>
      <c r="V1139" s="44">
        <f t="shared" si="261"/>
        <v>0</v>
      </c>
      <c r="W1139" s="44">
        <f t="shared" si="261"/>
        <v>0</v>
      </c>
      <c r="X1139" s="44">
        <f t="shared" si="261"/>
        <v>0</v>
      </c>
      <c r="Y1139" s="44">
        <f t="shared" si="261"/>
        <v>0</v>
      </c>
      <c r="Z1139" s="44">
        <f t="shared" si="261"/>
        <v>0</v>
      </c>
      <c r="AA1139" s="44">
        <f t="shared" si="261"/>
        <v>0</v>
      </c>
      <c r="AB1139" s="44">
        <f t="shared" si="261"/>
        <v>0</v>
      </c>
      <c r="AC1139" s="44">
        <f t="shared" si="261"/>
        <v>0</v>
      </c>
      <c r="AD1139" s="44">
        <f t="shared" si="261"/>
        <v>0</v>
      </c>
      <c r="AE1139" s="44">
        <f t="shared" si="261"/>
        <v>0</v>
      </c>
      <c r="AF1139" s="44">
        <f t="shared" si="261"/>
        <v>0</v>
      </c>
    </row>
    <row r="1140" spans="1:32" x14ac:dyDescent="0.3">
      <c r="A1140" s="38" t="s">
        <v>286</v>
      </c>
      <c r="B1140" s="38" t="s">
        <v>174</v>
      </c>
      <c r="C1140" s="38" t="s">
        <v>285</v>
      </c>
      <c r="D1140" s="39" t="s">
        <v>198</v>
      </c>
      <c r="E1140" s="39" t="s">
        <v>177</v>
      </c>
      <c r="F1140" s="38" t="s">
        <v>124</v>
      </c>
      <c r="G1140" s="38" t="s">
        <v>130</v>
      </c>
      <c r="H1140" s="44"/>
      <c r="I1140" s="44"/>
      <c r="J1140" s="44"/>
      <c r="K1140" s="44"/>
      <c r="L1140" s="44"/>
      <c r="M1140" s="44"/>
      <c r="N1140" s="44"/>
      <c r="O1140" s="44"/>
      <c r="P1140" s="44"/>
      <c r="Q1140" s="44"/>
      <c r="R1140" s="44"/>
      <c r="S1140" s="44"/>
      <c r="T1140" s="44"/>
      <c r="U1140" s="44"/>
      <c r="V1140" s="44"/>
      <c r="W1140" s="44"/>
      <c r="X1140" s="44"/>
      <c r="Y1140" s="44"/>
      <c r="Z1140" s="44"/>
      <c r="AA1140" s="44"/>
      <c r="AB1140" s="44"/>
      <c r="AC1140" s="44"/>
      <c r="AD1140" s="44"/>
      <c r="AE1140" s="44"/>
      <c r="AF1140" s="44"/>
    </row>
    <row r="1141" spans="1:32" x14ac:dyDescent="0.3">
      <c r="A1141" s="38" t="s">
        <v>286</v>
      </c>
      <c r="B1141" s="38" t="s">
        <v>174</v>
      </c>
      <c r="C1141" s="38" t="s">
        <v>285</v>
      </c>
      <c r="D1141" s="39" t="s">
        <v>198</v>
      </c>
      <c r="E1141" s="39" t="s">
        <v>177</v>
      </c>
      <c r="F1141" s="38" t="s">
        <v>137</v>
      </c>
      <c r="G1141" s="38" t="s">
        <v>130</v>
      </c>
      <c r="H1141" s="44">
        <f>SUM(I1141:AF1141)</f>
        <v>0</v>
      </c>
      <c r="I1141" s="44"/>
      <c r="J1141" s="44"/>
      <c r="K1141" s="44"/>
      <c r="L1141" s="44"/>
      <c r="M1141" s="44"/>
      <c r="N1141" s="44"/>
      <c r="O1141" s="44"/>
      <c r="P1141" s="44"/>
      <c r="Q1141" s="44"/>
      <c r="R1141" s="44"/>
      <c r="S1141" s="44"/>
      <c r="T1141" s="44"/>
      <c r="U1141" s="44"/>
      <c r="V1141" s="44"/>
      <c r="W1141" s="44"/>
      <c r="X1141" s="44"/>
      <c r="Y1141" s="44"/>
      <c r="Z1141" s="44"/>
      <c r="AA1141" s="44"/>
      <c r="AB1141" s="44"/>
      <c r="AC1141" s="44"/>
      <c r="AD1141" s="44"/>
      <c r="AE1141" s="44"/>
      <c r="AF1141" s="44"/>
    </row>
    <row r="1142" spans="1:32" x14ac:dyDescent="0.3">
      <c r="A1142" s="38" t="s">
        <v>286</v>
      </c>
      <c r="B1142" s="38" t="s">
        <v>174</v>
      </c>
      <c r="C1142" s="38" t="s">
        <v>285</v>
      </c>
      <c r="D1142" s="39" t="s">
        <v>198</v>
      </c>
      <c r="E1142" s="39" t="s">
        <v>177</v>
      </c>
      <c r="F1142" s="38" t="s">
        <v>138</v>
      </c>
      <c r="G1142" s="38" t="s">
        <v>130</v>
      </c>
      <c r="H1142" s="44">
        <f>SUM(I1142:AF1142)</f>
        <v>0</v>
      </c>
      <c r="I1142" s="44"/>
      <c r="J1142" s="44"/>
      <c r="K1142" s="44"/>
      <c r="L1142" s="44"/>
      <c r="M1142" s="44"/>
      <c r="N1142" s="44"/>
      <c r="O1142" s="44"/>
      <c r="P1142" s="44"/>
      <c r="Q1142" s="44"/>
      <c r="R1142" s="44"/>
      <c r="S1142" s="44"/>
      <c r="T1142" s="44"/>
      <c r="U1142" s="44"/>
      <c r="V1142" s="44"/>
      <c r="W1142" s="44"/>
      <c r="X1142" s="44"/>
      <c r="Y1142" s="44"/>
      <c r="Z1142" s="44"/>
      <c r="AA1142" s="44"/>
      <c r="AB1142" s="44"/>
      <c r="AC1142" s="44"/>
      <c r="AD1142" s="44"/>
      <c r="AE1142" s="44"/>
      <c r="AF1142" s="44"/>
    </row>
    <row r="1143" spans="1:32" x14ac:dyDescent="0.3">
      <c r="A1143" s="38" t="s">
        <v>286</v>
      </c>
      <c r="B1143" s="38" t="s">
        <v>174</v>
      </c>
      <c r="C1143" s="38" t="s">
        <v>285</v>
      </c>
      <c r="D1143" s="39" t="s">
        <v>198</v>
      </c>
      <c r="E1143" s="39" t="s">
        <v>177</v>
      </c>
      <c r="F1143" s="38" t="s">
        <v>139</v>
      </c>
      <c r="G1143" s="38" t="s">
        <v>130</v>
      </c>
      <c r="H1143" s="44"/>
      <c r="I1143" s="44"/>
      <c r="J1143" s="44"/>
      <c r="K1143" s="44"/>
      <c r="L1143" s="44"/>
      <c r="M1143" s="44"/>
      <c r="N1143" s="44"/>
      <c r="O1143" s="44"/>
      <c r="P1143" s="44"/>
      <c r="Q1143" s="44"/>
      <c r="R1143" s="44"/>
      <c r="S1143" s="44"/>
      <c r="T1143" s="44"/>
      <c r="U1143" s="44"/>
      <c r="V1143" s="44"/>
      <c r="W1143" s="44"/>
      <c r="X1143" s="44"/>
      <c r="Y1143" s="44"/>
      <c r="Z1143" s="44"/>
      <c r="AA1143" s="44"/>
      <c r="AB1143" s="44"/>
      <c r="AC1143" s="44"/>
      <c r="AD1143" s="44"/>
      <c r="AE1143" s="44"/>
      <c r="AF1143" s="44"/>
    </row>
    <row r="1144" spans="1:32" x14ac:dyDescent="0.3">
      <c r="A1144" s="38" t="s">
        <v>286</v>
      </c>
      <c r="B1144" s="38" t="s">
        <v>174</v>
      </c>
      <c r="C1144" s="38" t="s">
        <v>285</v>
      </c>
      <c r="D1144" s="39" t="s">
        <v>198</v>
      </c>
      <c r="E1144" s="39" t="s">
        <v>177</v>
      </c>
      <c r="F1144" s="38" t="s">
        <v>140</v>
      </c>
      <c r="G1144" s="38" t="s">
        <v>130</v>
      </c>
      <c r="H1144" s="44"/>
      <c r="I1144" s="44">
        <f>I1139-(I1134+I1133)+(I1138+I1137+I1136+I1135)</f>
        <v>-1745</v>
      </c>
      <c r="J1144" s="44">
        <f t="shared" ref="J1144:AF1144" si="262">I1144+J1139-J1134</f>
        <v>-2721</v>
      </c>
      <c r="K1144" s="44">
        <f t="shared" si="262"/>
        <v>-3592</v>
      </c>
      <c r="L1144" s="44">
        <f t="shared" si="262"/>
        <v>-4327</v>
      </c>
      <c r="M1144" s="44">
        <f t="shared" si="262"/>
        <v>-5273</v>
      </c>
      <c r="N1144" s="44">
        <f t="shared" si="262"/>
        <v>-6225</v>
      </c>
      <c r="O1144" s="44">
        <f t="shared" si="262"/>
        <v>-7170</v>
      </c>
      <c r="P1144" s="44">
        <f t="shared" si="262"/>
        <v>-8113</v>
      </c>
      <c r="Q1144" s="44">
        <f t="shared" si="262"/>
        <v>-9156</v>
      </c>
      <c r="R1144" s="44">
        <f t="shared" si="262"/>
        <v>-10275</v>
      </c>
      <c r="S1144" s="44">
        <f t="shared" si="262"/>
        <v>-11392</v>
      </c>
      <c r="T1144" s="44">
        <f t="shared" si="262"/>
        <v>-12509</v>
      </c>
      <c r="U1144" s="44">
        <f t="shared" si="262"/>
        <v>-13567</v>
      </c>
      <c r="V1144" s="44">
        <f t="shared" si="262"/>
        <v>-14268</v>
      </c>
      <c r="W1144" s="44">
        <f t="shared" si="262"/>
        <v>-14969</v>
      </c>
      <c r="X1144" s="44">
        <f t="shared" si="262"/>
        <v>-15668</v>
      </c>
      <c r="Y1144" s="44">
        <f t="shared" si="262"/>
        <v>-16367</v>
      </c>
      <c r="Z1144" s="44">
        <f t="shared" si="262"/>
        <v>-17258</v>
      </c>
      <c r="AA1144" s="44">
        <f t="shared" si="262"/>
        <v>-18229</v>
      </c>
      <c r="AB1144" s="44">
        <f t="shared" si="262"/>
        <v>-19199</v>
      </c>
      <c r="AC1144" s="44">
        <f t="shared" si="262"/>
        <v>-20169</v>
      </c>
      <c r="AD1144" s="44">
        <f t="shared" si="262"/>
        <v>-20969</v>
      </c>
      <c r="AE1144" s="44">
        <f t="shared" si="262"/>
        <v>-21704</v>
      </c>
      <c r="AF1144" s="44">
        <f t="shared" si="262"/>
        <v>-22439</v>
      </c>
    </row>
    <row r="1145" spans="1:32" ht="15" thickBot="1" x14ac:dyDescent="0.35">
      <c r="A1145" s="40" t="s">
        <v>286</v>
      </c>
      <c r="B1145" s="40" t="s">
        <v>174</v>
      </c>
      <c r="C1145" s="40" t="s">
        <v>285</v>
      </c>
      <c r="D1145" s="41" t="s">
        <v>198</v>
      </c>
      <c r="E1145" s="41" t="s">
        <v>177</v>
      </c>
      <c r="F1145" s="40" t="s">
        <v>141</v>
      </c>
      <c r="G1145" s="40" t="s">
        <v>130</v>
      </c>
      <c r="H1145" s="45"/>
      <c r="I1145" s="45">
        <f>I1139-I1143</f>
        <v>0</v>
      </c>
      <c r="J1145" s="45">
        <f t="shared" ref="J1145:AF1145" si="263">I1145+J1139-J1143</f>
        <v>0</v>
      </c>
      <c r="K1145" s="45">
        <f t="shared" si="263"/>
        <v>0</v>
      </c>
      <c r="L1145" s="45">
        <f t="shared" si="263"/>
        <v>0</v>
      </c>
      <c r="M1145" s="45">
        <f t="shared" si="263"/>
        <v>0</v>
      </c>
      <c r="N1145" s="45">
        <f t="shared" si="263"/>
        <v>0</v>
      </c>
      <c r="O1145" s="45">
        <f t="shared" si="263"/>
        <v>0</v>
      </c>
      <c r="P1145" s="45">
        <f t="shared" si="263"/>
        <v>0</v>
      </c>
      <c r="Q1145" s="45">
        <f t="shared" si="263"/>
        <v>0</v>
      </c>
      <c r="R1145" s="45">
        <f t="shared" si="263"/>
        <v>0</v>
      </c>
      <c r="S1145" s="45">
        <f t="shared" si="263"/>
        <v>0</v>
      </c>
      <c r="T1145" s="45">
        <f t="shared" si="263"/>
        <v>0</v>
      </c>
      <c r="U1145" s="45">
        <f t="shared" si="263"/>
        <v>0</v>
      </c>
      <c r="V1145" s="45">
        <f t="shared" si="263"/>
        <v>0</v>
      </c>
      <c r="W1145" s="45">
        <f t="shared" si="263"/>
        <v>0</v>
      </c>
      <c r="X1145" s="45">
        <f t="shared" si="263"/>
        <v>0</v>
      </c>
      <c r="Y1145" s="45">
        <f t="shared" si="263"/>
        <v>0</v>
      </c>
      <c r="Z1145" s="45">
        <f t="shared" si="263"/>
        <v>0</v>
      </c>
      <c r="AA1145" s="45">
        <f t="shared" si="263"/>
        <v>0</v>
      </c>
      <c r="AB1145" s="45">
        <f t="shared" si="263"/>
        <v>0</v>
      </c>
      <c r="AC1145" s="45">
        <f t="shared" si="263"/>
        <v>0</v>
      </c>
      <c r="AD1145" s="45">
        <f t="shared" si="263"/>
        <v>0</v>
      </c>
      <c r="AE1145" s="45">
        <f t="shared" si="263"/>
        <v>0</v>
      </c>
      <c r="AF1145" s="45">
        <f t="shared" si="263"/>
        <v>0</v>
      </c>
    </row>
    <row r="1146" spans="1:32" x14ac:dyDescent="0.3">
      <c r="A1146" s="38" t="s">
        <v>287</v>
      </c>
      <c r="B1146" s="38" t="s">
        <v>174</v>
      </c>
      <c r="C1146" s="38" t="s">
        <v>288</v>
      </c>
      <c r="D1146" s="39" t="s">
        <v>183</v>
      </c>
      <c r="E1146" s="39" t="s">
        <v>195</v>
      </c>
      <c r="F1146" s="38" t="s">
        <v>129</v>
      </c>
      <c r="G1146" s="38" t="s">
        <v>130</v>
      </c>
      <c r="H1146" s="44">
        <v>1400</v>
      </c>
      <c r="I1146" s="44">
        <v>1400</v>
      </c>
      <c r="J1146" s="44"/>
      <c r="K1146" s="44"/>
      <c r="L1146" s="44"/>
      <c r="M1146" s="44"/>
      <c r="N1146" s="44"/>
      <c r="O1146" s="44"/>
      <c r="P1146" s="44"/>
      <c r="Q1146" s="44"/>
      <c r="R1146" s="44"/>
      <c r="S1146" s="44"/>
      <c r="T1146" s="44"/>
      <c r="U1146" s="44"/>
      <c r="V1146" s="44"/>
      <c r="W1146" s="44"/>
      <c r="X1146" s="44"/>
      <c r="Y1146" s="44"/>
      <c r="Z1146" s="44"/>
      <c r="AA1146" s="44"/>
      <c r="AB1146" s="44"/>
      <c r="AC1146" s="44"/>
      <c r="AD1146" s="44"/>
      <c r="AE1146" s="44"/>
      <c r="AF1146" s="44"/>
    </row>
    <row r="1147" spans="1:32" x14ac:dyDescent="0.3">
      <c r="A1147" s="38" t="s">
        <v>287</v>
      </c>
      <c r="B1147" s="38" t="s">
        <v>174</v>
      </c>
      <c r="C1147" s="38" t="s">
        <v>288</v>
      </c>
      <c r="D1147" s="39" t="s">
        <v>183</v>
      </c>
      <c r="E1147" s="39" t="s">
        <v>195</v>
      </c>
      <c r="F1147" s="38" t="s">
        <v>131</v>
      </c>
      <c r="G1147" s="38" t="s">
        <v>130</v>
      </c>
      <c r="H1147" s="44">
        <v>2758</v>
      </c>
      <c r="I1147" s="44">
        <v>181</v>
      </c>
      <c r="J1147" s="44">
        <v>156</v>
      </c>
      <c r="K1147" s="44">
        <v>148</v>
      </c>
      <c r="L1147" s="44">
        <v>151</v>
      </c>
      <c r="M1147" s="44">
        <v>145</v>
      </c>
      <c r="N1147" s="44">
        <v>146</v>
      </c>
      <c r="O1147" s="44">
        <v>145</v>
      </c>
      <c r="P1147" s="44">
        <v>145</v>
      </c>
      <c r="Q1147" s="44">
        <v>134</v>
      </c>
      <c r="R1147" s="44">
        <v>128</v>
      </c>
      <c r="S1147" s="44">
        <v>125</v>
      </c>
      <c r="T1147" s="44">
        <v>125</v>
      </c>
      <c r="U1147" s="44">
        <v>120</v>
      </c>
      <c r="V1147" s="44">
        <v>88</v>
      </c>
      <c r="W1147" s="44">
        <v>87</v>
      </c>
      <c r="X1147" s="44">
        <v>87</v>
      </c>
      <c r="Y1147" s="44">
        <v>86</v>
      </c>
      <c r="Z1147" s="44">
        <v>92</v>
      </c>
      <c r="AA1147" s="44">
        <v>99</v>
      </c>
      <c r="AB1147" s="44">
        <v>99</v>
      </c>
      <c r="AC1147" s="44">
        <v>96</v>
      </c>
      <c r="AD1147" s="44">
        <v>66</v>
      </c>
      <c r="AE1147" s="44">
        <v>54</v>
      </c>
      <c r="AF1147" s="44">
        <v>55</v>
      </c>
    </row>
    <row r="1148" spans="1:32" x14ac:dyDescent="0.3">
      <c r="A1148" s="38" t="s">
        <v>287</v>
      </c>
      <c r="B1148" s="38" t="s">
        <v>174</v>
      </c>
      <c r="C1148" s="38" t="s">
        <v>288</v>
      </c>
      <c r="D1148" s="39" t="s">
        <v>183</v>
      </c>
      <c r="E1148" s="39" t="s">
        <v>195</v>
      </c>
      <c r="F1148" s="38" t="s">
        <v>132</v>
      </c>
      <c r="G1148" s="38" t="s">
        <v>130</v>
      </c>
      <c r="H1148" s="44"/>
      <c r="I1148" s="44"/>
      <c r="J1148" s="44"/>
      <c r="K1148" s="44"/>
      <c r="L1148" s="44"/>
      <c r="M1148" s="44"/>
      <c r="N1148" s="44"/>
      <c r="O1148" s="44"/>
      <c r="P1148" s="44"/>
      <c r="Q1148" s="44"/>
      <c r="R1148" s="44"/>
      <c r="S1148" s="44"/>
      <c r="T1148" s="44"/>
      <c r="U1148" s="44"/>
      <c r="V1148" s="44"/>
      <c r="W1148" s="44"/>
      <c r="X1148" s="44"/>
      <c r="Y1148" s="44"/>
      <c r="Z1148" s="44"/>
      <c r="AA1148" s="44"/>
      <c r="AB1148" s="44"/>
      <c r="AC1148" s="44"/>
      <c r="AD1148" s="44"/>
      <c r="AE1148" s="44"/>
      <c r="AF1148" s="44"/>
    </row>
    <row r="1149" spans="1:32" x14ac:dyDescent="0.3">
      <c r="A1149" s="38" t="s">
        <v>287</v>
      </c>
      <c r="B1149" s="38" t="s">
        <v>174</v>
      </c>
      <c r="C1149" s="38" t="s">
        <v>288</v>
      </c>
      <c r="D1149" s="39" t="s">
        <v>183</v>
      </c>
      <c r="E1149" s="39" t="s">
        <v>195</v>
      </c>
      <c r="F1149" s="38" t="s">
        <v>133</v>
      </c>
      <c r="G1149" s="38" t="s">
        <v>130</v>
      </c>
      <c r="H1149" s="44"/>
      <c r="I1149" s="44"/>
      <c r="J1149" s="44"/>
      <c r="K1149" s="44"/>
      <c r="L1149" s="44"/>
      <c r="M1149" s="44"/>
      <c r="N1149" s="44"/>
      <c r="O1149" s="44"/>
      <c r="P1149" s="44"/>
      <c r="Q1149" s="44"/>
      <c r="R1149" s="44"/>
      <c r="S1149" s="44"/>
      <c r="T1149" s="44"/>
      <c r="U1149" s="44"/>
      <c r="V1149" s="44"/>
      <c r="W1149" s="44"/>
      <c r="X1149" s="44"/>
      <c r="Y1149" s="44"/>
      <c r="Z1149" s="44"/>
      <c r="AA1149" s="44"/>
      <c r="AB1149" s="44"/>
      <c r="AC1149" s="44"/>
      <c r="AD1149" s="44"/>
      <c r="AE1149" s="44"/>
      <c r="AF1149" s="44"/>
    </row>
    <row r="1150" spans="1:32" x14ac:dyDescent="0.3">
      <c r="A1150" s="38" t="s">
        <v>287</v>
      </c>
      <c r="B1150" s="38" t="s">
        <v>174</v>
      </c>
      <c r="C1150" s="38" t="s">
        <v>288</v>
      </c>
      <c r="D1150" s="39" t="s">
        <v>183</v>
      </c>
      <c r="E1150" s="39" t="s">
        <v>195</v>
      </c>
      <c r="F1150" s="38" t="s">
        <v>134</v>
      </c>
      <c r="G1150" s="38" t="s">
        <v>130</v>
      </c>
      <c r="H1150" s="44"/>
      <c r="I1150" s="44"/>
      <c r="J1150" s="44"/>
      <c r="K1150" s="44"/>
      <c r="L1150" s="44"/>
      <c r="M1150" s="44"/>
      <c r="N1150" s="44"/>
      <c r="O1150" s="44"/>
      <c r="P1150" s="44"/>
      <c r="Q1150" s="44"/>
      <c r="R1150" s="44"/>
      <c r="S1150" s="44"/>
      <c r="T1150" s="44"/>
      <c r="U1150" s="44"/>
      <c r="V1150" s="44"/>
      <c r="W1150" s="44"/>
      <c r="X1150" s="44"/>
      <c r="Y1150" s="44"/>
      <c r="Z1150" s="44"/>
      <c r="AA1150" s="44"/>
      <c r="AB1150" s="44"/>
      <c r="AC1150" s="44"/>
      <c r="AD1150" s="44"/>
      <c r="AE1150" s="44"/>
      <c r="AF1150" s="44"/>
    </row>
    <row r="1151" spans="1:32" x14ac:dyDescent="0.3">
      <c r="A1151" s="38" t="s">
        <v>287</v>
      </c>
      <c r="B1151" s="38" t="s">
        <v>174</v>
      </c>
      <c r="C1151" s="38" t="s">
        <v>288</v>
      </c>
      <c r="D1151" s="39" t="s">
        <v>183</v>
      </c>
      <c r="E1151" s="39" t="s">
        <v>195</v>
      </c>
      <c r="F1151" s="38" t="s">
        <v>135</v>
      </c>
      <c r="G1151" s="38" t="s">
        <v>130</v>
      </c>
      <c r="H1151" s="44"/>
      <c r="I1151" s="44"/>
      <c r="J1151" s="44"/>
      <c r="K1151" s="44"/>
      <c r="L1151" s="44"/>
      <c r="M1151" s="44"/>
      <c r="N1151" s="44"/>
      <c r="O1151" s="44"/>
      <c r="P1151" s="44"/>
      <c r="Q1151" s="44"/>
      <c r="R1151" s="44"/>
      <c r="S1151" s="44"/>
      <c r="T1151" s="44"/>
      <c r="U1151" s="44"/>
      <c r="V1151" s="44"/>
      <c r="W1151" s="44"/>
      <c r="X1151" s="44"/>
      <c r="Y1151" s="44"/>
      <c r="Z1151" s="44"/>
      <c r="AA1151" s="44"/>
      <c r="AB1151" s="44"/>
      <c r="AC1151" s="44"/>
      <c r="AD1151" s="44"/>
      <c r="AE1151" s="44"/>
      <c r="AF1151" s="44"/>
    </row>
    <row r="1152" spans="1:32" x14ac:dyDescent="0.3">
      <c r="A1152" s="38" t="s">
        <v>287</v>
      </c>
      <c r="B1152" s="38" t="s">
        <v>174</v>
      </c>
      <c r="C1152" s="38" t="s">
        <v>288</v>
      </c>
      <c r="D1152" s="39" t="s">
        <v>183</v>
      </c>
      <c r="E1152" s="39" t="s">
        <v>195</v>
      </c>
      <c r="F1152" s="38" t="s">
        <v>136</v>
      </c>
      <c r="G1152" s="38" t="s">
        <v>130</v>
      </c>
      <c r="H1152" s="44">
        <f>SUM(I1152:AF1152)</f>
        <v>0</v>
      </c>
      <c r="I1152" s="44">
        <f t="shared" ref="I1152:AF1152" si="264">IF(AND(ISBLANK(I1155) = TRUE,ISBLANK(I1154) = TRUE),I1153,I1154+I1155)</f>
        <v>0</v>
      </c>
      <c r="J1152" s="44">
        <f t="shared" si="264"/>
        <v>0</v>
      </c>
      <c r="K1152" s="44">
        <f t="shared" si="264"/>
        <v>0</v>
      </c>
      <c r="L1152" s="44">
        <f t="shared" si="264"/>
        <v>0</v>
      </c>
      <c r="M1152" s="44">
        <f t="shared" si="264"/>
        <v>0</v>
      </c>
      <c r="N1152" s="44">
        <f t="shared" si="264"/>
        <v>0</v>
      </c>
      <c r="O1152" s="44">
        <f t="shared" si="264"/>
        <v>0</v>
      </c>
      <c r="P1152" s="44">
        <f t="shared" si="264"/>
        <v>0</v>
      </c>
      <c r="Q1152" s="44">
        <f t="shared" si="264"/>
        <v>0</v>
      </c>
      <c r="R1152" s="44">
        <f t="shared" si="264"/>
        <v>0</v>
      </c>
      <c r="S1152" s="44">
        <f t="shared" si="264"/>
        <v>0</v>
      </c>
      <c r="T1152" s="44">
        <f t="shared" si="264"/>
        <v>0</v>
      </c>
      <c r="U1152" s="44">
        <f t="shared" si="264"/>
        <v>0</v>
      </c>
      <c r="V1152" s="44">
        <f t="shared" si="264"/>
        <v>0</v>
      </c>
      <c r="W1152" s="44">
        <f t="shared" si="264"/>
        <v>0</v>
      </c>
      <c r="X1152" s="44">
        <f t="shared" si="264"/>
        <v>0</v>
      </c>
      <c r="Y1152" s="44">
        <f t="shared" si="264"/>
        <v>0</v>
      </c>
      <c r="Z1152" s="44">
        <f t="shared" si="264"/>
        <v>0</v>
      </c>
      <c r="AA1152" s="44">
        <f t="shared" si="264"/>
        <v>0</v>
      </c>
      <c r="AB1152" s="44">
        <f t="shared" si="264"/>
        <v>0</v>
      </c>
      <c r="AC1152" s="44">
        <f t="shared" si="264"/>
        <v>0</v>
      </c>
      <c r="AD1152" s="44">
        <f t="shared" si="264"/>
        <v>0</v>
      </c>
      <c r="AE1152" s="44">
        <f t="shared" si="264"/>
        <v>0</v>
      </c>
      <c r="AF1152" s="44">
        <f t="shared" si="264"/>
        <v>0</v>
      </c>
    </row>
    <row r="1153" spans="1:32" x14ac:dyDescent="0.3">
      <c r="A1153" s="38" t="s">
        <v>287</v>
      </c>
      <c r="B1153" s="38" t="s">
        <v>174</v>
      </c>
      <c r="C1153" s="38" t="s">
        <v>288</v>
      </c>
      <c r="D1153" s="39" t="s">
        <v>183</v>
      </c>
      <c r="E1153" s="39" t="s">
        <v>195</v>
      </c>
      <c r="F1153" s="38" t="s">
        <v>124</v>
      </c>
      <c r="G1153" s="38" t="s">
        <v>130</v>
      </c>
      <c r="H1153" s="44"/>
      <c r="I1153" s="44"/>
      <c r="J1153" s="44"/>
      <c r="K1153" s="44"/>
      <c r="L1153" s="44"/>
      <c r="M1153" s="44"/>
      <c r="N1153" s="44"/>
      <c r="O1153" s="44"/>
      <c r="P1153" s="44"/>
      <c r="Q1153" s="44"/>
      <c r="R1153" s="44"/>
      <c r="S1153" s="44"/>
      <c r="T1153" s="44"/>
      <c r="U1153" s="44"/>
      <c r="V1153" s="44"/>
      <c r="W1153" s="44"/>
      <c r="X1153" s="44"/>
      <c r="Y1153" s="44"/>
      <c r="Z1153" s="44"/>
      <c r="AA1153" s="44"/>
      <c r="AB1153" s="44"/>
      <c r="AC1153" s="44"/>
      <c r="AD1153" s="44"/>
      <c r="AE1153" s="44"/>
      <c r="AF1153" s="44"/>
    </row>
    <row r="1154" spans="1:32" x14ac:dyDescent="0.3">
      <c r="A1154" s="38" t="s">
        <v>287</v>
      </c>
      <c r="B1154" s="38" t="s">
        <v>174</v>
      </c>
      <c r="C1154" s="38" t="s">
        <v>288</v>
      </c>
      <c r="D1154" s="39" t="s">
        <v>183</v>
      </c>
      <c r="E1154" s="39" t="s">
        <v>195</v>
      </c>
      <c r="F1154" s="38" t="s">
        <v>137</v>
      </c>
      <c r="G1154" s="38" t="s">
        <v>130</v>
      </c>
      <c r="H1154" s="44">
        <f>SUM(I1154:AF1154)</f>
        <v>0</v>
      </c>
      <c r="I1154" s="44"/>
      <c r="J1154" s="44"/>
      <c r="K1154" s="44"/>
      <c r="L1154" s="44"/>
      <c r="M1154" s="44"/>
      <c r="N1154" s="44"/>
      <c r="O1154" s="44"/>
      <c r="P1154" s="44"/>
      <c r="Q1154" s="44"/>
      <c r="R1154" s="44"/>
      <c r="S1154" s="44"/>
      <c r="T1154" s="44"/>
      <c r="U1154" s="44"/>
      <c r="V1154" s="44"/>
      <c r="W1154" s="44"/>
      <c r="X1154" s="44"/>
      <c r="Y1154" s="44"/>
      <c r="Z1154" s="44"/>
      <c r="AA1154" s="44"/>
      <c r="AB1154" s="44"/>
      <c r="AC1154" s="44"/>
      <c r="AD1154" s="44"/>
      <c r="AE1154" s="44"/>
      <c r="AF1154" s="44"/>
    </row>
    <row r="1155" spans="1:32" x14ac:dyDescent="0.3">
      <c r="A1155" s="38" t="s">
        <v>287</v>
      </c>
      <c r="B1155" s="38" t="s">
        <v>174</v>
      </c>
      <c r="C1155" s="38" t="s">
        <v>288</v>
      </c>
      <c r="D1155" s="39" t="s">
        <v>183</v>
      </c>
      <c r="E1155" s="39" t="s">
        <v>195</v>
      </c>
      <c r="F1155" s="38" t="s">
        <v>138</v>
      </c>
      <c r="G1155" s="38" t="s">
        <v>130</v>
      </c>
      <c r="H1155" s="44">
        <f>SUM(I1155:AF1155)</f>
        <v>0</v>
      </c>
      <c r="I1155" s="44"/>
      <c r="J1155" s="44"/>
      <c r="K1155" s="44"/>
      <c r="L1155" s="44"/>
      <c r="M1155" s="44"/>
      <c r="N1155" s="44"/>
      <c r="O1155" s="44"/>
      <c r="P1155" s="44"/>
      <c r="Q1155" s="44"/>
      <c r="R1155" s="44"/>
      <c r="S1155" s="44"/>
      <c r="T1155" s="44"/>
      <c r="U1155" s="44"/>
      <c r="V1155" s="44"/>
      <c r="W1155" s="44"/>
      <c r="X1155" s="44"/>
      <c r="Y1155" s="44"/>
      <c r="Z1155" s="44"/>
      <c r="AA1155" s="44"/>
      <c r="AB1155" s="44"/>
      <c r="AC1155" s="44"/>
      <c r="AD1155" s="44"/>
      <c r="AE1155" s="44"/>
      <c r="AF1155" s="44"/>
    </row>
    <row r="1156" spans="1:32" x14ac:dyDescent="0.3">
      <c r="A1156" s="38" t="s">
        <v>287</v>
      </c>
      <c r="B1156" s="38" t="s">
        <v>174</v>
      </c>
      <c r="C1156" s="38" t="s">
        <v>288</v>
      </c>
      <c r="D1156" s="39" t="s">
        <v>183</v>
      </c>
      <c r="E1156" s="39" t="s">
        <v>195</v>
      </c>
      <c r="F1156" s="38" t="s">
        <v>139</v>
      </c>
      <c r="G1156" s="38" t="s">
        <v>130</v>
      </c>
      <c r="H1156" s="44"/>
      <c r="I1156" s="44"/>
      <c r="J1156" s="44"/>
      <c r="K1156" s="44"/>
      <c r="L1156" s="44"/>
      <c r="M1156" s="44"/>
      <c r="N1156" s="44"/>
      <c r="O1156" s="44"/>
      <c r="P1156" s="44"/>
      <c r="Q1156" s="44"/>
      <c r="R1156" s="44"/>
      <c r="S1156" s="44"/>
      <c r="T1156" s="44"/>
      <c r="U1156" s="44"/>
      <c r="V1156" s="44"/>
      <c r="W1156" s="44"/>
      <c r="X1156" s="44"/>
      <c r="Y1156" s="44"/>
      <c r="Z1156" s="44"/>
      <c r="AA1156" s="44"/>
      <c r="AB1156" s="44"/>
      <c r="AC1156" s="44"/>
      <c r="AD1156" s="44"/>
      <c r="AE1156" s="44"/>
      <c r="AF1156" s="44"/>
    </row>
    <row r="1157" spans="1:32" x14ac:dyDescent="0.3">
      <c r="A1157" s="38" t="s">
        <v>287</v>
      </c>
      <c r="B1157" s="38" t="s">
        <v>174</v>
      </c>
      <c r="C1157" s="38" t="s">
        <v>288</v>
      </c>
      <c r="D1157" s="39" t="s">
        <v>183</v>
      </c>
      <c r="E1157" s="39" t="s">
        <v>195</v>
      </c>
      <c r="F1157" s="38" t="s">
        <v>140</v>
      </c>
      <c r="G1157" s="38" t="s">
        <v>130</v>
      </c>
      <c r="H1157" s="44"/>
      <c r="I1157" s="44">
        <f>I1152-(I1147+I1146)+(I1151+I1150+I1149+I1148)</f>
        <v>-1581</v>
      </c>
      <c r="J1157" s="44">
        <f t="shared" ref="J1157:AF1157" si="265">I1157+J1152-J1147</f>
        <v>-1737</v>
      </c>
      <c r="K1157" s="44">
        <f t="shared" si="265"/>
        <v>-1885</v>
      </c>
      <c r="L1157" s="44">
        <f t="shared" si="265"/>
        <v>-2036</v>
      </c>
      <c r="M1157" s="44">
        <f t="shared" si="265"/>
        <v>-2181</v>
      </c>
      <c r="N1157" s="44">
        <f t="shared" si="265"/>
        <v>-2327</v>
      </c>
      <c r="O1157" s="44">
        <f t="shared" si="265"/>
        <v>-2472</v>
      </c>
      <c r="P1157" s="44">
        <f t="shared" si="265"/>
        <v>-2617</v>
      </c>
      <c r="Q1157" s="44">
        <f t="shared" si="265"/>
        <v>-2751</v>
      </c>
      <c r="R1157" s="44">
        <f t="shared" si="265"/>
        <v>-2879</v>
      </c>
      <c r="S1157" s="44">
        <f t="shared" si="265"/>
        <v>-3004</v>
      </c>
      <c r="T1157" s="44">
        <f t="shared" si="265"/>
        <v>-3129</v>
      </c>
      <c r="U1157" s="44">
        <f t="shared" si="265"/>
        <v>-3249</v>
      </c>
      <c r="V1157" s="44">
        <f t="shared" si="265"/>
        <v>-3337</v>
      </c>
      <c r="W1157" s="44">
        <f t="shared" si="265"/>
        <v>-3424</v>
      </c>
      <c r="X1157" s="44">
        <f t="shared" si="265"/>
        <v>-3511</v>
      </c>
      <c r="Y1157" s="44">
        <f t="shared" si="265"/>
        <v>-3597</v>
      </c>
      <c r="Z1157" s="44">
        <f t="shared" si="265"/>
        <v>-3689</v>
      </c>
      <c r="AA1157" s="44">
        <f t="shared" si="265"/>
        <v>-3788</v>
      </c>
      <c r="AB1157" s="44">
        <f t="shared" si="265"/>
        <v>-3887</v>
      </c>
      <c r="AC1157" s="44">
        <f t="shared" si="265"/>
        <v>-3983</v>
      </c>
      <c r="AD1157" s="44">
        <f t="shared" si="265"/>
        <v>-4049</v>
      </c>
      <c r="AE1157" s="44">
        <f t="shared" si="265"/>
        <v>-4103</v>
      </c>
      <c r="AF1157" s="44">
        <f t="shared" si="265"/>
        <v>-4158</v>
      </c>
    </row>
    <row r="1158" spans="1:32" ht="15" thickBot="1" x14ac:dyDescent="0.35">
      <c r="A1158" s="40" t="s">
        <v>287</v>
      </c>
      <c r="B1158" s="40" t="s">
        <v>174</v>
      </c>
      <c r="C1158" s="40" t="s">
        <v>288</v>
      </c>
      <c r="D1158" s="41" t="s">
        <v>183</v>
      </c>
      <c r="E1158" s="41" t="s">
        <v>195</v>
      </c>
      <c r="F1158" s="40" t="s">
        <v>141</v>
      </c>
      <c r="G1158" s="40" t="s">
        <v>130</v>
      </c>
      <c r="H1158" s="45"/>
      <c r="I1158" s="45">
        <f>I1152-I1156</f>
        <v>0</v>
      </c>
      <c r="J1158" s="45">
        <f t="shared" ref="J1158:AF1158" si="266">I1158+J1152-J1156</f>
        <v>0</v>
      </c>
      <c r="K1158" s="45">
        <f t="shared" si="266"/>
        <v>0</v>
      </c>
      <c r="L1158" s="45">
        <f t="shared" si="266"/>
        <v>0</v>
      </c>
      <c r="M1158" s="45">
        <f t="shared" si="266"/>
        <v>0</v>
      </c>
      <c r="N1158" s="45">
        <f t="shared" si="266"/>
        <v>0</v>
      </c>
      <c r="O1158" s="45">
        <f t="shared" si="266"/>
        <v>0</v>
      </c>
      <c r="P1158" s="45">
        <f t="shared" si="266"/>
        <v>0</v>
      </c>
      <c r="Q1158" s="45">
        <f t="shared" si="266"/>
        <v>0</v>
      </c>
      <c r="R1158" s="45">
        <f t="shared" si="266"/>
        <v>0</v>
      </c>
      <c r="S1158" s="45">
        <f t="shared" si="266"/>
        <v>0</v>
      </c>
      <c r="T1158" s="45">
        <f t="shared" si="266"/>
        <v>0</v>
      </c>
      <c r="U1158" s="45">
        <f t="shared" si="266"/>
        <v>0</v>
      </c>
      <c r="V1158" s="45">
        <f t="shared" si="266"/>
        <v>0</v>
      </c>
      <c r="W1158" s="45">
        <f t="shared" si="266"/>
        <v>0</v>
      </c>
      <c r="X1158" s="45">
        <f t="shared" si="266"/>
        <v>0</v>
      </c>
      <c r="Y1158" s="45">
        <f t="shared" si="266"/>
        <v>0</v>
      </c>
      <c r="Z1158" s="45">
        <f t="shared" si="266"/>
        <v>0</v>
      </c>
      <c r="AA1158" s="45">
        <f t="shared" si="266"/>
        <v>0</v>
      </c>
      <c r="AB1158" s="45">
        <f t="shared" si="266"/>
        <v>0</v>
      </c>
      <c r="AC1158" s="45">
        <f t="shared" si="266"/>
        <v>0</v>
      </c>
      <c r="AD1158" s="45">
        <f t="shared" si="266"/>
        <v>0</v>
      </c>
      <c r="AE1158" s="45">
        <f t="shared" si="266"/>
        <v>0</v>
      </c>
      <c r="AF1158" s="45">
        <f t="shared" si="266"/>
        <v>0</v>
      </c>
    </row>
    <row r="1159" spans="1:32" x14ac:dyDescent="0.3">
      <c r="A1159" s="38" t="s">
        <v>287</v>
      </c>
      <c r="B1159" s="38" t="s">
        <v>174</v>
      </c>
      <c r="C1159" s="38" t="s">
        <v>288</v>
      </c>
      <c r="D1159" s="39" t="s">
        <v>183</v>
      </c>
      <c r="E1159" s="39" t="s">
        <v>177</v>
      </c>
      <c r="F1159" s="38" t="s">
        <v>129</v>
      </c>
      <c r="G1159" s="38" t="s">
        <v>130</v>
      </c>
      <c r="H1159" s="44">
        <v>12067</v>
      </c>
      <c r="I1159" s="44">
        <v>12067</v>
      </c>
      <c r="J1159" s="44"/>
      <c r="K1159" s="44"/>
      <c r="L1159" s="44"/>
      <c r="M1159" s="44"/>
      <c r="N1159" s="44"/>
      <c r="O1159" s="44"/>
      <c r="P1159" s="44"/>
      <c r="Q1159" s="44"/>
      <c r="R1159" s="44"/>
      <c r="S1159" s="44"/>
      <c r="T1159" s="44"/>
      <c r="U1159" s="44"/>
      <c r="V1159" s="44"/>
      <c r="W1159" s="44"/>
      <c r="X1159" s="44"/>
      <c r="Y1159" s="44"/>
      <c r="Z1159" s="44"/>
      <c r="AA1159" s="44"/>
      <c r="AB1159" s="44"/>
      <c r="AC1159" s="44"/>
      <c r="AD1159" s="44"/>
      <c r="AE1159" s="44"/>
      <c r="AF1159" s="44"/>
    </row>
    <row r="1160" spans="1:32" x14ac:dyDescent="0.3">
      <c r="A1160" s="38" t="s">
        <v>287</v>
      </c>
      <c r="B1160" s="38" t="s">
        <v>174</v>
      </c>
      <c r="C1160" s="38" t="s">
        <v>288</v>
      </c>
      <c r="D1160" s="39" t="s">
        <v>183</v>
      </c>
      <c r="E1160" s="39" t="s">
        <v>177</v>
      </c>
      <c r="F1160" s="38" t="s">
        <v>131</v>
      </c>
      <c r="G1160" s="38" t="s">
        <v>130</v>
      </c>
      <c r="H1160" s="44">
        <v>94459</v>
      </c>
      <c r="I1160" s="44">
        <v>4140</v>
      </c>
      <c r="J1160" s="44">
        <v>3952</v>
      </c>
      <c r="K1160" s="44">
        <v>4103</v>
      </c>
      <c r="L1160" s="44">
        <v>3971</v>
      </c>
      <c r="M1160" s="44">
        <v>4309</v>
      </c>
      <c r="N1160" s="44">
        <v>4318</v>
      </c>
      <c r="O1160" s="44">
        <v>4301</v>
      </c>
      <c r="P1160" s="44">
        <v>4299</v>
      </c>
      <c r="Q1160" s="44">
        <v>4370</v>
      </c>
      <c r="R1160" s="44">
        <v>4421</v>
      </c>
      <c r="S1160" s="44">
        <v>4803</v>
      </c>
      <c r="T1160" s="44">
        <v>4796</v>
      </c>
      <c r="U1160" s="44">
        <v>4211</v>
      </c>
      <c r="V1160" s="44">
        <v>3973</v>
      </c>
      <c r="W1160" s="44">
        <v>3971</v>
      </c>
      <c r="X1160" s="44">
        <v>3972</v>
      </c>
      <c r="Y1160" s="44">
        <v>3969</v>
      </c>
      <c r="Z1160" s="44">
        <v>3432</v>
      </c>
      <c r="AA1160" s="44">
        <v>3323</v>
      </c>
      <c r="AB1160" s="44">
        <v>3323</v>
      </c>
      <c r="AC1160" s="44">
        <v>3319</v>
      </c>
      <c r="AD1160" s="44">
        <v>3114</v>
      </c>
      <c r="AE1160" s="44">
        <v>3034</v>
      </c>
      <c r="AF1160" s="44">
        <v>3035</v>
      </c>
    </row>
    <row r="1161" spans="1:32" x14ac:dyDescent="0.3">
      <c r="A1161" s="38" t="s">
        <v>287</v>
      </c>
      <c r="B1161" s="38" t="s">
        <v>174</v>
      </c>
      <c r="C1161" s="38" t="s">
        <v>288</v>
      </c>
      <c r="D1161" s="39" t="s">
        <v>183</v>
      </c>
      <c r="E1161" s="39" t="s">
        <v>177</v>
      </c>
      <c r="F1161" s="38" t="s">
        <v>132</v>
      </c>
      <c r="G1161" s="38" t="s">
        <v>130</v>
      </c>
      <c r="H1161" s="44">
        <v>8880</v>
      </c>
      <c r="I1161" s="44">
        <v>8880</v>
      </c>
      <c r="J1161" s="44"/>
      <c r="K1161" s="44"/>
      <c r="L1161" s="44"/>
      <c r="M1161" s="44"/>
      <c r="N1161" s="44"/>
      <c r="O1161" s="44"/>
      <c r="P1161" s="44"/>
      <c r="Q1161" s="44"/>
      <c r="R1161" s="44"/>
      <c r="S1161" s="44"/>
      <c r="T1161" s="44"/>
      <c r="U1161" s="44"/>
      <c r="V1161" s="44"/>
      <c r="W1161" s="44"/>
      <c r="X1161" s="44"/>
      <c r="Y1161" s="44"/>
      <c r="Z1161" s="44"/>
      <c r="AA1161" s="44"/>
      <c r="AB1161" s="44"/>
      <c r="AC1161" s="44"/>
      <c r="AD1161" s="44"/>
      <c r="AE1161" s="44"/>
      <c r="AF1161" s="44"/>
    </row>
    <row r="1162" spans="1:32" x14ac:dyDescent="0.3">
      <c r="A1162" s="38" t="s">
        <v>287</v>
      </c>
      <c r="B1162" s="38" t="s">
        <v>174</v>
      </c>
      <c r="C1162" s="38" t="s">
        <v>288</v>
      </c>
      <c r="D1162" s="39" t="s">
        <v>183</v>
      </c>
      <c r="E1162" s="39" t="s">
        <v>177</v>
      </c>
      <c r="F1162" s="38" t="s">
        <v>133</v>
      </c>
      <c r="G1162" s="38" t="s">
        <v>130</v>
      </c>
      <c r="H1162" s="44">
        <v>0</v>
      </c>
      <c r="I1162" s="44">
        <v>0</v>
      </c>
      <c r="J1162" s="44"/>
      <c r="K1162" s="44"/>
      <c r="L1162" s="44"/>
      <c r="M1162" s="44"/>
      <c r="N1162" s="44"/>
      <c r="O1162" s="44"/>
      <c r="P1162" s="44"/>
      <c r="Q1162" s="44"/>
      <c r="R1162" s="44"/>
      <c r="S1162" s="44"/>
      <c r="T1162" s="44"/>
      <c r="U1162" s="44"/>
      <c r="V1162" s="44"/>
      <c r="W1162" s="44"/>
      <c r="X1162" s="44"/>
      <c r="Y1162" s="44"/>
      <c r="Z1162" s="44"/>
      <c r="AA1162" s="44"/>
      <c r="AB1162" s="44"/>
      <c r="AC1162" s="44"/>
      <c r="AD1162" s="44"/>
      <c r="AE1162" s="44"/>
      <c r="AF1162" s="44"/>
    </row>
    <row r="1163" spans="1:32" x14ac:dyDescent="0.3">
      <c r="A1163" s="38" t="s">
        <v>287</v>
      </c>
      <c r="B1163" s="38" t="s">
        <v>174</v>
      </c>
      <c r="C1163" s="38" t="s">
        <v>288</v>
      </c>
      <c r="D1163" s="39" t="s">
        <v>183</v>
      </c>
      <c r="E1163" s="39" t="s">
        <v>177</v>
      </c>
      <c r="F1163" s="38" t="s">
        <v>134</v>
      </c>
      <c r="G1163" s="38" t="s">
        <v>130</v>
      </c>
      <c r="H1163" s="44">
        <v>22950</v>
      </c>
      <c r="I1163" s="44">
        <v>22950</v>
      </c>
      <c r="J1163" s="44"/>
      <c r="K1163" s="44"/>
      <c r="L1163" s="44"/>
      <c r="M1163" s="44"/>
      <c r="N1163" s="44"/>
      <c r="O1163" s="44"/>
      <c r="P1163" s="44"/>
      <c r="Q1163" s="44"/>
      <c r="R1163" s="44"/>
      <c r="S1163" s="44"/>
      <c r="T1163" s="44"/>
      <c r="U1163" s="44"/>
      <c r="V1163" s="44"/>
      <c r="W1163" s="44"/>
      <c r="X1163" s="44"/>
      <c r="Y1163" s="44"/>
      <c r="Z1163" s="44"/>
      <c r="AA1163" s="44"/>
      <c r="AB1163" s="44"/>
      <c r="AC1163" s="44"/>
      <c r="AD1163" s="44"/>
      <c r="AE1163" s="44"/>
      <c r="AF1163" s="44"/>
    </row>
    <row r="1164" spans="1:32" x14ac:dyDescent="0.3">
      <c r="A1164" s="38" t="s">
        <v>287</v>
      </c>
      <c r="B1164" s="38" t="s">
        <v>174</v>
      </c>
      <c r="C1164" s="38" t="s">
        <v>288</v>
      </c>
      <c r="D1164" s="39" t="s">
        <v>183</v>
      </c>
      <c r="E1164" s="39" t="s">
        <v>177</v>
      </c>
      <c r="F1164" s="38" t="s">
        <v>135</v>
      </c>
      <c r="G1164" s="38" t="s">
        <v>130</v>
      </c>
      <c r="H1164" s="44"/>
      <c r="I1164" s="44"/>
      <c r="J1164" s="44"/>
      <c r="K1164" s="44"/>
      <c r="L1164" s="44"/>
      <c r="M1164" s="44"/>
      <c r="N1164" s="44"/>
      <c r="O1164" s="44"/>
      <c r="P1164" s="44"/>
      <c r="Q1164" s="44"/>
      <c r="R1164" s="44"/>
      <c r="S1164" s="44"/>
      <c r="T1164" s="44"/>
      <c r="U1164" s="44"/>
      <c r="V1164" s="44"/>
      <c r="W1164" s="44"/>
      <c r="X1164" s="44"/>
      <c r="Y1164" s="44"/>
      <c r="Z1164" s="44"/>
      <c r="AA1164" s="44"/>
      <c r="AB1164" s="44"/>
      <c r="AC1164" s="44"/>
      <c r="AD1164" s="44"/>
      <c r="AE1164" s="44"/>
      <c r="AF1164" s="44"/>
    </row>
    <row r="1165" spans="1:32" x14ac:dyDescent="0.3">
      <c r="A1165" s="38" t="s">
        <v>287</v>
      </c>
      <c r="B1165" s="38" t="s">
        <v>174</v>
      </c>
      <c r="C1165" s="38" t="s">
        <v>288</v>
      </c>
      <c r="D1165" s="39" t="s">
        <v>183</v>
      </c>
      <c r="E1165" s="39" t="s">
        <v>177</v>
      </c>
      <c r="F1165" s="38" t="s">
        <v>136</v>
      </c>
      <c r="G1165" s="38" t="s">
        <v>130</v>
      </c>
      <c r="H1165" s="44">
        <f>SUM(I1165:AF1165)</f>
        <v>132864</v>
      </c>
      <c r="I1165" s="44">
        <f t="shared" ref="I1165:AF1165" si="267">IF(AND(ISBLANK(I1168) = TRUE,ISBLANK(I1167) = TRUE),I1166,I1167+I1168)</f>
        <v>9216</v>
      </c>
      <c r="J1165" s="44">
        <f t="shared" si="267"/>
        <v>0</v>
      </c>
      <c r="K1165" s="44">
        <f t="shared" si="267"/>
        <v>10368</v>
      </c>
      <c r="L1165" s="44">
        <f t="shared" si="267"/>
        <v>10368</v>
      </c>
      <c r="M1165" s="44">
        <f t="shared" si="267"/>
        <v>10368</v>
      </c>
      <c r="N1165" s="44">
        <f t="shared" si="267"/>
        <v>19968</v>
      </c>
      <c r="O1165" s="44">
        <f t="shared" si="267"/>
        <v>10368</v>
      </c>
      <c r="P1165" s="44">
        <f t="shared" si="267"/>
        <v>10368</v>
      </c>
      <c r="Q1165" s="44">
        <f t="shared" si="267"/>
        <v>10368</v>
      </c>
      <c r="R1165" s="44">
        <f t="shared" si="267"/>
        <v>10368</v>
      </c>
      <c r="S1165" s="44">
        <f t="shared" si="267"/>
        <v>10368</v>
      </c>
      <c r="T1165" s="44">
        <f t="shared" si="267"/>
        <v>10368</v>
      </c>
      <c r="U1165" s="44">
        <f t="shared" si="267"/>
        <v>0</v>
      </c>
      <c r="V1165" s="44">
        <f t="shared" si="267"/>
        <v>10368</v>
      </c>
      <c r="W1165" s="44">
        <f t="shared" si="267"/>
        <v>0</v>
      </c>
      <c r="X1165" s="44">
        <f t="shared" si="267"/>
        <v>0</v>
      </c>
      <c r="Y1165" s="44">
        <f t="shared" si="267"/>
        <v>0</v>
      </c>
      <c r="Z1165" s="44">
        <f t="shared" si="267"/>
        <v>0</v>
      </c>
      <c r="AA1165" s="44">
        <f t="shared" si="267"/>
        <v>0</v>
      </c>
      <c r="AB1165" s="44">
        <f t="shared" si="267"/>
        <v>0</v>
      </c>
      <c r="AC1165" s="44">
        <f t="shared" si="267"/>
        <v>0</v>
      </c>
      <c r="AD1165" s="44">
        <f t="shared" si="267"/>
        <v>0</v>
      </c>
      <c r="AE1165" s="44">
        <f t="shared" si="267"/>
        <v>0</v>
      </c>
      <c r="AF1165" s="44">
        <f t="shared" si="267"/>
        <v>0</v>
      </c>
    </row>
    <row r="1166" spans="1:32" x14ac:dyDescent="0.3">
      <c r="A1166" s="38" t="s">
        <v>287</v>
      </c>
      <c r="B1166" s="38" t="s">
        <v>174</v>
      </c>
      <c r="C1166" s="38" t="s">
        <v>288</v>
      </c>
      <c r="D1166" s="39" t="s">
        <v>183</v>
      </c>
      <c r="E1166" s="39" t="s">
        <v>177</v>
      </c>
      <c r="F1166" s="38" t="s">
        <v>124</v>
      </c>
      <c r="G1166" s="38" t="s">
        <v>130</v>
      </c>
      <c r="H1166" s="44">
        <v>132864</v>
      </c>
      <c r="I1166" s="44">
        <v>9216</v>
      </c>
      <c r="J1166" s="44"/>
      <c r="K1166" s="44">
        <v>10368</v>
      </c>
      <c r="L1166" s="44">
        <v>10368</v>
      </c>
      <c r="M1166" s="44">
        <v>10368</v>
      </c>
      <c r="N1166" s="44">
        <v>19968</v>
      </c>
      <c r="O1166" s="44">
        <v>10368</v>
      </c>
      <c r="P1166" s="44">
        <v>10368</v>
      </c>
      <c r="Q1166" s="44">
        <v>10368</v>
      </c>
      <c r="R1166" s="44">
        <v>10368</v>
      </c>
      <c r="S1166" s="44">
        <v>10368</v>
      </c>
      <c r="T1166" s="44">
        <v>10368</v>
      </c>
      <c r="U1166" s="44"/>
      <c r="V1166" s="44">
        <v>10368</v>
      </c>
      <c r="W1166" s="44"/>
      <c r="X1166" s="44"/>
      <c r="Y1166" s="44"/>
      <c r="Z1166" s="44"/>
      <c r="AA1166" s="44"/>
      <c r="AB1166" s="44"/>
      <c r="AC1166" s="44"/>
      <c r="AD1166" s="44"/>
      <c r="AE1166" s="44"/>
      <c r="AF1166" s="44"/>
    </row>
    <row r="1167" spans="1:32" x14ac:dyDescent="0.3">
      <c r="A1167" s="38" t="s">
        <v>287</v>
      </c>
      <c r="B1167" s="38" t="s">
        <v>174</v>
      </c>
      <c r="C1167" s="38" t="s">
        <v>288</v>
      </c>
      <c r="D1167" s="39" t="s">
        <v>183</v>
      </c>
      <c r="E1167" s="39" t="s">
        <v>177</v>
      </c>
      <c r="F1167" s="38" t="s">
        <v>137</v>
      </c>
      <c r="G1167" s="38" t="s">
        <v>130</v>
      </c>
      <c r="H1167" s="44">
        <f>SUM(I1167:AF1167)</f>
        <v>0</v>
      </c>
      <c r="I1167" s="44"/>
      <c r="J1167" s="44"/>
      <c r="K1167" s="44"/>
      <c r="L1167" s="44"/>
      <c r="M1167" s="44"/>
      <c r="N1167" s="44"/>
      <c r="O1167" s="44"/>
      <c r="P1167" s="44"/>
      <c r="Q1167" s="44"/>
      <c r="R1167" s="44"/>
      <c r="S1167" s="44"/>
      <c r="T1167" s="44"/>
      <c r="U1167" s="44"/>
      <c r="V1167" s="44"/>
      <c r="W1167" s="44"/>
      <c r="X1167" s="44"/>
      <c r="Y1167" s="44"/>
      <c r="Z1167" s="44"/>
      <c r="AA1167" s="44"/>
      <c r="AB1167" s="44"/>
      <c r="AC1167" s="44"/>
      <c r="AD1167" s="44"/>
      <c r="AE1167" s="44"/>
      <c r="AF1167" s="44"/>
    </row>
    <row r="1168" spans="1:32" x14ac:dyDescent="0.3">
      <c r="A1168" s="38" t="s">
        <v>287</v>
      </c>
      <c r="B1168" s="38" t="s">
        <v>174</v>
      </c>
      <c r="C1168" s="38" t="s">
        <v>288</v>
      </c>
      <c r="D1168" s="39" t="s">
        <v>183</v>
      </c>
      <c r="E1168" s="39" t="s">
        <v>177</v>
      </c>
      <c r="F1168" s="38" t="s">
        <v>138</v>
      </c>
      <c r="G1168" s="38" t="s">
        <v>130</v>
      </c>
      <c r="H1168" s="44">
        <f>SUM(I1168:AF1168)</f>
        <v>0</v>
      </c>
      <c r="I1168" s="44"/>
      <c r="J1168" s="44"/>
      <c r="K1168" s="44"/>
      <c r="L1168" s="44"/>
      <c r="M1168" s="44"/>
      <c r="N1168" s="44"/>
      <c r="O1168" s="44"/>
      <c r="P1168" s="44"/>
      <c r="Q1168" s="44"/>
      <c r="R1168" s="44"/>
      <c r="S1168" s="44"/>
      <c r="T1168" s="44"/>
      <c r="U1168" s="44"/>
      <c r="V1168" s="44"/>
      <c r="W1168" s="44"/>
      <c r="X1168" s="44"/>
      <c r="Y1168" s="44"/>
      <c r="Z1168" s="44"/>
      <c r="AA1168" s="44"/>
      <c r="AB1168" s="44"/>
      <c r="AC1168" s="44"/>
      <c r="AD1168" s="44"/>
      <c r="AE1168" s="44"/>
      <c r="AF1168" s="44"/>
    </row>
    <row r="1169" spans="1:32" x14ac:dyDescent="0.3">
      <c r="A1169" s="38" t="s">
        <v>287</v>
      </c>
      <c r="B1169" s="38" t="s">
        <v>174</v>
      </c>
      <c r="C1169" s="38" t="s">
        <v>288</v>
      </c>
      <c r="D1169" s="39" t="s">
        <v>183</v>
      </c>
      <c r="E1169" s="39" t="s">
        <v>177</v>
      </c>
      <c r="F1169" s="38" t="s">
        <v>139</v>
      </c>
      <c r="G1169" s="38" t="s">
        <v>130</v>
      </c>
      <c r="H1169" s="44">
        <v>132864</v>
      </c>
      <c r="I1169" s="44">
        <v>9216</v>
      </c>
      <c r="J1169" s="44"/>
      <c r="K1169" s="44">
        <v>10368</v>
      </c>
      <c r="L1169" s="44">
        <v>10368</v>
      </c>
      <c r="M1169" s="44">
        <v>10368</v>
      </c>
      <c r="N1169" s="44">
        <v>19968</v>
      </c>
      <c r="O1169" s="44">
        <v>10368</v>
      </c>
      <c r="P1169" s="44">
        <v>10368</v>
      </c>
      <c r="Q1169" s="44">
        <v>10368</v>
      </c>
      <c r="R1169" s="44">
        <v>10368</v>
      </c>
      <c r="S1169" s="44">
        <v>10368</v>
      </c>
      <c r="T1169" s="44">
        <v>10368</v>
      </c>
      <c r="U1169" s="44"/>
      <c r="V1169" s="44">
        <v>10368</v>
      </c>
      <c r="W1169" s="44"/>
      <c r="X1169" s="44"/>
      <c r="Y1169" s="44"/>
      <c r="Z1169" s="44"/>
      <c r="AA1169" s="44"/>
      <c r="AB1169" s="44"/>
      <c r="AC1169" s="44"/>
      <c r="AD1169" s="44"/>
      <c r="AE1169" s="44"/>
      <c r="AF1169" s="44"/>
    </row>
    <row r="1170" spans="1:32" x14ac:dyDescent="0.3">
      <c r="A1170" s="38" t="s">
        <v>287</v>
      </c>
      <c r="B1170" s="38" t="s">
        <v>174</v>
      </c>
      <c r="C1170" s="38" t="s">
        <v>288</v>
      </c>
      <c r="D1170" s="39" t="s">
        <v>183</v>
      </c>
      <c r="E1170" s="39" t="s">
        <v>177</v>
      </c>
      <c r="F1170" s="38" t="s">
        <v>140</v>
      </c>
      <c r="G1170" s="38" t="s">
        <v>130</v>
      </c>
      <c r="H1170" s="44"/>
      <c r="I1170" s="44">
        <f>I1165-(I1160+I1159)+(I1164+I1163+I1162+I1161)</f>
        <v>24839</v>
      </c>
      <c r="J1170" s="44">
        <f t="shared" ref="J1170:AF1170" si="268">I1170+J1165-J1160</f>
        <v>20887</v>
      </c>
      <c r="K1170" s="44">
        <f t="shared" si="268"/>
        <v>27152</v>
      </c>
      <c r="L1170" s="44">
        <f t="shared" si="268"/>
        <v>33549</v>
      </c>
      <c r="M1170" s="44">
        <f t="shared" si="268"/>
        <v>39608</v>
      </c>
      <c r="N1170" s="44">
        <f t="shared" si="268"/>
        <v>55258</v>
      </c>
      <c r="O1170" s="44">
        <f t="shared" si="268"/>
        <v>61325</v>
      </c>
      <c r="P1170" s="44">
        <f t="shared" si="268"/>
        <v>67394</v>
      </c>
      <c r="Q1170" s="44">
        <f t="shared" si="268"/>
        <v>73392</v>
      </c>
      <c r="R1170" s="44">
        <f t="shared" si="268"/>
        <v>79339</v>
      </c>
      <c r="S1170" s="44">
        <f t="shared" si="268"/>
        <v>84904</v>
      </c>
      <c r="T1170" s="44">
        <f t="shared" si="268"/>
        <v>90476</v>
      </c>
      <c r="U1170" s="44">
        <f t="shared" si="268"/>
        <v>86265</v>
      </c>
      <c r="V1170" s="44">
        <f t="shared" si="268"/>
        <v>92660</v>
      </c>
      <c r="W1170" s="44">
        <f t="shared" si="268"/>
        <v>88689</v>
      </c>
      <c r="X1170" s="44">
        <f t="shared" si="268"/>
        <v>84717</v>
      </c>
      <c r="Y1170" s="44">
        <f t="shared" si="268"/>
        <v>80748</v>
      </c>
      <c r="Z1170" s="44">
        <f t="shared" si="268"/>
        <v>77316</v>
      </c>
      <c r="AA1170" s="44">
        <f t="shared" si="268"/>
        <v>73993</v>
      </c>
      <c r="AB1170" s="44">
        <f t="shared" si="268"/>
        <v>70670</v>
      </c>
      <c r="AC1170" s="44">
        <f t="shared" si="268"/>
        <v>67351</v>
      </c>
      <c r="AD1170" s="44">
        <f t="shared" si="268"/>
        <v>64237</v>
      </c>
      <c r="AE1170" s="44">
        <f t="shared" si="268"/>
        <v>61203</v>
      </c>
      <c r="AF1170" s="44">
        <f t="shared" si="268"/>
        <v>58168</v>
      </c>
    </row>
    <row r="1171" spans="1:32" ht="15" thickBot="1" x14ac:dyDescent="0.35">
      <c r="A1171" s="40" t="s">
        <v>287</v>
      </c>
      <c r="B1171" s="40" t="s">
        <v>174</v>
      </c>
      <c r="C1171" s="40" t="s">
        <v>288</v>
      </c>
      <c r="D1171" s="41" t="s">
        <v>183</v>
      </c>
      <c r="E1171" s="41" t="s">
        <v>177</v>
      </c>
      <c r="F1171" s="40" t="s">
        <v>141</v>
      </c>
      <c r="G1171" s="40" t="s">
        <v>130</v>
      </c>
      <c r="H1171" s="45"/>
      <c r="I1171" s="45">
        <f>I1165-I1169</f>
        <v>0</v>
      </c>
      <c r="J1171" s="45">
        <f t="shared" ref="J1171:AF1171" si="269">I1171+J1165-J1169</f>
        <v>0</v>
      </c>
      <c r="K1171" s="45">
        <f t="shared" si="269"/>
        <v>0</v>
      </c>
      <c r="L1171" s="45">
        <f t="shared" si="269"/>
        <v>0</v>
      </c>
      <c r="M1171" s="45">
        <f t="shared" si="269"/>
        <v>0</v>
      </c>
      <c r="N1171" s="45">
        <f t="shared" si="269"/>
        <v>0</v>
      </c>
      <c r="O1171" s="45">
        <f t="shared" si="269"/>
        <v>0</v>
      </c>
      <c r="P1171" s="45">
        <f t="shared" si="269"/>
        <v>0</v>
      </c>
      <c r="Q1171" s="45">
        <f t="shared" si="269"/>
        <v>0</v>
      </c>
      <c r="R1171" s="45">
        <f t="shared" si="269"/>
        <v>0</v>
      </c>
      <c r="S1171" s="45">
        <f t="shared" si="269"/>
        <v>0</v>
      </c>
      <c r="T1171" s="45">
        <f t="shared" si="269"/>
        <v>0</v>
      </c>
      <c r="U1171" s="45">
        <f t="shared" si="269"/>
        <v>0</v>
      </c>
      <c r="V1171" s="45">
        <f t="shared" si="269"/>
        <v>0</v>
      </c>
      <c r="W1171" s="45">
        <f t="shared" si="269"/>
        <v>0</v>
      </c>
      <c r="X1171" s="45">
        <f t="shared" si="269"/>
        <v>0</v>
      </c>
      <c r="Y1171" s="45">
        <f t="shared" si="269"/>
        <v>0</v>
      </c>
      <c r="Z1171" s="45">
        <f t="shared" si="269"/>
        <v>0</v>
      </c>
      <c r="AA1171" s="45">
        <f t="shared" si="269"/>
        <v>0</v>
      </c>
      <c r="AB1171" s="45">
        <f t="shared" si="269"/>
        <v>0</v>
      </c>
      <c r="AC1171" s="45">
        <f t="shared" si="269"/>
        <v>0</v>
      </c>
      <c r="AD1171" s="45">
        <f t="shared" si="269"/>
        <v>0</v>
      </c>
      <c r="AE1171" s="45">
        <f t="shared" si="269"/>
        <v>0</v>
      </c>
      <c r="AF1171" s="45">
        <f t="shared" si="269"/>
        <v>0</v>
      </c>
    </row>
    <row r="1172" spans="1:32" x14ac:dyDescent="0.3">
      <c r="A1172" s="38" t="s">
        <v>289</v>
      </c>
      <c r="B1172" s="38" t="s">
        <v>174</v>
      </c>
      <c r="C1172" s="38" t="s">
        <v>182</v>
      </c>
      <c r="D1172" s="39" t="s">
        <v>176</v>
      </c>
      <c r="E1172" s="39" t="s">
        <v>177</v>
      </c>
      <c r="F1172" s="38" t="s">
        <v>129</v>
      </c>
      <c r="G1172" s="38" t="s">
        <v>130</v>
      </c>
      <c r="H1172" s="44">
        <v>11028</v>
      </c>
      <c r="I1172" s="44">
        <v>11028</v>
      </c>
      <c r="J1172" s="44"/>
      <c r="K1172" s="44"/>
      <c r="L1172" s="44"/>
      <c r="M1172" s="44"/>
      <c r="N1172" s="44"/>
      <c r="O1172" s="44"/>
      <c r="P1172" s="44"/>
      <c r="Q1172" s="44"/>
      <c r="R1172" s="44"/>
      <c r="S1172" s="44"/>
      <c r="T1172" s="44"/>
      <c r="U1172" s="44"/>
      <c r="V1172" s="44"/>
      <c r="W1172" s="44"/>
      <c r="X1172" s="44"/>
      <c r="Y1172" s="44"/>
      <c r="Z1172" s="44"/>
      <c r="AA1172" s="44"/>
      <c r="AB1172" s="44"/>
      <c r="AC1172" s="44"/>
      <c r="AD1172" s="44"/>
      <c r="AE1172" s="44"/>
      <c r="AF1172" s="44"/>
    </row>
    <row r="1173" spans="1:32" x14ac:dyDescent="0.3">
      <c r="A1173" s="38" t="s">
        <v>289</v>
      </c>
      <c r="B1173" s="38" t="s">
        <v>174</v>
      </c>
      <c r="C1173" s="38" t="s">
        <v>182</v>
      </c>
      <c r="D1173" s="39" t="s">
        <v>176</v>
      </c>
      <c r="E1173" s="39" t="s">
        <v>177</v>
      </c>
      <c r="F1173" s="38" t="s">
        <v>131</v>
      </c>
      <c r="G1173" s="38" t="s">
        <v>130</v>
      </c>
      <c r="H1173" s="44">
        <v>86892</v>
      </c>
      <c r="I1173" s="44">
        <v>3262</v>
      </c>
      <c r="J1173" s="44">
        <v>3698</v>
      </c>
      <c r="K1173" s="44">
        <v>3616</v>
      </c>
      <c r="L1173" s="44">
        <v>2434</v>
      </c>
      <c r="M1173" s="44">
        <v>3936</v>
      </c>
      <c r="N1173" s="44">
        <v>4123</v>
      </c>
      <c r="O1173" s="44">
        <v>4117</v>
      </c>
      <c r="P1173" s="44">
        <v>4117</v>
      </c>
      <c r="Q1173" s="44">
        <v>4413</v>
      </c>
      <c r="R1173" s="44">
        <v>4636</v>
      </c>
      <c r="S1173" s="44">
        <v>4634</v>
      </c>
      <c r="T1173" s="44">
        <v>4634</v>
      </c>
      <c r="U1173" s="44">
        <v>4437</v>
      </c>
      <c r="V1173" s="44">
        <v>3252</v>
      </c>
      <c r="W1173" s="44">
        <v>3252</v>
      </c>
      <c r="X1173" s="44">
        <v>3251</v>
      </c>
      <c r="Y1173" s="44">
        <v>3251</v>
      </c>
      <c r="Z1173" s="44">
        <v>3320</v>
      </c>
      <c r="AA1173" s="44">
        <v>3351</v>
      </c>
      <c r="AB1173" s="44">
        <v>3350</v>
      </c>
      <c r="AC1173" s="44">
        <v>3350</v>
      </c>
      <c r="AD1173" s="44">
        <v>2931</v>
      </c>
      <c r="AE1173" s="44">
        <v>2764</v>
      </c>
      <c r="AF1173" s="44">
        <v>2763</v>
      </c>
    </row>
    <row r="1174" spans="1:32" x14ac:dyDescent="0.3">
      <c r="A1174" s="38" t="s">
        <v>289</v>
      </c>
      <c r="B1174" s="38" t="s">
        <v>174</v>
      </c>
      <c r="C1174" s="38" t="s">
        <v>182</v>
      </c>
      <c r="D1174" s="39" t="s">
        <v>176</v>
      </c>
      <c r="E1174" s="39" t="s">
        <v>177</v>
      </c>
      <c r="F1174" s="38" t="s">
        <v>132</v>
      </c>
      <c r="G1174" s="38" t="s">
        <v>130</v>
      </c>
      <c r="H1174" s="44"/>
      <c r="I1174" s="44"/>
      <c r="J1174" s="44"/>
      <c r="K1174" s="44"/>
      <c r="L1174" s="44"/>
      <c r="M1174" s="44"/>
      <c r="N1174" s="44"/>
      <c r="O1174" s="44"/>
      <c r="P1174" s="44"/>
      <c r="Q1174" s="44"/>
      <c r="R1174" s="44"/>
      <c r="S1174" s="44"/>
      <c r="T1174" s="44"/>
      <c r="U1174" s="44"/>
      <c r="V1174" s="44"/>
      <c r="W1174" s="44"/>
      <c r="X1174" s="44"/>
      <c r="Y1174" s="44"/>
      <c r="Z1174" s="44"/>
      <c r="AA1174" s="44"/>
      <c r="AB1174" s="44"/>
      <c r="AC1174" s="44"/>
      <c r="AD1174" s="44"/>
      <c r="AE1174" s="44"/>
      <c r="AF1174" s="44"/>
    </row>
    <row r="1175" spans="1:32" x14ac:dyDescent="0.3">
      <c r="A1175" s="38" t="s">
        <v>289</v>
      </c>
      <c r="B1175" s="38" t="s">
        <v>174</v>
      </c>
      <c r="C1175" s="38" t="s">
        <v>182</v>
      </c>
      <c r="D1175" s="39" t="s">
        <v>176</v>
      </c>
      <c r="E1175" s="39" t="s">
        <v>177</v>
      </c>
      <c r="F1175" s="38" t="s">
        <v>133</v>
      </c>
      <c r="G1175" s="38" t="s">
        <v>130</v>
      </c>
      <c r="H1175" s="44"/>
      <c r="I1175" s="44"/>
      <c r="J1175" s="44"/>
      <c r="K1175" s="44"/>
      <c r="L1175" s="44"/>
      <c r="M1175" s="44"/>
      <c r="N1175" s="44"/>
      <c r="O1175" s="44"/>
      <c r="P1175" s="44"/>
      <c r="Q1175" s="44"/>
      <c r="R1175" s="44"/>
      <c r="S1175" s="44"/>
      <c r="T1175" s="44"/>
      <c r="U1175" s="44"/>
      <c r="V1175" s="44"/>
      <c r="W1175" s="44"/>
      <c r="X1175" s="44"/>
      <c r="Y1175" s="44"/>
      <c r="Z1175" s="44"/>
      <c r="AA1175" s="44"/>
      <c r="AB1175" s="44"/>
      <c r="AC1175" s="44"/>
      <c r="AD1175" s="44"/>
      <c r="AE1175" s="44"/>
      <c r="AF1175" s="44"/>
    </row>
    <row r="1176" spans="1:32" x14ac:dyDescent="0.3">
      <c r="A1176" s="38" t="s">
        <v>289</v>
      </c>
      <c r="B1176" s="38" t="s">
        <v>174</v>
      </c>
      <c r="C1176" s="38" t="s">
        <v>182</v>
      </c>
      <c r="D1176" s="39" t="s">
        <v>176</v>
      </c>
      <c r="E1176" s="39" t="s">
        <v>177</v>
      </c>
      <c r="F1176" s="38" t="s">
        <v>134</v>
      </c>
      <c r="G1176" s="38" t="s">
        <v>130</v>
      </c>
      <c r="H1176" s="44"/>
      <c r="I1176" s="44"/>
      <c r="J1176" s="44"/>
      <c r="K1176" s="44"/>
      <c r="L1176" s="44"/>
      <c r="M1176" s="44"/>
      <c r="N1176" s="44"/>
      <c r="O1176" s="44"/>
      <c r="P1176" s="44"/>
      <c r="Q1176" s="44"/>
      <c r="R1176" s="44"/>
      <c r="S1176" s="44"/>
      <c r="T1176" s="44"/>
      <c r="U1176" s="44"/>
      <c r="V1176" s="44"/>
      <c r="W1176" s="44"/>
      <c r="X1176" s="44"/>
      <c r="Y1176" s="44"/>
      <c r="Z1176" s="44"/>
      <c r="AA1176" s="44"/>
      <c r="AB1176" s="44"/>
      <c r="AC1176" s="44"/>
      <c r="AD1176" s="44"/>
      <c r="AE1176" s="44"/>
      <c r="AF1176" s="44"/>
    </row>
    <row r="1177" spans="1:32" x14ac:dyDescent="0.3">
      <c r="A1177" s="38" t="s">
        <v>289</v>
      </c>
      <c r="B1177" s="38" t="s">
        <v>174</v>
      </c>
      <c r="C1177" s="38" t="s">
        <v>182</v>
      </c>
      <c r="D1177" s="39" t="s">
        <v>176</v>
      </c>
      <c r="E1177" s="39" t="s">
        <v>177</v>
      </c>
      <c r="F1177" s="38" t="s">
        <v>135</v>
      </c>
      <c r="G1177" s="38" t="s">
        <v>130</v>
      </c>
      <c r="H1177" s="44"/>
      <c r="I1177" s="44"/>
      <c r="J1177" s="44"/>
      <c r="K1177" s="44"/>
      <c r="L1177" s="44"/>
      <c r="M1177" s="44"/>
      <c r="N1177" s="44"/>
      <c r="O1177" s="44"/>
      <c r="P1177" s="44"/>
      <c r="Q1177" s="44"/>
      <c r="R1177" s="44"/>
      <c r="S1177" s="44"/>
      <c r="T1177" s="44"/>
      <c r="U1177" s="44"/>
      <c r="V1177" s="44"/>
      <c r="W1177" s="44"/>
      <c r="X1177" s="44"/>
      <c r="Y1177" s="44"/>
      <c r="Z1177" s="44"/>
      <c r="AA1177" s="44"/>
      <c r="AB1177" s="44"/>
      <c r="AC1177" s="44"/>
      <c r="AD1177" s="44"/>
      <c r="AE1177" s="44"/>
      <c r="AF1177" s="44"/>
    </row>
    <row r="1178" spans="1:32" x14ac:dyDescent="0.3">
      <c r="A1178" s="38" t="s">
        <v>289</v>
      </c>
      <c r="B1178" s="38" t="s">
        <v>174</v>
      </c>
      <c r="C1178" s="38" t="s">
        <v>182</v>
      </c>
      <c r="D1178" s="39" t="s">
        <v>176</v>
      </c>
      <c r="E1178" s="39" t="s">
        <v>177</v>
      </c>
      <c r="F1178" s="38" t="s">
        <v>136</v>
      </c>
      <c r="G1178" s="38" t="s">
        <v>130</v>
      </c>
      <c r="H1178" s="44">
        <f>SUM(I1178:AF1178)</f>
        <v>0</v>
      </c>
      <c r="I1178" s="44">
        <f t="shared" ref="I1178:AF1178" si="270">IF(AND(ISBLANK(I1181) = TRUE,ISBLANK(I1180) = TRUE),I1179,I1180+I1181)</f>
        <v>0</v>
      </c>
      <c r="J1178" s="44">
        <f t="shared" si="270"/>
        <v>0</v>
      </c>
      <c r="K1178" s="44">
        <f t="shared" si="270"/>
        <v>0</v>
      </c>
      <c r="L1178" s="44">
        <f t="shared" si="270"/>
        <v>0</v>
      </c>
      <c r="M1178" s="44">
        <f t="shared" si="270"/>
        <v>0</v>
      </c>
      <c r="N1178" s="44">
        <f t="shared" si="270"/>
        <v>0</v>
      </c>
      <c r="O1178" s="44">
        <f t="shared" si="270"/>
        <v>0</v>
      </c>
      <c r="P1178" s="44">
        <f t="shared" si="270"/>
        <v>0</v>
      </c>
      <c r="Q1178" s="44">
        <f t="shared" si="270"/>
        <v>0</v>
      </c>
      <c r="R1178" s="44">
        <f t="shared" si="270"/>
        <v>0</v>
      </c>
      <c r="S1178" s="44">
        <f t="shared" si="270"/>
        <v>0</v>
      </c>
      <c r="T1178" s="44">
        <f t="shared" si="270"/>
        <v>0</v>
      </c>
      <c r="U1178" s="44">
        <f t="shared" si="270"/>
        <v>0</v>
      </c>
      <c r="V1178" s="44">
        <f t="shared" si="270"/>
        <v>0</v>
      </c>
      <c r="W1178" s="44">
        <f t="shared" si="270"/>
        <v>0</v>
      </c>
      <c r="X1178" s="44">
        <f t="shared" si="270"/>
        <v>0</v>
      </c>
      <c r="Y1178" s="44">
        <f t="shared" si="270"/>
        <v>0</v>
      </c>
      <c r="Z1178" s="44">
        <f t="shared" si="270"/>
        <v>0</v>
      </c>
      <c r="AA1178" s="44">
        <f t="shared" si="270"/>
        <v>0</v>
      </c>
      <c r="AB1178" s="44">
        <f t="shared" si="270"/>
        <v>0</v>
      </c>
      <c r="AC1178" s="44">
        <f t="shared" si="270"/>
        <v>0</v>
      </c>
      <c r="AD1178" s="44">
        <f t="shared" si="270"/>
        <v>0</v>
      </c>
      <c r="AE1178" s="44">
        <f t="shared" si="270"/>
        <v>0</v>
      </c>
      <c r="AF1178" s="44">
        <f t="shared" si="270"/>
        <v>0</v>
      </c>
    </row>
    <row r="1179" spans="1:32" x14ac:dyDescent="0.3">
      <c r="A1179" s="38" t="s">
        <v>289</v>
      </c>
      <c r="B1179" s="38" t="s">
        <v>174</v>
      </c>
      <c r="C1179" s="38" t="s">
        <v>182</v>
      </c>
      <c r="D1179" s="39" t="s">
        <v>176</v>
      </c>
      <c r="E1179" s="39" t="s">
        <v>177</v>
      </c>
      <c r="F1179" s="38" t="s">
        <v>124</v>
      </c>
      <c r="G1179" s="38" t="s">
        <v>130</v>
      </c>
      <c r="H1179" s="44"/>
      <c r="I1179" s="44"/>
      <c r="J1179" s="44"/>
      <c r="K1179" s="44"/>
      <c r="L1179" s="44"/>
      <c r="M1179" s="44"/>
      <c r="N1179" s="44"/>
      <c r="O1179" s="44"/>
      <c r="P1179" s="44"/>
      <c r="Q1179" s="44"/>
      <c r="R1179" s="44"/>
      <c r="S1179" s="44"/>
      <c r="T1179" s="44"/>
      <c r="U1179" s="44"/>
      <c r="V1179" s="44"/>
      <c r="W1179" s="44"/>
      <c r="X1179" s="44"/>
      <c r="Y1179" s="44"/>
      <c r="Z1179" s="44"/>
      <c r="AA1179" s="44"/>
      <c r="AB1179" s="44"/>
      <c r="AC1179" s="44"/>
      <c r="AD1179" s="44"/>
      <c r="AE1179" s="44"/>
      <c r="AF1179" s="44"/>
    </row>
    <row r="1180" spans="1:32" x14ac:dyDescent="0.3">
      <c r="A1180" s="38" t="s">
        <v>289</v>
      </c>
      <c r="B1180" s="38" t="s">
        <v>174</v>
      </c>
      <c r="C1180" s="38" t="s">
        <v>182</v>
      </c>
      <c r="D1180" s="39" t="s">
        <v>176</v>
      </c>
      <c r="E1180" s="39" t="s">
        <v>177</v>
      </c>
      <c r="F1180" s="38" t="s">
        <v>137</v>
      </c>
      <c r="G1180" s="38" t="s">
        <v>130</v>
      </c>
      <c r="H1180" s="44">
        <f>SUM(I1180:AF1180)</f>
        <v>0</v>
      </c>
      <c r="I1180" s="44"/>
      <c r="J1180" s="44"/>
      <c r="K1180" s="44"/>
      <c r="L1180" s="44"/>
      <c r="M1180" s="44"/>
      <c r="N1180" s="44"/>
      <c r="O1180" s="44"/>
      <c r="P1180" s="44"/>
      <c r="Q1180" s="44"/>
      <c r="R1180" s="44"/>
      <c r="S1180" s="44"/>
      <c r="T1180" s="44"/>
      <c r="U1180" s="44"/>
      <c r="V1180" s="44"/>
      <c r="W1180" s="44"/>
      <c r="X1180" s="44"/>
      <c r="Y1180" s="44"/>
      <c r="Z1180" s="44"/>
      <c r="AA1180" s="44"/>
      <c r="AB1180" s="44"/>
      <c r="AC1180" s="44"/>
      <c r="AD1180" s="44"/>
      <c r="AE1180" s="44"/>
      <c r="AF1180" s="44"/>
    </row>
    <row r="1181" spans="1:32" x14ac:dyDescent="0.3">
      <c r="A1181" s="38" t="s">
        <v>289</v>
      </c>
      <c r="B1181" s="38" t="s">
        <v>174</v>
      </c>
      <c r="C1181" s="38" t="s">
        <v>182</v>
      </c>
      <c r="D1181" s="39" t="s">
        <v>176</v>
      </c>
      <c r="E1181" s="39" t="s">
        <v>177</v>
      </c>
      <c r="F1181" s="38" t="s">
        <v>138</v>
      </c>
      <c r="G1181" s="38" t="s">
        <v>130</v>
      </c>
      <c r="H1181" s="44">
        <f>SUM(I1181:AF1181)</f>
        <v>0</v>
      </c>
      <c r="I1181" s="44"/>
      <c r="J1181" s="44"/>
      <c r="K1181" s="44"/>
      <c r="L1181" s="44"/>
      <c r="M1181" s="44"/>
      <c r="N1181" s="44"/>
      <c r="O1181" s="44"/>
      <c r="P1181" s="44"/>
      <c r="Q1181" s="44"/>
      <c r="R1181" s="44"/>
      <c r="S1181" s="44"/>
      <c r="T1181" s="44"/>
      <c r="U1181" s="44"/>
      <c r="V1181" s="44"/>
      <c r="W1181" s="44"/>
      <c r="X1181" s="44"/>
      <c r="Y1181" s="44"/>
      <c r="Z1181" s="44"/>
      <c r="AA1181" s="44"/>
      <c r="AB1181" s="44"/>
      <c r="AC1181" s="44"/>
      <c r="AD1181" s="44"/>
      <c r="AE1181" s="44"/>
      <c r="AF1181" s="44"/>
    </row>
    <row r="1182" spans="1:32" x14ac:dyDescent="0.3">
      <c r="A1182" s="38" t="s">
        <v>289</v>
      </c>
      <c r="B1182" s="38" t="s">
        <v>174</v>
      </c>
      <c r="C1182" s="38" t="s">
        <v>182</v>
      </c>
      <c r="D1182" s="39" t="s">
        <v>176</v>
      </c>
      <c r="E1182" s="39" t="s">
        <v>177</v>
      </c>
      <c r="F1182" s="38" t="s">
        <v>139</v>
      </c>
      <c r="G1182" s="38" t="s">
        <v>130</v>
      </c>
      <c r="H1182" s="44"/>
      <c r="I1182" s="44"/>
      <c r="J1182" s="44"/>
      <c r="K1182" s="44"/>
      <c r="L1182" s="44"/>
      <c r="M1182" s="44"/>
      <c r="N1182" s="44"/>
      <c r="O1182" s="44"/>
      <c r="P1182" s="44"/>
      <c r="Q1182" s="44"/>
      <c r="R1182" s="44"/>
      <c r="S1182" s="44"/>
      <c r="T1182" s="44"/>
      <c r="U1182" s="44"/>
      <c r="V1182" s="44"/>
      <c r="W1182" s="44"/>
      <c r="X1182" s="44"/>
      <c r="Y1182" s="44"/>
      <c r="Z1182" s="44"/>
      <c r="AA1182" s="44"/>
      <c r="AB1182" s="44"/>
      <c r="AC1182" s="44"/>
      <c r="AD1182" s="44"/>
      <c r="AE1182" s="44"/>
      <c r="AF1182" s="44"/>
    </row>
    <row r="1183" spans="1:32" x14ac:dyDescent="0.3">
      <c r="A1183" s="38" t="s">
        <v>289</v>
      </c>
      <c r="B1183" s="38" t="s">
        <v>174</v>
      </c>
      <c r="C1183" s="38" t="s">
        <v>182</v>
      </c>
      <c r="D1183" s="39" t="s">
        <v>176</v>
      </c>
      <c r="E1183" s="39" t="s">
        <v>177</v>
      </c>
      <c r="F1183" s="38" t="s">
        <v>140</v>
      </c>
      <c r="G1183" s="38" t="s">
        <v>130</v>
      </c>
      <c r="H1183" s="44"/>
      <c r="I1183" s="44">
        <f>I1178-(I1173+I1172)+(I1177+I1176+I1175+I1174)</f>
        <v>-14290</v>
      </c>
      <c r="J1183" s="44">
        <f t="shared" ref="J1183:AF1183" si="271">I1183+J1178-J1173</f>
        <v>-17988</v>
      </c>
      <c r="K1183" s="44">
        <f t="shared" si="271"/>
        <v>-21604</v>
      </c>
      <c r="L1183" s="44">
        <f t="shared" si="271"/>
        <v>-24038</v>
      </c>
      <c r="M1183" s="44">
        <f t="shared" si="271"/>
        <v>-27974</v>
      </c>
      <c r="N1183" s="44">
        <f t="shared" si="271"/>
        <v>-32097</v>
      </c>
      <c r="O1183" s="44">
        <f t="shared" si="271"/>
        <v>-36214</v>
      </c>
      <c r="P1183" s="44">
        <f t="shared" si="271"/>
        <v>-40331</v>
      </c>
      <c r="Q1183" s="44">
        <f t="shared" si="271"/>
        <v>-44744</v>
      </c>
      <c r="R1183" s="44">
        <f t="shared" si="271"/>
        <v>-49380</v>
      </c>
      <c r="S1183" s="44">
        <f t="shared" si="271"/>
        <v>-54014</v>
      </c>
      <c r="T1183" s="44">
        <f t="shared" si="271"/>
        <v>-58648</v>
      </c>
      <c r="U1183" s="44">
        <f t="shared" si="271"/>
        <v>-63085</v>
      </c>
      <c r="V1183" s="44">
        <f t="shared" si="271"/>
        <v>-66337</v>
      </c>
      <c r="W1183" s="44">
        <f t="shared" si="271"/>
        <v>-69589</v>
      </c>
      <c r="X1183" s="44">
        <f t="shared" si="271"/>
        <v>-72840</v>
      </c>
      <c r="Y1183" s="44">
        <f t="shared" si="271"/>
        <v>-76091</v>
      </c>
      <c r="Z1183" s="44">
        <f t="shared" si="271"/>
        <v>-79411</v>
      </c>
      <c r="AA1183" s="44">
        <f t="shared" si="271"/>
        <v>-82762</v>
      </c>
      <c r="AB1183" s="44">
        <f t="shared" si="271"/>
        <v>-86112</v>
      </c>
      <c r="AC1183" s="44">
        <f t="shared" si="271"/>
        <v>-89462</v>
      </c>
      <c r="AD1183" s="44">
        <f t="shared" si="271"/>
        <v>-92393</v>
      </c>
      <c r="AE1183" s="44">
        <f t="shared" si="271"/>
        <v>-95157</v>
      </c>
      <c r="AF1183" s="44">
        <f t="shared" si="271"/>
        <v>-97920</v>
      </c>
    </row>
    <row r="1184" spans="1:32" ht="15" thickBot="1" x14ac:dyDescent="0.35">
      <c r="A1184" s="40" t="s">
        <v>289</v>
      </c>
      <c r="B1184" s="40" t="s">
        <v>174</v>
      </c>
      <c r="C1184" s="40" t="s">
        <v>182</v>
      </c>
      <c r="D1184" s="41" t="s">
        <v>176</v>
      </c>
      <c r="E1184" s="41" t="s">
        <v>177</v>
      </c>
      <c r="F1184" s="40" t="s">
        <v>141</v>
      </c>
      <c r="G1184" s="40" t="s">
        <v>130</v>
      </c>
      <c r="H1184" s="45"/>
      <c r="I1184" s="45">
        <f>I1178-I1182</f>
        <v>0</v>
      </c>
      <c r="J1184" s="45">
        <f t="shared" ref="J1184:AF1184" si="272">I1184+J1178-J1182</f>
        <v>0</v>
      </c>
      <c r="K1184" s="45">
        <f t="shared" si="272"/>
        <v>0</v>
      </c>
      <c r="L1184" s="45">
        <f t="shared" si="272"/>
        <v>0</v>
      </c>
      <c r="M1184" s="45">
        <f t="shared" si="272"/>
        <v>0</v>
      </c>
      <c r="N1184" s="45">
        <f t="shared" si="272"/>
        <v>0</v>
      </c>
      <c r="O1184" s="45">
        <f t="shared" si="272"/>
        <v>0</v>
      </c>
      <c r="P1184" s="45">
        <f t="shared" si="272"/>
        <v>0</v>
      </c>
      <c r="Q1184" s="45">
        <f t="shared" si="272"/>
        <v>0</v>
      </c>
      <c r="R1184" s="45">
        <f t="shared" si="272"/>
        <v>0</v>
      </c>
      <c r="S1184" s="45">
        <f t="shared" si="272"/>
        <v>0</v>
      </c>
      <c r="T1184" s="45">
        <f t="shared" si="272"/>
        <v>0</v>
      </c>
      <c r="U1184" s="45">
        <f t="shared" si="272"/>
        <v>0</v>
      </c>
      <c r="V1184" s="45">
        <f t="shared" si="272"/>
        <v>0</v>
      </c>
      <c r="W1184" s="45">
        <f t="shared" si="272"/>
        <v>0</v>
      </c>
      <c r="X1184" s="45">
        <f t="shared" si="272"/>
        <v>0</v>
      </c>
      <c r="Y1184" s="45">
        <f t="shared" si="272"/>
        <v>0</v>
      </c>
      <c r="Z1184" s="45">
        <f t="shared" si="272"/>
        <v>0</v>
      </c>
      <c r="AA1184" s="45">
        <f t="shared" si="272"/>
        <v>0</v>
      </c>
      <c r="AB1184" s="45">
        <f t="shared" si="272"/>
        <v>0</v>
      </c>
      <c r="AC1184" s="45">
        <f t="shared" si="272"/>
        <v>0</v>
      </c>
      <c r="AD1184" s="45">
        <f t="shared" si="272"/>
        <v>0</v>
      </c>
      <c r="AE1184" s="45">
        <f t="shared" si="272"/>
        <v>0</v>
      </c>
      <c r="AF1184" s="45">
        <f t="shared" si="272"/>
        <v>0</v>
      </c>
    </row>
    <row r="1185" spans="1:32" x14ac:dyDescent="0.3">
      <c r="A1185" s="38" t="s">
        <v>290</v>
      </c>
      <c r="B1185" s="38" t="s">
        <v>174</v>
      </c>
      <c r="C1185" s="38" t="s">
        <v>277</v>
      </c>
      <c r="D1185" s="39" t="s">
        <v>180</v>
      </c>
      <c r="E1185" s="39" t="s">
        <v>177</v>
      </c>
      <c r="F1185" s="38" t="s">
        <v>129</v>
      </c>
      <c r="G1185" s="38" t="s">
        <v>130</v>
      </c>
      <c r="H1185" s="44">
        <v>1232</v>
      </c>
      <c r="I1185" s="44">
        <v>1232</v>
      </c>
      <c r="J1185" s="44"/>
      <c r="K1185" s="44"/>
      <c r="L1185" s="44"/>
      <c r="M1185" s="44"/>
      <c r="N1185" s="44"/>
      <c r="O1185" s="44"/>
      <c r="P1185" s="44"/>
      <c r="Q1185" s="44"/>
      <c r="R1185" s="44"/>
      <c r="S1185" s="44"/>
      <c r="T1185" s="44"/>
      <c r="U1185" s="44"/>
      <c r="V1185" s="44"/>
      <c r="W1185" s="44"/>
      <c r="X1185" s="44"/>
      <c r="Y1185" s="44"/>
      <c r="Z1185" s="44"/>
      <c r="AA1185" s="44"/>
      <c r="AB1185" s="44"/>
      <c r="AC1185" s="44"/>
      <c r="AD1185" s="44"/>
      <c r="AE1185" s="44"/>
      <c r="AF1185" s="44"/>
    </row>
    <row r="1186" spans="1:32" x14ac:dyDescent="0.3">
      <c r="A1186" s="38" t="s">
        <v>290</v>
      </c>
      <c r="B1186" s="38" t="s">
        <v>174</v>
      </c>
      <c r="C1186" s="38" t="s">
        <v>277</v>
      </c>
      <c r="D1186" s="39" t="s">
        <v>180</v>
      </c>
      <c r="E1186" s="39" t="s">
        <v>177</v>
      </c>
      <c r="F1186" s="38" t="s">
        <v>131</v>
      </c>
      <c r="G1186" s="38" t="s">
        <v>130</v>
      </c>
      <c r="H1186" s="44">
        <v>15794</v>
      </c>
      <c r="I1186" s="44">
        <v>891</v>
      </c>
      <c r="J1186" s="44">
        <v>713</v>
      </c>
      <c r="K1186" s="44">
        <v>705</v>
      </c>
      <c r="L1186" s="44">
        <v>529</v>
      </c>
      <c r="M1186" s="44">
        <v>793</v>
      </c>
      <c r="N1186" s="44">
        <v>784</v>
      </c>
      <c r="O1186" s="44">
        <v>762</v>
      </c>
      <c r="P1186" s="44">
        <v>765</v>
      </c>
      <c r="Q1186" s="44">
        <v>775</v>
      </c>
      <c r="R1186" s="44">
        <v>781</v>
      </c>
      <c r="S1186" s="44">
        <v>782</v>
      </c>
      <c r="T1186" s="44">
        <v>784</v>
      </c>
      <c r="U1186" s="44">
        <v>751</v>
      </c>
      <c r="V1186" s="44">
        <v>558</v>
      </c>
      <c r="W1186" s="44">
        <v>558</v>
      </c>
      <c r="X1186" s="44">
        <v>561</v>
      </c>
      <c r="Y1186" s="44">
        <v>563</v>
      </c>
      <c r="Z1186" s="44">
        <v>663</v>
      </c>
      <c r="AA1186" s="44">
        <v>702</v>
      </c>
      <c r="AB1186" s="44">
        <v>695</v>
      </c>
      <c r="AC1186" s="44">
        <v>693</v>
      </c>
      <c r="AD1186" s="44">
        <v>405</v>
      </c>
      <c r="AE1186" s="44">
        <v>290</v>
      </c>
      <c r="AF1186" s="44">
        <v>291</v>
      </c>
    </row>
    <row r="1187" spans="1:32" x14ac:dyDescent="0.3">
      <c r="A1187" s="38" t="s">
        <v>290</v>
      </c>
      <c r="B1187" s="38" t="s">
        <v>174</v>
      </c>
      <c r="C1187" s="38" t="s">
        <v>277</v>
      </c>
      <c r="D1187" s="39" t="s">
        <v>180</v>
      </c>
      <c r="E1187" s="39" t="s">
        <v>177</v>
      </c>
      <c r="F1187" s="38" t="s">
        <v>132</v>
      </c>
      <c r="G1187" s="38" t="s">
        <v>130</v>
      </c>
      <c r="H1187" s="44">
        <v>5904</v>
      </c>
      <c r="I1187" s="44">
        <v>5904</v>
      </c>
      <c r="J1187" s="44"/>
      <c r="K1187" s="44"/>
      <c r="L1187" s="44"/>
      <c r="M1187" s="44"/>
      <c r="N1187" s="44"/>
      <c r="O1187" s="44"/>
      <c r="P1187" s="44"/>
      <c r="Q1187" s="44"/>
      <c r="R1187" s="44"/>
      <c r="S1187" s="44"/>
      <c r="T1187" s="44"/>
      <c r="U1187" s="44"/>
      <c r="V1187" s="44"/>
      <c r="W1187" s="44"/>
      <c r="X1187" s="44"/>
      <c r="Y1187" s="44"/>
      <c r="Z1187" s="44"/>
      <c r="AA1187" s="44"/>
      <c r="AB1187" s="44"/>
      <c r="AC1187" s="44"/>
      <c r="AD1187" s="44"/>
      <c r="AE1187" s="44"/>
      <c r="AF1187" s="44"/>
    </row>
    <row r="1188" spans="1:32" x14ac:dyDescent="0.3">
      <c r="A1188" s="38" t="s">
        <v>290</v>
      </c>
      <c r="B1188" s="38" t="s">
        <v>174</v>
      </c>
      <c r="C1188" s="38" t="s">
        <v>277</v>
      </c>
      <c r="D1188" s="39" t="s">
        <v>180</v>
      </c>
      <c r="E1188" s="39" t="s">
        <v>177</v>
      </c>
      <c r="F1188" s="38" t="s">
        <v>133</v>
      </c>
      <c r="G1188" s="38" t="s">
        <v>130</v>
      </c>
      <c r="H1188" s="44">
        <v>0</v>
      </c>
      <c r="I1188" s="44">
        <v>0</v>
      </c>
      <c r="J1188" s="44"/>
      <c r="K1188" s="44"/>
      <c r="L1188" s="44"/>
      <c r="M1188" s="44"/>
      <c r="N1188" s="44"/>
      <c r="O1188" s="44"/>
      <c r="P1188" s="44"/>
      <c r="Q1188" s="44"/>
      <c r="R1188" s="44"/>
      <c r="S1188" s="44"/>
      <c r="T1188" s="44"/>
      <c r="U1188" s="44"/>
      <c r="V1188" s="44"/>
      <c r="W1188" s="44"/>
      <c r="X1188" s="44"/>
      <c r="Y1188" s="44"/>
      <c r="Z1188" s="44"/>
      <c r="AA1188" s="44"/>
      <c r="AB1188" s="44"/>
      <c r="AC1188" s="44"/>
      <c r="AD1188" s="44"/>
      <c r="AE1188" s="44"/>
      <c r="AF1188" s="44"/>
    </row>
    <row r="1189" spans="1:32" x14ac:dyDescent="0.3">
      <c r="A1189" s="38" t="s">
        <v>290</v>
      </c>
      <c r="B1189" s="38" t="s">
        <v>174</v>
      </c>
      <c r="C1189" s="38" t="s">
        <v>277</v>
      </c>
      <c r="D1189" s="39" t="s">
        <v>180</v>
      </c>
      <c r="E1189" s="39" t="s">
        <v>177</v>
      </c>
      <c r="F1189" s="38" t="s">
        <v>134</v>
      </c>
      <c r="G1189" s="38" t="s">
        <v>130</v>
      </c>
      <c r="H1189" s="44">
        <v>446</v>
      </c>
      <c r="I1189" s="44">
        <v>446</v>
      </c>
      <c r="J1189" s="44"/>
      <c r="K1189" s="44"/>
      <c r="L1189" s="44"/>
      <c r="M1189" s="44"/>
      <c r="N1189" s="44"/>
      <c r="O1189" s="44"/>
      <c r="P1189" s="44"/>
      <c r="Q1189" s="44"/>
      <c r="R1189" s="44"/>
      <c r="S1189" s="44"/>
      <c r="T1189" s="44"/>
      <c r="U1189" s="44"/>
      <c r="V1189" s="44"/>
      <c r="W1189" s="44"/>
      <c r="X1189" s="44"/>
      <c r="Y1189" s="44"/>
      <c r="Z1189" s="44"/>
      <c r="AA1189" s="44"/>
      <c r="AB1189" s="44"/>
      <c r="AC1189" s="44"/>
      <c r="AD1189" s="44"/>
      <c r="AE1189" s="44"/>
      <c r="AF1189" s="44"/>
    </row>
    <row r="1190" spans="1:32" x14ac:dyDescent="0.3">
      <c r="A1190" s="38" t="s">
        <v>290</v>
      </c>
      <c r="B1190" s="38" t="s">
        <v>174</v>
      </c>
      <c r="C1190" s="38" t="s">
        <v>277</v>
      </c>
      <c r="D1190" s="39" t="s">
        <v>180</v>
      </c>
      <c r="E1190" s="39" t="s">
        <v>177</v>
      </c>
      <c r="F1190" s="38" t="s">
        <v>135</v>
      </c>
      <c r="G1190" s="38" t="s">
        <v>130</v>
      </c>
      <c r="H1190" s="44"/>
      <c r="I1190" s="44"/>
      <c r="J1190" s="44"/>
      <c r="K1190" s="44"/>
      <c r="L1190" s="44"/>
      <c r="M1190" s="44"/>
      <c r="N1190" s="44"/>
      <c r="O1190" s="44"/>
      <c r="P1190" s="44"/>
      <c r="Q1190" s="44"/>
      <c r="R1190" s="44"/>
      <c r="S1190" s="44"/>
      <c r="T1190" s="44"/>
      <c r="U1190" s="44"/>
      <c r="V1190" s="44"/>
      <c r="W1190" s="44"/>
      <c r="X1190" s="44"/>
      <c r="Y1190" s="44"/>
      <c r="Z1190" s="44"/>
      <c r="AA1190" s="44"/>
      <c r="AB1190" s="44"/>
      <c r="AC1190" s="44"/>
      <c r="AD1190" s="44"/>
      <c r="AE1190" s="44"/>
      <c r="AF1190" s="44"/>
    </row>
    <row r="1191" spans="1:32" x14ac:dyDescent="0.3">
      <c r="A1191" s="38" t="s">
        <v>290</v>
      </c>
      <c r="B1191" s="38" t="s">
        <v>174</v>
      </c>
      <c r="C1191" s="38" t="s">
        <v>277</v>
      </c>
      <c r="D1191" s="39" t="s">
        <v>180</v>
      </c>
      <c r="E1191" s="39" t="s">
        <v>177</v>
      </c>
      <c r="F1191" s="38" t="s">
        <v>136</v>
      </c>
      <c r="G1191" s="38" t="s">
        <v>130</v>
      </c>
      <c r="H1191" s="44">
        <f>SUM(I1191:AF1191)</f>
        <v>0</v>
      </c>
      <c r="I1191" s="44">
        <f t="shared" ref="I1191:AF1191" si="273">IF(AND(ISBLANK(I1194) = TRUE,ISBLANK(I1193) = TRUE),I1192,I1193+I1194)</f>
        <v>0</v>
      </c>
      <c r="J1191" s="44">
        <f t="shared" si="273"/>
        <v>0</v>
      </c>
      <c r="K1191" s="44">
        <f t="shared" si="273"/>
        <v>0</v>
      </c>
      <c r="L1191" s="44">
        <f t="shared" si="273"/>
        <v>0</v>
      </c>
      <c r="M1191" s="44">
        <f t="shared" si="273"/>
        <v>0</v>
      </c>
      <c r="N1191" s="44">
        <f t="shared" si="273"/>
        <v>0</v>
      </c>
      <c r="O1191" s="44">
        <f t="shared" si="273"/>
        <v>0</v>
      </c>
      <c r="P1191" s="44">
        <f t="shared" si="273"/>
        <v>0</v>
      </c>
      <c r="Q1191" s="44">
        <f t="shared" si="273"/>
        <v>0</v>
      </c>
      <c r="R1191" s="44">
        <f t="shared" si="273"/>
        <v>0</v>
      </c>
      <c r="S1191" s="44">
        <f t="shared" si="273"/>
        <v>0</v>
      </c>
      <c r="T1191" s="44">
        <f t="shared" si="273"/>
        <v>0</v>
      </c>
      <c r="U1191" s="44">
        <f t="shared" si="273"/>
        <v>0</v>
      </c>
      <c r="V1191" s="44">
        <f t="shared" si="273"/>
        <v>0</v>
      </c>
      <c r="W1191" s="44">
        <f t="shared" si="273"/>
        <v>0</v>
      </c>
      <c r="X1191" s="44">
        <f t="shared" si="273"/>
        <v>0</v>
      </c>
      <c r="Y1191" s="44">
        <f t="shared" si="273"/>
        <v>0</v>
      </c>
      <c r="Z1191" s="44">
        <f t="shared" si="273"/>
        <v>0</v>
      </c>
      <c r="AA1191" s="44">
        <f t="shared" si="273"/>
        <v>0</v>
      </c>
      <c r="AB1191" s="44">
        <f t="shared" si="273"/>
        <v>0</v>
      </c>
      <c r="AC1191" s="44">
        <f t="shared" si="273"/>
        <v>0</v>
      </c>
      <c r="AD1191" s="44">
        <f t="shared" si="273"/>
        <v>0</v>
      </c>
      <c r="AE1191" s="44">
        <f t="shared" si="273"/>
        <v>0</v>
      </c>
      <c r="AF1191" s="44">
        <f t="shared" si="273"/>
        <v>0</v>
      </c>
    </row>
    <row r="1192" spans="1:32" x14ac:dyDescent="0.3">
      <c r="A1192" s="38" t="s">
        <v>290</v>
      </c>
      <c r="B1192" s="38" t="s">
        <v>174</v>
      </c>
      <c r="C1192" s="38" t="s">
        <v>277</v>
      </c>
      <c r="D1192" s="39" t="s">
        <v>180</v>
      </c>
      <c r="E1192" s="39" t="s">
        <v>177</v>
      </c>
      <c r="F1192" s="38" t="s">
        <v>124</v>
      </c>
      <c r="G1192" s="38" t="s">
        <v>130</v>
      </c>
      <c r="H1192" s="44"/>
      <c r="I1192" s="44"/>
      <c r="J1192" s="44"/>
      <c r="K1192" s="44"/>
      <c r="L1192" s="44"/>
      <c r="M1192" s="44"/>
      <c r="N1192" s="44"/>
      <c r="O1192" s="44"/>
      <c r="P1192" s="44"/>
      <c r="Q1192" s="44"/>
      <c r="R1192" s="44"/>
      <c r="S1192" s="44"/>
      <c r="T1192" s="44"/>
      <c r="U1192" s="44"/>
      <c r="V1192" s="44"/>
      <c r="W1192" s="44"/>
      <c r="X1192" s="44"/>
      <c r="Y1192" s="44"/>
      <c r="Z1192" s="44"/>
      <c r="AA1192" s="44"/>
      <c r="AB1192" s="44"/>
      <c r="AC1192" s="44"/>
      <c r="AD1192" s="44"/>
      <c r="AE1192" s="44"/>
      <c r="AF1192" s="44"/>
    </row>
    <row r="1193" spans="1:32" x14ac:dyDescent="0.3">
      <c r="A1193" s="38" t="s">
        <v>290</v>
      </c>
      <c r="B1193" s="38" t="s">
        <v>174</v>
      </c>
      <c r="C1193" s="38" t="s">
        <v>277</v>
      </c>
      <c r="D1193" s="39" t="s">
        <v>180</v>
      </c>
      <c r="E1193" s="39" t="s">
        <v>177</v>
      </c>
      <c r="F1193" s="38" t="s">
        <v>137</v>
      </c>
      <c r="G1193" s="38" t="s">
        <v>130</v>
      </c>
      <c r="H1193" s="44">
        <f>SUM(I1193:AF1193)</f>
        <v>0</v>
      </c>
      <c r="I1193" s="44"/>
      <c r="J1193" s="44"/>
      <c r="K1193" s="44"/>
      <c r="L1193" s="44"/>
      <c r="M1193" s="44"/>
      <c r="N1193" s="44"/>
      <c r="O1193" s="44"/>
      <c r="P1193" s="44"/>
      <c r="Q1193" s="44"/>
      <c r="R1193" s="44"/>
      <c r="S1193" s="44"/>
      <c r="T1193" s="44"/>
      <c r="U1193" s="44"/>
      <c r="V1193" s="44"/>
      <c r="W1193" s="44"/>
      <c r="X1193" s="44"/>
      <c r="Y1193" s="44"/>
      <c r="Z1193" s="44"/>
      <c r="AA1193" s="44"/>
      <c r="AB1193" s="44"/>
      <c r="AC1193" s="44"/>
      <c r="AD1193" s="44"/>
      <c r="AE1193" s="44"/>
      <c r="AF1193" s="44"/>
    </row>
    <row r="1194" spans="1:32" x14ac:dyDescent="0.3">
      <c r="A1194" s="38" t="s">
        <v>290</v>
      </c>
      <c r="B1194" s="38" t="s">
        <v>174</v>
      </c>
      <c r="C1194" s="38" t="s">
        <v>277</v>
      </c>
      <c r="D1194" s="39" t="s">
        <v>180</v>
      </c>
      <c r="E1194" s="39" t="s">
        <v>177</v>
      </c>
      <c r="F1194" s="38" t="s">
        <v>138</v>
      </c>
      <c r="G1194" s="38" t="s">
        <v>130</v>
      </c>
      <c r="H1194" s="44">
        <f>SUM(I1194:AF1194)</f>
        <v>0</v>
      </c>
      <c r="I1194" s="44"/>
      <c r="J1194" s="44"/>
      <c r="K1194" s="44"/>
      <c r="L1194" s="44"/>
      <c r="M1194" s="44"/>
      <c r="N1194" s="44"/>
      <c r="O1194" s="44"/>
      <c r="P1194" s="44"/>
      <c r="Q1194" s="44"/>
      <c r="R1194" s="44"/>
      <c r="S1194" s="44"/>
      <c r="T1194" s="44"/>
      <c r="U1194" s="44"/>
      <c r="V1194" s="44"/>
      <c r="W1194" s="44"/>
      <c r="X1194" s="44"/>
      <c r="Y1194" s="44"/>
      <c r="Z1194" s="44"/>
      <c r="AA1194" s="44"/>
      <c r="AB1194" s="44"/>
      <c r="AC1194" s="44"/>
      <c r="AD1194" s="44"/>
      <c r="AE1194" s="44"/>
      <c r="AF1194" s="44"/>
    </row>
    <row r="1195" spans="1:32" x14ac:dyDescent="0.3">
      <c r="A1195" s="38" t="s">
        <v>290</v>
      </c>
      <c r="B1195" s="38" t="s">
        <v>174</v>
      </c>
      <c r="C1195" s="38" t="s">
        <v>277</v>
      </c>
      <c r="D1195" s="39" t="s">
        <v>180</v>
      </c>
      <c r="E1195" s="39" t="s">
        <v>177</v>
      </c>
      <c r="F1195" s="38" t="s">
        <v>139</v>
      </c>
      <c r="G1195" s="38" t="s">
        <v>130</v>
      </c>
      <c r="H1195" s="44"/>
      <c r="I1195" s="44"/>
      <c r="J1195" s="44"/>
      <c r="K1195" s="44"/>
      <c r="L1195" s="44"/>
      <c r="M1195" s="44"/>
      <c r="N1195" s="44"/>
      <c r="O1195" s="44"/>
      <c r="P1195" s="44"/>
      <c r="Q1195" s="44"/>
      <c r="R1195" s="44"/>
      <c r="S1195" s="44"/>
      <c r="T1195" s="44"/>
      <c r="U1195" s="44"/>
      <c r="V1195" s="44"/>
      <c r="W1195" s="44"/>
      <c r="X1195" s="44"/>
      <c r="Y1195" s="44"/>
      <c r="Z1195" s="44"/>
      <c r="AA1195" s="44"/>
      <c r="AB1195" s="44"/>
      <c r="AC1195" s="44"/>
      <c r="AD1195" s="44"/>
      <c r="AE1195" s="44"/>
      <c r="AF1195" s="44"/>
    </row>
    <row r="1196" spans="1:32" x14ac:dyDescent="0.3">
      <c r="A1196" s="38" t="s">
        <v>290</v>
      </c>
      <c r="B1196" s="38" t="s">
        <v>174</v>
      </c>
      <c r="C1196" s="38" t="s">
        <v>277</v>
      </c>
      <c r="D1196" s="39" t="s">
        <v>180</v>
      </c>
      <c r="E1196" s="39" t="s">
        <v>177</v>
      </c>
      <c r="F1196" s="38" t="s">
        <v>140</v>
      </c>
      <c r="G1196" s="38" t="s">
        <v>130</v>
      </c>
      <c r="H1196" s="44"/>
      <c r="I1196" s="44">
        <f>I1191-(I1186+I1185)+(I1190+I1189+I1188+I1187)</f>
        <v>4227</v>
      </c>
      <c r="J1196" s="44">
        <f t="shared" ref="J1196:AF1196" si="274">I1196+J1191-J1186</f>
        <v>3514</v>
      </c>
      <c r="K1196" s="44">
        <f t="shared" si="274"/>
        <v>2809</v>
      </c>
      <c r="L1196" s="44">
        <f t="shared" si="274"/>
        <v>2280</v>
      </c>
      <c r="M1196" s="44">
        <f t="shared" si="274"/>
        <v>1487</v>
      </c>
      <c r="N1196" s="44">
        <f t="shared" si="274"/>
        <v>703</v>
      </c>
      <c r="O1196" s="44">
        <f t="shared" si="274"/>
        <v>-59</v>
      </c>
      <c r="P1196" s="44">
        <f t="shared" si="274"/>
        <v>-824</v>
      </c>
      <c r="Q1196" s="44">
        <f t="shared" si="274"/>
        <v>-1599</v>
      </c>
      <c r="R1196" s="44">
        <f t="shared" si="274"/>
        <v>-2380</v>
      </c>
      <c r="S1196" s="44">
        <f t="shared" si="274"/>
        <v>-3162</v>
      </c>
      <c r="T1196" s="44">
        <f t="shared" si="274"/>
        <v>-3946</v>
      </c>
      <c r="U1196" s="44">
        <f t="shared" si="274"/>
        <v>-4697</v>
      </c>
      <c r="V1196" s="44">
        <f t="shared" si="274"/>
        <v>-5255</v>
      </c>
      <c r="W1196" s="44">
        <f t="shared" si="274"/>
        <v>-5813</v>
      </c>
      <c r="X1196" s="44">
        <f t="shared" si="274"/>
        <v>-6374</v>
      </c>
      <c r="Y1196" s="44">
        <f t="shared" si="274"/>
        <v>-6937</v>
      </c>
      <c r="Z1196" s="44">
        <f t="shared" si="274"/>
        <v>-7600</v>
      </c>
      <c r="AA1196" s="44">
        <f t="shared" si="274"/>
        <v>-8302</v>
      </c>
      <c r="AB1196" s="44">
        <f t="shared" si="274"/>
        <v>-8997</v>
      </c>
      <c r="AC1196" s="44">
        <f t="shared" si="274"/>
        <v>-9690</v>
      </c>
      <c r="AD1196" s="44">
        <f t="shared" si="274"/>
        <v>-10095</v>
      </c>
      <c r="AE1196" s="44">
        <f t="shared" si="274"/>
        <v>-10385</v>
      </c>
      <c r="AF1196" s="44">
        <f t="shared" si="274"/>
        <v>-10676</v>
      </c>
    </row>
    <row r="1197" spans="1:32" ht="15" thickBot="1" x14ac:dyDescent="0.35">
      <c r="A1197" s="40" t="s">
        <v>290</v>
      </c>
      <c r="B1197" s="40" t="s">
        <v>174</v>
      </c>
      <c r="C1197" s="40" t="s">
        <v>277</v>
      </c>
      <c r="D1197" s="41" t="s">
        <v>180</v>
      </c>
      <c r="E1197" s="41" t="s">
        <v>177</v>
      </c>
      <c r="F1197" s="40" t="s">
        <v>141</v>
      </c>
      <c r="G1197" s="40" t="s">
        <v>130</v>
      </c>
      <c r="H1197" s="45"/>
      <c r="I1197" s="45">
        <f>I1191-I1195</f>
        <v>0</v>
      </c>
      <c r="J1197" s="45">
        <f t="shared" ref="J1197:AF1197" si="275">I1197+J1191-J1195</f>
        <v>0</v>
      </c>
      <c r="K1197" s="45">
        <f t="shared" si="275"/>
        <v>0</v>
      </c>
      <c r="L1197" s="45">
        <f t="shared" si="275"/>
        <v>0</v>
      </c>
      <c r="M1197" s="45">
        <f t="shared" si="275"/>
        <v>0</v>
      </c>
      <c r="N1197" s="45">
        <f t="shared" si="275"/>
        <v>0</v>
      </c>
      <c r="O1197" s="45">
        <f t="shared" si="275"/>
        <v>0</v>
      </c>
      <c r="P1197" s="45">
        <f t="shared" si="275"/>
        <v>0</v>
      </c>
      <c r="Q1197" s="45">
        <f t="shared" si="275"/>
        <v>0</v>
      </c>
      <c r="R1197" s="45">
        <f t="shared" si="275"/>
        <v>0</v>
      </c>
      <c r="S1197" s="45">
        <f t="shared" si="275"/>
        <v>0</v>
      </c>
      <c r="T1197" s="45">
        <f t="shared" si="275"/>
        <v>0</v>
      </c>
      <c r="U1197" s="45">
        <f t="shared" si="275"/>
        <v>0</v>
      </c>
      <c r="V1197" s="45">
        <f t="shared" si="275"/>
        <v>0</v>
      </c>
      <c r="W1197" s="45">
        <f t="shared" si="275"/>
        <v>0</v>
      </c>
      <c r="X1197" s="45">
        <f t="shared" si="275"/>
        <v>0</v>
      </c>
      <c r="Y1197" s="45">
        <f t="shared" si="275"/>
        <v>0</v>
      </c>
      <c r="Z1197" s="45">
        <f t="shared" si="275"/>
        <v>0</v>
      </c>
      <c r="AA1197" s="45">
        <f t="shared" si="275"/>
        <v>0</v>
      </c>
      <c r="AB1197" s="45">
        <f t="shared" si="275"/>
        <v>0</v>
      </c>
      <c r="AC1197" s="45">
        <f t="shared" si="275"/>
        <v>0</v>
      </c>
      <c r="AD1197" s="45">
        <f t="shared" si="275"/>
        <v>0</v>
      </c>
      <c r="AE1197" s="45">
        <f t="shared" si="275"/>
        <v>0</v>
      </c>
      <c r="AF1197" s="45">
        <f t="shared" si="275"/>
        <v>0</v>
      </c>
    </row>
    <row r="1198" spans="1:32" x14ac:dyDescent="0.3">
      <c r="A1198" s="38" t="s">
        <v>291</v>
      </c>
      <c r="B1198" s="38" t="s">
        <v>174</v>
      </c>
      <c r="C1198" s="38" t="s">
        <v>292</v>
      </c>
      <c r="D1198" s="39" t="s">
        <v>180</v>
      </c>
      <c r="E1198" s="39" t="s">
        <v>195</v>
      </c>
      <c r="F1198" s="38" t="s">
        <v>129</v>
      </c>
      <c r="G1198" s="38" t="s">
        <v>130</v>
      </c>
      <c r="H1198" s="44">
        <v>1072</v>
      </c>
      <c r="I1198" s="44">
        <v>1072</v>
      </c>
      <c r="J1198" s="44"/>
      <c r="K1198" s="44"/>
      <c r="L1198" s="44"/>
      <c r="M1198" s="44"/>
      <c r="N1198" s="44"/>
      <c r="O1198" s="44"/>
      <c r="P1198" s="44"/>
      <c r="Q1198" s="44"/>
      <c r="R1198" s="44"/>
      <c r="S1198" s="44"/>
      <c r="T1198" s="44"/>
      <c r="U1198" s="44"/>
      <c r="V1198" s="44"/>
      <c r="W1198" s="44"/>
      <c r="X1198" s="44"/>
      <c r="Y1198" s="44"/>
      <c r="Z1198" s="44"/>
      <c r="AA1198" s="44"/>
      <c r="AB1198" s="44"/>
      <c r="AC1198" s="44"/>
      <c r="AD1198" s="44"/>
      <c r="AE1198" s="44"/>
      <c r="AF1198" s="44"/>
    </row>
    <row r="1199" spans="1:32" x14ac:dyDescent="0.3">
      <c r="A1199" s="38" t="s">
        <v>291</v>
      </c>
      <c r="B1199" s="38" t="s">
        <v>174</v>
      </c>
      <c r="C1199" s="38" t="s">
        <v>292</v>
      </c>
      <c r="D1199" s="39" t="s">
        <v>180</v>
      </c>
      <c r="E1199" s="39" t="s">
        <v>195</v>
      </c>
      <c r="F1199" s="38" t="s">
        <v>131</v>
      </c>
      <c r="G1199" s="38" t="s">
        <v>130</v>
      </c>
      <c r="H1199" s="44">
        <v>9473</v>
      </c>
      <c r="I1199" s="44">
        <v>268</v>
      </c>
      <c r="J1199" s="44">
        <v>406</v>
      </c>
      <c r="K1199" s="44">
        <v>291</v>
      </c>
      <c r="L1199" s="44">
        <v>484</v>
      </c>
      <c r="M1199" s="44">
        <v>461</v>
      </c>
      <c r="N1199" s="44">
        <v>437</v>
      </c>
      <c r="O1199" s="44">
        <v>357</v>
      </c>
      <c r="P1199" s="44">
        <v>670</v>
      </c>
      <c r="Q1199" s="44">
        <v>559</v>
      </c>
      <c r="R1199" s="44">
        <v>619</v>
      </c>
      <c r="S1199" s="44">
        <v>512</v>
      </c>
      <c r="T1199" s="44">
        <v>428</v>
      </c>
      <c r="U1199" s="44">
        <v>496</v>
      </c>
      <c r="V1199" s="44">
        <v>409</v>
      </c>
      <c r="W1199" s="44">
        <v>407</v>
      </c>
      <c r="X1199" s="44">
        <v>407</v>
      </c>
      <c r="Y1199" s="44">
        <v>409</v>
      </c>
      <c r="Z1199" s="44">
        <v>350</v>
      </c>
      <c r="AA1199" s="44">
        <v>298</v>
      </c>
      <c r="AB1199" s="44">
        <v>315</v>
      </c>
      <c r="AC1199" s="44">
        <v>296</v>
      </c>
      <c r="AD1199" s="44">
        <v>217</v>
      </c>
      <c r="AE1199" s="44">
        <v>189</v>
      </c>
      <c r="AF1199" s="44">
        <v>188</v>
      </c>
    </row>
    <row r="1200" spans="1:32" x14ac:dyDescent="0.3">
      <c r="A1200" s="38" t="s">
        <v>291</v>
      </c>
      <c r="B1200" s="38" t="s">
        <v>174</v>
      </c>
      <c r="C1200" s="38" t="s">
        <v>292</v>
      </c>
      <c r="D1200" s="39" t="s">
        <v>180</v>
      </c>
      <c r="E1200" s="39" t="s">
        <v>195</v>
      </c>
      <c r="F1200" s="38" t="s">
        <v>132</v>
      </c>
      <c r="G1200" s="38" t="s">
        <v>130</v>
      </c>
      <c r="H1200" s="44">
        <v>0</v>
      </c>
      <c r="I1200" s="44">
        <v>0</v>
      </c>
      <c r="J1200" s="44"/>
      <c r="K1200" s="44"/>
      <c r="L1200" s="44"/>
      <c r="M1200" s="44"/>
      <c r="N1200" s="44"/>
      <c r="O1200" s="44"/>
      <c r="P1200" s="44"/>
      <c r="Q1200" s="44"/>
      <c r="R1200" s="44"/>
      <c r="S1200" s="44"/>
      <c r="T1200" s="44"/>
      <c r="U1200" s="44"/>
      <c r="V1200" s="44"/>
      <c r="W1200" s="44"/>
      <c r="X1200" s="44"/>
      <c r="Y1200" s="44"/>
      <c r="Z1200" s="44"/>
      <c r="AA1200" s="44"/>
      <c r="AB1200" s="44"/>
      <c r="AC1200" s="44"/>
      <c r="AD1200" s="44"/>
      <c r="AE1200" s="44"/>
      <c r="AF1200" s="44"/>
    </row>
    <row r="1201" spans="1:32" x14ac:dyDescent="0.3">
      <c r="A1201" s="38" t="s">
        <v>291</v>
      </c>
      <c r="B1201" s="38" t="s">
        <v>174</v>
      </c>
      <c r="C1201" s="38" t="s">
        <v>292</v>
      </c>
      <c r="D1201" s="39" t="s">
        <v>180</v>
      </c>
      <c r="E1201" s="39" t="s">
        <v>195</v>
      </c>
      <c r="F1201" s="38" t="s">
        <v>133</v>
      </c>
      <c r="G1201" s="38" t="s">
        <v>130</v>
      </c>
      <c r="H1201" s="44">
        <v>0</v>
      </c>
      <c r="I1201" s="44">
        <v>0</v>
      </c>
      <c r="J1201" s="44"/>
      <c r="K1201" s="44"/>
      <c r="L1201" s="44"/>
      <c r="M1201" s="44"/>
      <c r="N1201" s="44"/>
      <c r="O1201" s="44"/>
      <c r="P1201" s="44"/>
      <c r="Q1201" s="44"/>
      <c r="R1201" s="44"/>
      <c r="S1201" s="44"/>
      <c r="T1201" s="44"/>
      <c r="U1201" s="44"/>
      <c r="V1201" s="44"/>
      <c r="W1201" s="44"/>
      <c r="X1201" s="44"/>
      <c r="Y1201" s="44"/>
      <c r="Z1201" s="44"/>
      <c r="AA1201" s="44"/>
      <c r="AB1201" s="44"/>
      <c r="AC1201" s="44"/>
      <c r="AD1201" s="44"/>
      <c r="AE1201" s="44"/>
      <c r="AF1201" s="44"/>
    </row>
    <row r="1202" spans="1:32" x14ac:dyDescent="0.3">
      <c r="A1202" s="38" t="s">
        <v>291</v>
      </c>
      <c r="B1202" s="38" t="s">
        <v>174</v>
      </c>
      <c r="C1202" s="38" t="s">
        <v>292</v>
      </c>
      <c r="D1202" s="39" t="s">
        <v>180</v>
      </c>
      <c r="E1202" s="39" t="s">
        <v>195</v>
      </c>
      <c r="F1202" s="38" t="s">
        <v>134</v>
      </c>
      <c r="G1202" s="38" t="s">
        <v>130</v>
      </c>
      <c r="H1202" s="44">
        <v>0</v>
      </c>
      <c r="I1202" s="44">
        <v>0</v>
      </c>
      <c r="J1202" s="44"/>
      <c r="K1202" s="44"/>
      <c r="L1202" s="44"/>
      <c r="M1202" s="44"/>
      <c r="N1202" s="44"/>
      <c r="O1202" s="44"/>
      <c r="P1202" s="44"/>
      <c r="Q1202" s="44"/>
      <c r="R1202" s="44"/>
      <c r="S1202" s="44"/>
      <c r="T1202" s="44"/>
      <c r="U1202" s="44"/>
      <c r="V1202" s="44"/>
      <c r="W1202" s="44"/>
      <c r="X1202" s="44"/>
      <c r="Y1202" s="44"/>
      <c r="Z1202" s="44"/>
      <c r="AA1202" s="44"/>
      <c r="AB1202" s="44"/>
      <c r="AC1202" s="44"/>
      <c r="AD1202" s="44"/>
      <c r="AE1202" s="44"/>
      <c r="AF1202" s="44"/>
    </row>
    <row r="1203" spans="1:32" x14ac:dyDescent="0.3">
      <c r="A1203" s="38" t="s">
        <v>291</v>
      </c>
      <c r="B1203" s="38" t="s">
        <v>174</v>
      </c>
      <c r="C1203" s="38" t="s">
        <v>292</v>
      </c>
      <c r="D1203" s="39" t="s">
        <v>180</v>
      </c>
      <c r="E1203" s="39" t="s">
        <v>195</v>
      </c>
      <c r="F1203" s="38" t="s">
        <v>135</v>
      </c>
      <c r="G1203" s="38" t="s">
        <v>130</v>
      </c>
      <c r="H1203" s="44"/>
      <c r="I1203" s="44"/>
      <c r="J1203" s="44"/>
      <c r="K1203" s="44"/>
      <c r="L1203" s="44"/>
      <c r="M1203" s="44"/>
      <c r="N1203" s="44"/>
      <c r="O1203" s="44"/>
      <c r="P1203" s="44"/>
      <c r="Q1203" s="44"/>
      <c r="R1203" s="44"/>
      <c r="S1203" s="44"/>
      <c r="T1203" s="44"/>
      <c r="U1203" s="44"/>
      <c r="V1203" s="44"/>
      <c r="W1203" s="44"/>
      <c r="X1203" s="44"/>
      <c r="Y1203" s="44"/>
      <c r="Z1203" s="44"/>
      <c r="AA1203" s="44"/>
      <c r="AB1203" s="44"/>
      <c r="AC1203" s="44"/>
      <c r="AD1203" s="44"/>
      <c r="AE1203" s="44"/>
      <c r="AF1203" s="44"/>
    </row>
    <row r="1204" spans="1:32" x14ac:dyDescent="0.3">
      <c r="A1204" s="38" t="s">
        <v>291</v>
      </c>
      <c r="B1204" s="38" t="s">
        <v>174</v>
      </c>
      <c r="C1204" s="38" t="s">
        <v>292</v>
      </c>
      <c r="D1204" s="39" t="s">
        <v>180</v>
      </c>
      <c r="E1204" s="39" t="s">
        <v>195</v>
      </c>
      <c r="F1204" s="38" t="s">
        <v>136</v>
      </c>
      <c r="G1204" s="38" t="s">
        <v>130</v>
      </c>
      <c r="H1204" s="44">
        <f>SUM(I1204:AF1204)</f>
        <v>0</v>
      </c>
      <c r="I1204" s="44">
        <f t="shared" ref="I1204:AF1204" si="276">IF(AND(ISBLANK(I1207) = TRUE,ISBLANK(I1206) = TRUE),I1205,I1206+I1207)</f>
        <v>0</v>
      </c>
      <c r="J1204" s="44">
        <f t="shared" si="276"/>
        <v>0</v>
      </c>
      <c r="K1204" s="44">
        <f t="shared" si="276"/>
        <v>0</v>
      </c>
      <c r="L1204" s="44">
        <f t="shared" si="276"/>
        <v>0</v>
      </c>
      <c r="M1204" s="44">
        <f t="shared" si="276"/>
        <v>0</v>
      </c>
      <c r="N1204" s="44">
        <f t="shared" si="276"/>
        <v>0</v>
      </c>
      <c r="O1204" s="44">
        <f t="shared" si="276"/>
        <v>0</v>
      </c>
      <c r="P1204" s="44">
        <f t="shared" si="276"/>
        <v>0</v>
      </c>
      <c r="Q1204" s="44">
        <f t="shared" si="276"/>
        <v>0</v>
      </c>
      <c r="R1204" s="44">
        <f t="shared" si="276"/>
        <v>0</v>
      </c>
      <c r="S1204" s="44">
        <f t="shared" si="276"/>
        <v>0</v>
      </c>
      <c r="T1204" s="44">
        <f t="shared" si="276"/>
        <v>0</v>
      </c>
      <c r="U1204" s="44">
        <f t="shared" si="276"/>
        <v>0</v>
      </c>
      <c r="V1204" s="44">
        <f t="shared" si="276"/>
        <v>0</v>
      </c>
      <c r="W1204" s="44">
        <f t="shared" si="276"/>
        <v>0</v>
      </c>
      <c r="X1204" s="44">
        <f t="shared" si="276"/>
        <v>0</v>
      </c>
      <c r="Y1204" s="44">
        <f t="shared" si="276"/>
        <v>0</v>
      </c>
      <c r="Z1204" s="44">
        <f t="shared" si="276"/>
        <v>0</v>
      </c>
      <c r="AA1204" s="44">
        <f t="shared" si="276"/>
        <v>0</v>
      </c>
      <c r="AB1204" s="44">
        <f t="shared" si="276"/>
        <v>0</v>
      </c>
      <c r="AC1204" s="44">
        <f t="shared" si="276"/>
        <v>0</v>
      </c>
      <c r="AD1204" s="44">
        <f t="shared" si="276"/>
        <v>0</v>
      </c>
      <c r="AE1204" s="44">
        <f t="shared" si="276"/>
        <v>0</v>
      </c>
      <c r="AF1204" s="44">
        <f t="shared" si="276"/>
        <v>0</v>
      </c>
    </row>
    <row r="1205" spans="1:32" x14ac:dyDescent="0.3">
      <c r="A1205" s="38" t="s">
        <v>291</v>
      </c>
      <c r="B1205" s="38" t="s">
        <v>174</v>
      </c>
      <c r="C1205" s="38" t="s">
        <v>292</v>
      </c>
      <c r="D1205" s="39" t="s">
        <v>180</v>
      </c>
      <c r="E1205" s="39" t="s">
        <v>195</v>
      </c>
      <c r="F1205" s="38" t="s">
        <v>124</v>
      </c>
      <c r="G1205" s="38" t="s">
        <v>130</v>
      </c>
      <c r="H1205" s="44"/>
      <c r="I1205" s="44"/>
      <c r="J1205" s="44"/>
      <c r="K1205" s="44"/>
      <c r="L1205" s="44"/>
      <c r="M1205" s="44"/>
      <c r="N1205" s="44"/>
      <c r="O1205" s="44"/>
      <c r="P1205" s="44"/>
      <c r="Q1205" s="44"/>
      <c r="R1205" s="44"/>
      <c r="S1205" s="44"/>
      <c r="T1205" s="44"/>
      <c r="U1205" s="44"/>
      <c r="V1205" s="44"/>
      <c r="W1205" s="44"/>
      <c r="X1205" s="44"/>
      <c r="Y1205" s="44"/>
      <c r="Z1205" s="44"/>
      <c r="AA1205" s="44"/>
      <c r="AB1205" s="44"/>
      <c r="AC1205" s="44"/>
      <c r="AD1205" s="44"/>
      <c r="AE1205" s="44"/>
      <c r="AF1205" s="44"/>
    </row>
    <row r="1206" spans="1:32" x14ac:dyDescent="0.3">
      <c r="A1206" s="38" t="s">
        <v>291</v>
      </c>
      <c r="B1206" s="38" t="s">
        <v>174</v>
      </c>
      <c r="C1206" s="38" t="s">
        <v>292</v>
      </c>
      <c r="D1206" s="39" t="s">
        <v>180</v>
      </c>
      <c r="E1206" s="39" t="s">
        <v>195</v>
      </c>
      <c r="F1206" s="38" t="s">
        <v>137</v>
      </c>
      <c r="G1206" s="38" t="s">
        <v>130</v>
      </c>
      <c r="H1206" s="44">
        <f>SUM(I1206:AF1206)</f>
        <v>0</v>
      </c>
      <c r="I1206" s="44"/>
      <c r="J1206" s="44"/>
      <c r="K1206" s="44"/>
      <c r="L1206" s="44"/>
      <c r="M1206" s="44"/>
      <c r="N1206" s="44"/>
      <c r="O1206" s="44"/>
      <c r="P1206" s="44"/>
      <c r="Q1206" s="44"/>
      <c r="R1206" s="44"/>
      <c r="S1206" s="44"/>
      <c r="T1206" s="44"/>
      <c r="U1206" s="44"/>
      <c r="V1206" s="44"/>
      <c r="W1206" s="44"/>
      <c r="X1206" s="44"/>
      <c r="Y1206" s="44"/>
      <c r="Z1206" s="44"/>
      <c r="AA1206" s="44"/>
      <c r="AB1206" s="44"/>
      <c r="AC1206" s="44"/>
      <c r="AD1206" s="44"/>
      <c r="AE1206" s="44"/>
      <c r="AF1206" s="44"/>
    </row>
    <row r="1207" spans="1:32" x14ac:dyDescent="0.3">
      <c r="A1207" s="38" t="s">
        <v>291</v>
      </c>
      <c r="B1207" s="38" t="s">
        <v>174</v>
      </c>
      <c r="C1207" s="38" t="s">
        <v>292</v>
      </c>
      <c r="D1207" s="39" t="s">
        <v>180</v>
      </c>
      <c r="E1207" s="39" t="s">
        <v>195</v>
      </c>
      <c r="F1207" s="38" t="s">
        <v>138</v>
      </c>
      <c r="G1207" s="38" t="s">
        <v>130</v>
      </c>
      <c r="H1207" s="44">
        <f>SUM(I1207:AF1207)</f>
        <v>0</v>
      </c>
      <c r="I1207" s="44"/>
      <c r="J1207" s="44"/>
      <c r="K1207" s="44"/>
      <c r="L1207" s="44"/>
      <c r="M1207" s="44"/>
      <c r="N1207" s="44"/>
      <c r="O1207" s="44"/>
      <c r="P1207" s="44"/>
      <c r="Q1207" s="44"/>
      <c r="R1207" s="44"/>
      <c r="S1207" s="44"/>
      <c r="T1207" s="44"/>
      <c r="U1207" s="44"/>
      <c r="V1207" s="44"/>
      <c r="W1207" s="44"/>
      <c r="X1207" s="44"/>
      <c r="Y1207" s="44"/>
      <c r="Z1207" s="44"/>
      <c r="AA1207" s="44"/>
      <c r="AB1207" s="44"/>
      <c r="AC1207" s="44"/>
      <c r="AD1207" s="44"/>
      <c r="AE1207" s="44"/>
      <c r="AF1207" s="44"/>
    </row>
    <row r="1208" spans="1:32" x14ac:dyDescent="0.3">
      <c r="A1208" s="38" t="s">
        <v>291</v>
      </c>
      <c r="B1208" s="38" t="s">
        <v>174</v>
      </c>
      <c r="C1208" s="38" t="s">
        <v>292</v>
      </c>
      <c r="D1208" s="39" t="s">
        <v>180</v>
      </c>
      <c r="E1208" s="39" t="s">
        <v>195</v>
      </c>
      <c r="F1208" s="38" t="s">
        <v>139</v>
      </c>
      <c r="G1208" s="38" t="s">
        <v>130</v>
      </c>
      <c r="H1208" s="44"/>
      <c r="I1208" s="44"/>
      <c r="J1208" s="44"/>
      <c r="K1208" s="44"/>
      <c r="L1208" s="44"/>
      <c r="M1208" s="44"/>
      <c r="N1208" s="44"/>
      <c r="O1208" s="44"/>
      <c r="P1208" s="44"/>
      <c r="Q1208" s="44"/>
      <c r="R1208" s="44"/>
      <c r="S1208" s="44"/>
      <c r="T1208" s="44"/>
      <c r="U1208" s="44"/>
      <c r="V1208" s="44"/>
      <c r="W1208" s="44"/>
      <c r="X1208" s="44"/>
      <c r="Y1208" s="44"/>
      <c r="Z1208" s="44"/>
      <c r="AA1208" s="44"/>
      <c r="AB1208" s="44"/>
      <c r="AC1208" s="44"/>
      <c r="AD1208" s="44"/>
      <c r="AE1208" s="44"/>
      <c r="AF1208" s="44"/>
    </row>
    <row r="1209" spans="1:32" x14ac:dyDescent="0.3">
      <c r="A1209" s="38" t="s">
        <v>291</v>
      </c>
      <c r="B1209" s="38" t="s">
        <v>174</v>
      </c>
      <c r="C1209" s="38" t="s">
        <v>292</v>
      </c>
      <c r="D1209" s="39" t="s">
        <v>180</v>
      </c>
      <c r="E1209" s="39" t="s">
        <v>195</v>
      </c>
      <c r="F1209" s="38" t="s">
        <v>140</v>
      </c>
      <c r="G1209" s="38" t="s">
        <v>130</v>
      </c>
      <c r="H1209" s="44"/>
      <c r="I1209" s="44">
        <f>I1204-(I1199+I1198)+(I1203+I1202+I1201+I1200)</f>
        <v>-1340</v>
      </c>
      <c r="J1209" s="44">
        <f t="shared" ref="J1209:AF1209" si="277">I1209+J1204-J1199</f>
        <v>-1746</v>
      </c>
      <c r="K1209" s="44">
        <f t="shared" si="277"/>
        <v>-2037</v>
      </c>
      <c r="L1209" s="44">
        <f t="shared" si="277"/>
        <v>-2521</v>
      </c>
      <c r="M1209" s="44">
        <f t="shared" si="277"/>
        <v>-2982</v>
      </c>
      <c r="N1209" s="44">
        <f t="shared" si="277"/>
        <v>-3419</v>
      </c>
      <c r="O1209" s="44">
        <f t="shared" si="277"/>
        <v>-3776</v>
      </c>
      <c r="P1209" s="44">
        <f t="shared" si="277"/>
        <v>-4446</v>
      </c>
      <c r="Q1209" s="44">
        <f t="shared" si="277"/>
        <v>-5005</v>
      </c>
      <c r="R1209" s="44">
        <f t="shared" si="277"/>
        <v>-5624</v>
      </c>
      <c r="S1209" s="44">
        <f t="shared" si="277"/>
        <v>-6136</v>
      </c>
      <c r="T1209" s="44">
        <f t="shared" si="277"/>
        <v>-6564</v>
      </c>
      <c r="U1209" s="44">
        <f t="shared" si="277"/>
        <v>-7060</v>
      </c>
      <c r="V1209" s="44">
        <f t="shared" si="277"/>
        <v>-7469</v>
      </c>
      <c r="W1209" s="44">
        <f t="shared" si="277"/>
        <v>-7876</v>
      </c>
      <c r="X1209" s="44">
        <f t="shared" si="277"/>
        <v>-8283</v>
      </c>
      <c r="Y1209" s="44">
        <f t="shared" si="277"/>
        <v>-8692</v>
      </c>
      <c r="Z1209" s="44">
        <f t="shared" si="277"/>
        <v>-9042</v>
      </c>
      <c r="AA1209" s="44">
        <f t="shared" si="277"/>
        <v>-9340</v>
      </c>
      <c r="AB1209" s="44">
        <f t="shared" si="277"/>
        <v>-9655</v>
      </c>
      <c r="AC1209" s="44">
        <f t="shared" si="277"/>
        <v>-9951</v>
      </c>
      <c r="AD1209" s="44">
        <f t="shared" si="277"/>
        <v>-10168</v>
      </c>
      <c r="AE1209" s="44">
        <f t="shared" si="277"/>
        <v>-10357</v>
      </c>
      <c r="AF1209" s="44">
        <f t="shared" si="277"/>
        <v>-10545</v>
      </c>
    </row>
    <row r="1210" spans="1:32" ht="15" thickBot="1" x14ac:dyDescent="0.35">
      <c r="A1210" s="40" t="s">
        <v>291</v>
      </c>
      <c r="B1210" s="40" t="s">
        <v>174</v>
      </c>
      <c r="C1210" s="40" t="s">
        <v>292</v>
      </c>
      <c r="D1210" s="41" t="s">
        <v>180</v>
      </c>
      <c r="E1210" s="41" t="s">
        <v>195</v>
      </c>
      <c r="F1210" s="40" t="s">
        <v>141</v>
      </c>
      <c r="G1210" s="40" t="s">
        <v>130</v>
      </c>
      <c r="H1210" s="45"/>
      <c r="I1210" s="45">
        <f>I1204-I1208</f>
        <v>0</v>
      </c>
      <c r="J1210" s="45">
        <f t="shared" ref="J1210:AF1210" si="278">I1210+J1204-J1208</f>
        <v>0</v>
      </c>
      <c r="K1210" s="45">
        <f t="shared" si="278"/>
        <v>0</v>
      </c>
      <c r="L1210" s="45">
        <f t="shared" si="278"/>
        <v>0</v>
      </c>
      <c r="M1210" s="45">
        <f t="shared" si="278"/>
        <v>0</v>
      </c>
      <c r="N1210" s="45">
        <f t="shared" si="278"/>
        <v>0</v>
      </c>
      <c r="O1210" s="45">
        <f t="shared" si="278"/>
        <v>0</v>
      </c>
      <c r="P1210" s="45">
        <f t="shared" si="278"/>
        <v>0</v>
      </c>
      <c r="Q1210" s="45">
        <f t="shared" si="278"/>
        <v>0</v>
      </c>
      <c r="R1210" s="45">
        <f t="shared" si="278"/>
        <v>0</v>
      </c>
      <c r="S1210" s="45">
        <f t="shared" si="278"/>
        <v>0</v>
      </c>
      <c r="T1210" s="45">
        <f t="shared" si="278"/>
        <v>0</v>
      </c>
      <c r="U1210" s="45">
        <f t="shared" si="278"/>
        <v>0</v>
      </c>
      <c r="V1210" s="45">
        <f t="shared" si="278"/>
        <v>0</v>
      </c>
      <c r="W1210" s="45">
        <f t="shared" si="278"/>
        <v>0</v>
      </c>
      <c r="X1210" s="45">
        <f t="shared" si="278"/>
        <v>0</v>
      </c>
      <c r="Y1210" s="45">
        <f t="shared" si="278"/>
        <v>0</v>
      </c>
      <c r="Z1210" s="45">
        <f t="shared" si="278"/>
        <v>0</v>
      </c>
      <c r="AA1210" s="45">
        <f t="shared" si="278"/>
        <v>0</v>
      </c>
      <c r="AB1210" s="45">
        <f t="shared" si="278"/>
        <v>0</v>
      </c>
      <c r="AC1210" s="45">
        <f t="shared" si="278"/>
        <v>0</v>
      </c>
      <c r="AD1210" s="45">
        <f t="shared" si="278"/>
        <v>0</v>
      </c>
      <c r="AE1210" s="45">
        <f t="shared" si="278"/>
        <v>0</v>
      </c>
      <c r="AF1210" s="45">
        <f t="shared" si="278"/>
        <v>0</v>
      </c>
    </row>
    <row r="1211" spans="1:32" x14ac:dyDescent="0.3">
      <c r="A1211" s="38" t="s">
        <v>293</v>
      </c>
      <c r="B1211" s="38" t="s">
        <v>174</v>
      </c>
      <c r="C1211" s="38" t="s">
        <v>294</v>
      </c>
      <c r="D1211" s="39" t="s">
        <v>183</v>
      </c>
      <c r="E1211" s="39" t="s">
        <v>195</v>
      </c>
      <c r="F1211" s="38" t="s">
        <v>129</v>
      </c>
      <c r="G1211" s="38" t="s">
        <v>130</v>
      </c>
      <c r="H1211" s="44">
        <v>743</v>
      </c>
      <c r="I1211" s="44">
        <v>743</v>
      </c>
      <c r="J1211" s="44"/>
      <c r="K1211" s="44"/>
      <c r="L1211" s="44"/>
      <c r="M1211" s="44"/>
      <c r="N1211" s="44"/>
      <c r="O1211" s="44"/>
      <c r="P1211" s="44"/>
      <c r="Q1211" s="44"/>
      <c r="R1211" s="44"/>
      <c r="S1211" s="44"/>
      <c r="T1211" s="44"/>
      <c r="U1211" s="44"/>
      <c r="V1211" s="44"/>
      <c r="W1211" s="44"/>
      <c r="X1211" s="44"/>
      <c r="Y1211" s="44"/>
      <c r="Z1211" s="44"/>
      <c r="AA1211" s="44"/>
      <c r="AB1211" s="44"/>
      <c r="AC1211" s="44"/>
      <c r="AD1211" s="44"/>
      <c r="AE1211" s="44"/>
      <c r="AF1211" s="44"/>
    </row>
    <row r="1212" spans="1:32" x14ac:dyDescent="0.3">
      <c r="A1212" s="38" t="s">
        <v>293</v>
      </c>
      <c r="B1212" s="38" t="s">
        <v>174</v>
      </c>
      <c r="C1212" s="38" t="s">
        <v>294</v>
      </c>
      <c r="D1212" s="39" t="s">
        <v>183</v>
      </c>
      <c r="E1212" s="39" t="s">
        <v>195</v>
      </c>
      <c r="F1212" s="38" t="s">
        <v>131</v>
      </c>
      <c r="G1212" s="38" t="s">
        <v>130</v>
      </c>
      <c r="H1212" s="44">
        <v>16859</v>
      </c>
      <c r="I1212" s="44">
        <v>210</v>
      </c>
      <c r="J1212" s="44">
        <v>389</v>
      </c>
      <c r="K1212" s="44">
        <v>338</v>
      </c>
      <c r="L1212" s="44">
        <v>9469</v>
      </c>
      <c r="M1212" s="44">
        <v>249</v>
      </c>
      <c r="N1212" s="44">
        <v>715</v>
      </c>
      <c r="O1212" s="44">
        <v>379</v>
      </c>
      <c r="P1212" s="44">
        <v>501</v>
      </c>
      <c r="Q1212" s="44">
        <v>466</v>
      </c>
      <c r="R1212" s="44">
        <v>520</v>
      </c>
      <c r="S1212" s="44">
        <v>439</v>
      </c>
      <c r="T1212" s="44">
        <v>424</v>
      </c>
      <c r="U1212" s="44">
        <v>412</v>
      </c>
      <c r="V1212" s="44">
        <v>295</v>
      </c>
      <c r="W1212" s="44">
        <v>295</v>
      </c>
      <c r="X1212" s="44">
        <v>345</v>
      </c>
      <c r="Y1212" s="44">
        <v>296</v>
      </c>
      <c r="Z1212" s="44">
        <v>265</v>
      </c>
      <c r="AA1212" s="44">
        <v>178</v>
      </c>
      <c r="AB1212" s="44">
        <v>159</v>
      </c>
      <c r="AC1212" s="44">
        <v>199</v>
      </c>
      <c r="AD1212" s="44">
        <v>107</v>
      </c>
      <c r="AE1212" s="44">
        <v>117</v>
      </c>
      <c r="AF1212" s="44">
        <v>92</v>
      </c>
    </row>
    <row r="1213" spans="1:32" x14ac:dyDescent="0.3">
      <c r="A1213" s="38" t="s">
        <v>293</v>
      </c>
      <c r="B1213" s="38" t="s">
        <v>174</v>
      </c>
      <c r="C1213" s="38" t="s">
        <v>294</v>
      </c>
      <c r="D1213" s="39" t="s">
        <v>183</v>
      </c>
      <c r="E1213" s="39" t="s">
        <v>195</v>
      </c>
      <c r="F1213" s="38" t="s">
        <v>132</v>
      </c>
      <c r="G1213" s="38" t="s">
        <v>130</v>
      </c>
      <c r="H1213" s="44">
        <v>8544</v>
      </c>
      <c r="I1213" s="44">
        <v>8544</v>
      </c>
      <c r="J1213" s="44"/>
      <c r="K1213" s="44"/>
      <c r="L1213" s="44"/>
      <c r="M1213" s="44"/>
      <c r="N1213" s="44"/>
      <c r="O1213" s="44"/>
      <c r="P1213" s="44"/>
      <c r="Q1213" s="44"/>
      <c r="R1213" s="44"/>
      <c r="S1213" s="44"/>
      <c r="T1213" s="44"/>
      <c r="U1213" s="44"/>
      <c r="V1213" s="44"/>
      <c r="W1213" s="44"/>
      <c r="X1213" s="44"/>
      <c r="Y1213" s="44"/>
      <c r="Z1213" s="44"/>
      <c r="AA1213" s="44"/>
      <c r="AB1213" s="44"/>
      <c r="AC1213" s="44"/>
      <c r="AD1213" s="44"/>
      <c r="AE1213" s="44"/>
      <c r="AF1213" s="44"/>
    </row>
    <row r="1214" spans="1:32" x14ac:dyDescent="0.3">
      <c r="A1214" s="38" t="s">
        <v>293</v>
      </c>
      <c r="B1214" s="38" t="s">
        <v>174</v>
      </c>
      <c r="C1214" s="38" t="s">
        <v>294</v>
      </c>
      <c r="D1214" s="39" t="s">
        <v>183</v>
      </c>
      <c r="E1214" s="39" t="s">
        <v>195</v>
      </c>
      <c r="F1214" s="38" t="s">
        <v>133</v>
      </c>
      <c r="G1214" s="38" t="s">
        <v>130</v>
      </c>
      <c r="H1214" s="44">
        <v>0</v>
      </c>
      <c r="I1214" s="44">
        <v>0</v>
      </c>
      <c r="J1214" s="44"/>
      <c r="K1214" s="44"/>
      <c r="L1214" s="44"/>
      <c r="M1214" s="44"/>
      <c r="N1214" s="44"/>
      <c r="O1214" s="44"/>
      <c r="P1214" s="44"/>
      <c r="Q1214" s="44"/>
      <c r="R1214" s="44"/>
      <c r="S1214" s="44"/>
      <c r="T1214" s="44"/>
      <c r="U1214" s="44"/>
      <c r="V1214" s="44"/>
      <c r="W1214" s="44"/>
      <c r="X1214" s="44"/>
      <c r="Y1214" s="44"/>
      <c r="Z1214" s="44"/>
      <c r="AA1214" s="44"/>
      <c r="AB1214" s="44"/>
      <c r="AC1214" s="44"/>
      <c r="AD1214" s="44"/>
      <c r="AE1214" s="44"/>
      <c r="AF1214" s="44"/>
    </row>
    <row r="1215" spans="1:32" x14ac:dyDescent="0.3">
      <c r="A1215" s="38" t="s">
        <v>293</v>
      </c>
      <c r="B1215" s="38" t="s">
        <v>174</v>
      </c>
      <c r="C1215" s="38" t="s">
        <v>294</v>
      </c>
      <c r="D1215" s="39" t="s">
        <v>183</v>
      </c>
      <c r="E1215" s="39" t="s">
        <v>195</v>
      </c>
      <c r="F1215" s="38" t="s">
        <v>134</v>
      </c>
      <c r="G1215" s="38" t="s">
        <v>130</v>
      </c>
      <c r="H1215" s="44">
        <v>566</v>
      </c>
      <c r="I1215" s="44">
        <v>566</v>
      </c>
      <c r="J1215" s="44"/>
      <c r="K1215" s="44"/>
      <c r="L1215" s="44"/>
      <c r="M1215" s="44"/>
      <c r="N1215" s="44"/>
      <c r="O1215" s="44"/>
      <c r="P1215" s="44"/>
      <c r="Q1215" s="44"/>
      <c r="R1215" s="44"/>
      <c r="S1215" s="44"/>
      <c r="T1215" s="44"/>
      <c r="U1215" s="44"/>
      <c r="V1215" s="44"/>
      <c r="W1215" s="44"/>
      <c r="X1215" s="44"/>
      <c r="Y1215" s="44"/>
      <c r="Z1215" s="44"/>
      <c r="AA1215" s="44"/>
      <c r="AB1215" s="44"/>
      <c r="AC1215" s="44"/>
      <c r="AD1215" s="44"/>
      <c r="AE1215" s="44"/>
      <c r="AF1215" s="44"/>
    </row>
    <row r="1216" spans="1:32" x14ac:dyDescent="0.3">
      <c r="A1216" s="38" t="s">
        <v>293</v>
      </c>
      <c r="B1216" s="38" t="s">
        <v>174</v>
      </c>
      <c r="C1216" s="38" t="s">
        <v>294</v>
      </c>
      <c r="D1216" s="39" t="s">
        <v>183</v>
      </c>
      <c r="E1216" s="39" t="s">
        <v>195</v>
      </c>
      <c r="F1216" s="38" t="s">
        <v>135</v>
      </c>
      <c r="G1216" s="38" t="s">
        <v>130</v>
      </c>
      <c r="H1216" s="44"/>
      <c r="I1216" s="44"/>
      <c r="J1216" s="44"/>
      <c r="K1216" s="44"/>
      <c r="L1216" s="44"/>
      <c r="M1216" s="44"/>
      <c r="N1216" s="44"/>
      <c r="O1216" s="44"/>
      <c r="P1216" s="44"/>
      <c r="Q1216" s="44"/>
      <c r="R1216" s="44"/>
      <c r="S1216" s="44"/>
      <c r="T1216" s="44"/>
      <c r="U1216" s="44"/>
      <c r="V1216" s="44"/>
      <c r="W1216" s="44"/>
      <c r="X1216" s="44"/>
      <c r="Y1216" s="44"/>
      <c r="Z1216" s="44"/>
      <c r="AA1216" s="44"/>
      <c r="AB1216" s="44"/>
      <c r="AC1216" s="44"/>
      <c r="AD1216" s="44"/>
      <c r="AE1216" s="44"/>
      <c r="AF1216" s="44"/>
    </row>
    <row r="1217" spans="1:32" x14ac:dyDescent="0.3">
      <c r="A1217" s="38" t="s">
        <v>293</v>
      </c>
      <c r="B1217" s="38" t="s">
        <v>174</v>
      </c>
      <c r="C1217" s="38" t="s">
        <v>294</v>
      </c>
      <c r="D1217" s="39" t="s">
        <v>183</v>
      </c>
      <c r="E1217" s="39" t="s">
        <v>195</v>
      </c>
      <c r="F1217" s="38" t="s">
        <v>136</v>
      </c>
      <c r="G1217" s="38" t="s">
        <v>130</v>
      </c>
      <c r="H1217" s="44">
        <f>SUM(I1217:AF1217)</f>
        <v>23040</v>
      </c>
      <c r="I1217" s="44">
        <f t="shared" ref="I1217:AF1217" si="279">IF(AND(ISBLANK(I1220) = TRUE,ISBLANK(I1219) = TRUE),I1218,I1219+I1220)</f>
        <v>0</v>
      </c>
      <c r="J1217" s="44">
        <f t="shared" si="279"/>
        <v>0</v>
      </c>
      <c r="K1217" s="44">
        <f t="shared" si="279"/>
        <v>0</v>
      </c>
      <c r="L1217" s="44">
        <f t="shared" si="279"/>
        <v>0</v>
      </c>
      <c r="M1217" s="44">
        <f t="shared" si="279"/>
        <v>0</v>
      </c>
      <c r="N1217" s="44">
        <f t="shared" si="279"/>
        <v>0</v>
      </c>
      <c r="O1217" s="44">
        <f t="shared" si="279"/>
        <v>0</v>
      </c>
      <c r="P1217" s="44">
        <f t="shared" si="279"/>
        <v>0</v>
      </c>
      <c r="Q1217" s="44">
        <f t="shared" si="279"/>
        <v>0</v>
      </c>
      <c r="R1217" s="44">
        <f t="shared" si="279"/>
        <v>10560</v>
      </c>
      <c r="S1217" s="44">
        <f t="shared" si="279"/>
        <v>0</v>
      </c>
      <c r="T1217" s="44">
        <f t="shared" si="279"/>
        <v>0</v>
      </c>
      <c r="U1217" s="44">
        <f t="shared" si="279"/>
        <v>0</v>
      </c>
      <c r="V1217" s="44">
        <f t="shared" si="279"/>
        <v>0</v>
      </c>
      <c r="W1217" s="44">
        <f t="shared" si="279"/>
        <v>0</v>
      </c>
      <c r="X1217" s="44">
        <f t="shared" si="279"/>
        <v>0</v>
      </c>
      <c r="Y1217" s="44">
        <f t="shared" si="279"/>
        <v>0</v>
      </c>
      <c r="Z1217" s="44">
        <f t="shared" si="279"/>
        <v>0</v>
      </c>
      <c r="AA1217" s="44">
        <f t="shared" si="279"/>
        <v>12480</v>
      </c>
      <c r="AB1217" s="44">
        <f t="shared" si="279"/>
        <v>0</v>
      </c>
      <c r="AC1217" s="44">
        <f t="shared" si="279"/>
        <v>0</v>
      </c>
      <c r="AD1217" s="44">
        <f t="shared" si="279"/>
        <v>0</v>
      </c>
      <c r="AE1217" s="44">
        <f t="shared" si="279"/>
        <v>0</v>
      </c>
      <c r="AF1217" s="44">
        <f t="shared" si="279"/>
        <v>0</v>
      </c>
    </row>
    <row r="1218" spans="1:32" x14ac:dyDescent="0.3">
      <c r="A1218" s="38" t="s">
        <v>293</v>
      </c>
      <c r="B1218" s="38" t="s">
        <v>174</v>
      </c>
      <c r="C1218" s="38" t="s">
        <v>294</v>
      </c>
      <c r="D1218" s="39" t="s">
        <v>183</v>
      </c>
      <c r="E1218" s="39" t="s">
        <v>195</v>
      </c>
      <c r="F1218" s="38" t="s">
        <v>124</v>
      </c>
      <c r="G1218" s="38" t="s">
        <v>130</v>
      </c>
      <c r="H1218" s="44">
        <v>23040</v>
      </c>
      <c r="I1218" s="44"/>
      <c r="J1218" s="44"/>
      <c r="K1218" s="44"/>
      <c r="L1218" s="44"/>
      <c r="M1218" s="44"/>
      <c r="N1218" s="44"/>
      <c r="O1218" s="44"/>
      <c r="P1218" s="44"/>
      <c r="Q1218" s="44"/>
      <c r="R1218" s="44">
        <v>10560</v>
      </c>
      <c r="S1218" s="44"/>
      <c r="T1218" s="44"/>
      <c r="U1218" s="44"/>
      <c r="V1218" s="44"/>
      <c r="W1218" s="44"/>
      <c r="X1218" s="44"/>
      <c r="Y1218" s="44"/>
      <c r="Z1218" s="44"/>
      <c r="AA1218" s="44">
        <v>12480</v>
      </c>
      <c r="AB1218" s="44"/>
      <c r="AC1218" s="44"/>
      <c r="AD1218" s="44"/>
      <c r="AE1218" s="44"/>
      <c r="AF1218" s="44"/>
    </row>
    <row r="1219" spans="1:32" x14ac:dyDescent="0.3">
      <c r="A1219" s="38" t="s">
        <v>293</v>
      </c>
      <c r="B1219" s="38" t="s">
        <v>174</v>
      </c>
      <c r="C1219" s="38" t="s">
        <v>294</v>
      </c>
      <c r="D1219" s="39" t="s">
        <v>183</v>
      </c>
      <c r="E1219" s="39" t="s">
        <v>195</v>
      </c>
      <c r="F1219" s="38" t="s">
        <v>137</v>
      </c>
      <c r="G1219" s="38" t="s">
        <v>130</v>
      </c>
      <c r="H1219" s="44">
        <f>SUM(I1219:AF1219)</f>
        <v>0</v>
      </c>
      <c r="I1219" s="44"/>
      <c r="J1219" s="44"/>
      <c r="K1219" s="44"/>
      <c r="L1219" s="44"/>
      <c r="M1219" s="44"/>
      <c r="N1219" s="44"/>
      <c r="O1219" s="44"/>
      <c r="P1219" s="44"/>
      <c r="Q1219" s="44"/>
      <c r="R1219" s="44"/>
      <c r="S1219" s="44"/>
      <c r="T1219" s="44"/>
      <c r="U1219" s="44"/>
      <c r="V1219" s="44"/>
      <c r="W1219" s="44"/>
      <c r="X1219" s="44"/>
      <c r="Y1219" s="44"/>
      <c r="Z1219" s="44"/>
      <c r="AA1219" s="44"/>
      <c r="AB1219" s="44"/>
      <c r="AC1219" s="44"/>
      <c r="AD1219" s="44"/>
      <c r="AE1219" s="44"/>
      <c r="AF1219" s="44"/>
    </row>
    <row r="1220" spans="1:32" x14ac:dyDescent="0.3">
      <c r="A1220" s="38" t="s">
        <v>293</v>
      </c>
      <c r="B1220" s="38" t="s">
        <v>174</v>
      </c>
      <c r="C1220" s="38" t="s">
        <v>294</v>
      </c>
      <c r="D1220" s="39" t="s">
        <v>183</v>
      </c>
      <c r="E1220" s="39" t="s">
        <v>195</v>
      </c>
      <c r="F1220" s="38" t="s">
        <v>138</v>
      </c>
      <c r="G1220" s="38" t="s">
        <v>130</v>
      </c>
      <c r="H1220" s="44">
        <f>SUM(I1220:AF1220)</f>
        <v>0</v>
      </c>
      <c r="I1220" s="44"/>
      <c r="J1220" s="44"/>
      <c r="K1220" s="44"/>
      <c r="L1220" s="44"/>
      <c r="M1220" s="44"/>
      <c r="N1220" s="44"/>
      <c r="O1220" s="44"/>
      <c r="P1220" s="44"/>
      <c r="Q1220" s="44"/>
      <c r="R1220" s="44"/>
      <c r="S1220" s="44"/>
      <c r="T1220" s="44"/>
      <c r="U1220" s="44"/>
      <c r="V1220" s="44"/>
      <c r="W1220" s="44"/>
      <c r="X1220" s="44"/>
      <c r="Y1220" s="44"/>
      <c r="Z1220" s="44"/>
      <c r="AA1220" s="44"/>
      <c r="AB1220" s="44"/>
      <c r="AC1220" s="44"/>
      <c r="AD1220" s="44"/>
      <c r="AE1220" s="44"/>
      <c r="AF1220" s="44"/>
    </row>
    <row r="1221" spans="1:32" x14ac:dyDescent="0.3">
      <c r="A1221" s="38" t="s">
        <v>293</v>
      </c>
      <c r="B1221" s="38" t="s">
        <v>174</v>
      </c>
      <c r="C1221" s="38" t="s">
        <v>294</v>
      </c>
      <c r="D1221" s="39" t="s">
        <v>183</v>
      </c>
      <c r="E1221" s="39" t="s">
        <v>195</v>
      </c>
      <c r="F1221" s="38" t="s">
        <v>139</v>
      </c>
      <c r="G1221" s="38" t="s">
        <v>130</v>
      </c>
      <c r="H1221" s="44">
        <v>23040</v>
      </c>
      <c r="I1221" s="44"/>
      <c r="J1221" s="44"/>
      <c r="K1221" s="44"/>
      <c r="L1221" s="44"/>
      <c r="M1221" s="44"/>
      <c r="N1221" s="44"/>
      <c r="O1221" s="44"/>
      <c r="P1221" s="44"/>
      <c r="Q1221" s="44"/>
      <c r="R1221" s="44">
        <v>10560</v>
      </c>
      <c r="S1221" s="44"/>
      <c r="T1221" s="44"/>
      <c r="U1221" s="44"/>
      <c r="V1221" s="44"/>
      <c r="W1221" s="44"/>
      <c r="X1221" s="44"/>
      <c r="Y1221" s="44"/>
      <c r="Z1221" s="44"/>
      <c r="AA1221" s="44">
        <v>12480</v>
      </c>
      <c r="AB1221" s="44"/>
      <c r="AC1221" s="44"/>
      <c r="AD1221" s="44"/>
      <c r="AE1221" s="44"/>
      <c r="AF1221" s="44"/>
    </row>
    <row r="1222" spans="1:32" x14ac:dyDescent="0.3">
      <c r="A1222" s="38" t="s">
        <v>293</v>
      </c>
      <c r="B1222" s="38" t="s">
        <v>174</v>
      </c>
      <c r="C1222" s="38" t="s">
        <v>294</v>
      </c>
      <c r="D1222" s="39" t="s">
        <v>183</v>
      </c>
      <c r="E1222" s="39" t="s">
        <v>195</v>
      </c>
      <c r="F1222" s="38" t="s">
        <v>140</v>
      </c>
      <c r="G1222" s="38" t="s">
        <v>130</v>
      </c>
      <c r="H1222" s="44"/>
      <c r="I1222" s="44">
        <f>I1217-(I1212+I1211)+(I1216+I1215+I1214+I1213)</f>
        <v>8157</v>
      </c>
      <c r="J1222" s="44">
        <f t="shared" ref="J1222:AF1222" si="280">I1222+J1217-J1212</f>
        <v>7768</v>
      </c>
      <c r="K1222" s="44">
        <f t="shared" si="280"/>
        <v>7430</v>
      </c>
      <c r="L1222" s="44">
        <f t="shared" si="280"/>
        <v>-2039</v>
      </c>
      <c r="M1222" s="44">
        <f t="shared" si="280"/>
        <v>-2288</v>
      </c>
      <c r="N1222" s="44">
        <f t="shared" si="280"/>
        <v>-3003</v>
      </c>
      <c r="O1222" s="44">
        <f t="shared" si="280"/>
        <v>-3382</v>
      </c>
      <c r="P1222" s="44">
        <f t="shared" si="280"/>
        <v>-3883</v>
      </c>
      <c r="Q1222" s="44">
        <f t="shared" si="280"/>
        <v>-4349</v>
      </c>
      <c r="R1222" s="44">
        <f t="shared" si="280"/>
        <v>5691</v>
      </c>
      <c r="S1222" s="44">
        <f t="shared" si="280"/>
        <v>5252</v>
      </c>
      <c r="T1222" s="44">
        <f t="shared" si="280"/>
        <v>4828</v>
      </c>
      <c r="U1222" s="44">
        <f t="shared" si="280"/>
        <v>4416</v>
      </c>
      <c r="V1222" s="44">
        <f t="shared" si="280"/>
        <v>4121</v>
      </c>
      <c r="W1222" s="44">
        <f t="shared" si="280"/>
        <v>3826</v>
      </c>
      <c r="X1222" s="44">
        <f t="shared" si="280"/>
        <v>3481</v>
      </c>
      <c r="Y1222" s="44">
        <f t="shared" si="280"/>
        <v>3185</v>
      </c>
      <c r="Z1222" s="44">
        <f t="shared" si="280"/>
        <v>2920</v>
      </c>
      <c r="AA1222" s="44">
        <f t="shared" si="280"/>
        <v>15222</v>
      </c>
      <c r="AB1222" s="44">
        <f t="shared" si="280"/>
        <v>15063</v>
      </c>
      <c r="AC1222" s="44">
        <f t="shared" si="280"/>
        <v>14864</v>
      </c>
      <c r="AD1222" s="44">
        <f t="shared" si="280"/>
        <v>14757</v>
      </c>
      <c r="AE1222" s="44">
        <f t="shared" si="280"/>
        <v>14640</v>
      </c>
      <c r="AF1222" s="44">
        <f t="shared" si="280"/>
        <v>14548</v>
      </c>
    </row>
    <row r="1223" spans="1:32" ht="15" thickBot="1" x14ac:dyDescent="0.35">
      <c r="A1223" s="40" t="s">
        <v>293</v>
      </c>
      <c r="B1223" s="40" t="s">
        <v>174</v>
      </c>
      <c r="C1223" s="40" t="s">
        <v>294</v>
      </c>
      <c r="D1223" s="41" t="s">
        <v>183</v>
      </c>
      <c r="E1223" s="41" t="s">
        <v>195</v>
      </c>
      <c r="F1223" s="40" t="s">
        <v>141</v>
      </c>
      <c r="G1223" s="40" t="s">
        <v>130</v>
      </c>
      <c r="H1223" s="45"/>
      <c r="I1223" s="45">
        <f>I1217-I1221</f>
        <v>0</v>
      </c>
      <c r="J1223" s="45">
        <f t="shared" ref="J1223:AF1223" si="281">I1223+J1217-J1221</f>
        <v>0</v>
      </c>
      <c r="K1223" s="45">
        <f t="shared" si="281"/>
        <v>0</v>
      </c>
      <c r="L1223" s="45">
        <f t="shared" si="281"/>
        <v>0</v>
      </c>
      <c r="M1223" s="45">
        <f t="shared" si="281"/>
        <v>0</v>
      </c>
      <c r="N1223" s="45">
        <f t="shared" si="281"/>
        <v>0</v>
      </c>
      <c r="O1223" s="45">
        <f t="shared" si="281"/>
        <v>0</v>
      </c>
      <c r="P1223" s="45">
        <f t="shared" si="281"/>
        <v>0</v>
      </c>
      <c r="Q1223" s="45">
        <f t="shared" si="281"/>
        <v>0</v>
      </c>
      <c r="R1223" s="45">
        <f t="shared" si="281"/>
        <v>0</v>
      </c>
      <c r="S1223" s="45">
        <f t="shared" si="281"/>
        <v>0</v>
      </c>
      <c r="T1223" s="45">
        <f t="shared" si="281"/>
        <v>0</v>
      </c>
      <c r="U1223" s="45">
        <f t="shared" si="281"/>
        <v>0</v>
      </c>
      <c r="V1223" s="45">
        <f t="shared" si="281"/>
        <v>0</v>
      </c>
      <c r="W1223" s="45">
        <f t="shared" si="281"/>
        <v>0</v>
      </c>
      <c r="X1223" s="45">
        <f t="shared" si="281"/>
        <v>0</v>
      </c>
      <c r="Y1223" s="45">
        <f t="shared" si="281"/>
        <v>0</v>
      </c>
      <c r="Z1223" s="45">
        <f t="shared" si="281"/>
        <v>0</v>
      </c>
      <c r="AA1223" s="45">
        <f t="shared" si="281"/>
        <v>0</v>
      </c>
      <c r="AB1223" s="45">
        <f t="shared" si="281"/>
        <v>0</v>
      </c>
      <c r="AC1223" s="45">
        <f t="shared" si="281"/>
        <v>0</v>
      </c>
      <c r="AD1223" s="45">
        <f t="shared" si="281"/>
        <v>0</v>
      </c>
      <c r="AE1223" s="45">
        <f t="shared" si="281"/>
        <v>0</v>
      </c>
      <c r="AF1223" s="45">
        <f t="shared" si="281"/>
        <v>0</v>
      </c>
    </row>
    <row r="1224" spans="1:32" x14ac:dyDescent="0.3">
      <c r="A1224" s="38" t="s">
        <v>295</v>
      </c>
      <c r="B1224" s="38" t="s">
        <v>174</v>
      </c>
      <c r="C1224" s="38" t="s">
        <v>246</v>
      </c>
      <c r="D1224" s="39" t="s">
        <v>180</v>
      </c>
      <c r="E1224" s="39" t="s">
        <v>177</v>
      </c>
      <c r="F1224" s="38" t="s">
        <v>129</v>
      </c>
      <c r="G1224" s="38" t="s">
        <v>130</v>
      </c>
      <c r="H1224" s="44">
        <v>823</v>
      </c>
      <c r="I1224" s="44">
        <v>823</v>
      </c>
      <c r="J1224" s="44"/>
      <c r="K1224" s="44"/>
      <c r="L1224" s="44"/>
      <c r="M1224" s="44"/>
      <c r="N1224" s="44"/>
      <c r="O1224" s="44"/>
      <c r="P1224" s="44"/>
      <c r="Q1224" s="44"/>
      <c r="R1224" s="44"/>
      <c r="S1224" s="44"/>
      <c r="T1224" s="44"/>
      <c r="U1224" s="44"/>
      <c r="V1224" s="44"/>
      <c r="W1224" s="44"/>
      <c r="X1224" s="44"/>
      <c r="Y1224" s="44"/>
      <c r="Z1224" s="44"/>
      <c r="AA1224" s="44"/>
      <c r="AB1224" s="44"/>
      <c r="AC1224" s="44"/>
      <c r="AD1224" s="44"/>
      <c r="AE1224" s="44"/>
      <c r="AF1224" s="44"/>
    </row>
    <row r="1225" spans="1:32" x14ac:dyDescent="0.3">
      <c r="A1225" s="38" t="s">
        <v>295</v>
      </c>
      <c r="B1225" s="38" t="s">
        <v>174</v>
      </c>
      <c r="C1225" s="38" t="s">
        <v>246</v>
      </c>
      <c r="D1225" s="39" t="s">
        <v>180</v>
      </c>
      <c r="E1225" s="39" t="s">
        <v>177</v>
      </c>
      <c r="F1225" s="38" t="s">
        <v>131</v>
      </c>
      <c r="G1225" s="38" t="s">
        <v>130</v>
      </c>
      <c r="H1225" s="44">
        <v>25518</v>
      </c>
      <c r="I1225" s="44">
        <v>1132</v>
      </c>
      <c r="J1225" s="44">
        <v>1103</v>
      </c>
      <c r="K1225" s="44">
        <v>989</v>
      </c>
      <c r="L1225" s="44">
        <v>1047</v>
      </c>
      <c r="M1225" s="44">
        <v>1252</v>
      </c>
      <c r="N1225" s="44">
        <v>1305</v>
      </c>
      <c r="O1225" s="44">
        <v>1329</v>
      </c>
      <c r="P1225" s="44">
        <v>1369</v>
      </c>
      <c r="Q1225" s="44">
        <v>1288</v>
      </c>
      <c r="R1225" s="44">
        <v>1242</v>
      </c>
      <c r="S1225" s="44">
        <v>1234</v>
      </c>
      <c r="T1225" s="44">
        <v>1186</v>
      </c>
      <c r="U1225" s="44">
        <v>1124</v>
      </c>
      <c r="V1225" s="44">
        <v>768</v>
      </c>
      <c r="W1225" s="44">
        <v>768</v>
      </c>
      <c r="X1225" s="44">
        <v>799</v>
      </c>
      <c r="Y1225" s="44">
        <v>813</v>
      </c>
      <c r="Z1225" s="44">
        <v>1119</v>
      </c>
      <c r="AA1225" s="44">
        <v>1243</v>
      </c>
      <c r="AB1225" s="44">
        <v>1159</v>
      </c>
      <c r="AC1225" s="44">
        <v>1126</v>
      </c>
      <c r="AD1225" s="44">
        <v>795</v>
      </c>
      <c r="AE1225" s="44">
        <v>664</v>
      </c>
      <c r="AF1225" s="44">
        <v>664</v>
      </c>
    </row>
    <row r="1226" spans="1:32" x14ac:dyDescent="0.3">
      <c r="A1226" s="38" t="s">
        <v>295</v>
      </c>
      <c r="B1226" s="38" t="s">
        <v>174</v>
      </c>
      <c r="C1226" s="38" t="s">
        <v>246</v>
      </c>
      <c r="D1226" s="39" t="s">
        <v>180</v>
      </c>
      <c r="E1226" s="39" t="s">
        <v>177</v>
      </c>
      <c r="F1226" s="38" t="s">
        <v>132</v>
      </c>
      <c r="G1226" s="38" t="s">
        <v>130</v>
      </c>
      <c r="H1226" s="44">
        <v>35584</v>
      </c>
      <c r="I1226" s="44">
        <v>35584</v>
      </c>
      <c r="J1226" s="44"/>
      <c r="K1226" s="44"/>
      <c r="L1226" s="44"/>
      <c r="M1226" s="44"/>
      <c r="N1226" s="44"/>
      <c r="O1226" s="44"/>
      <c r="P1226" s="44"/>
      <c r="Q1226" s="44"/>
      <c r="R1226" s="44"/>
      <c r="S1226" s="44"/>
      <c r="T1226" s="44"/>
      <c r="U1226" s="44"/>
      <c r="V1226" s="44"/>
      <c r="W1226" s="44"/>
      <c r="X1226" s="44"/>
      <c r="Y1226" s="44"/>
      <c r="Z1226" s="44"/>
      <c r="AA1226" s="44"/>
      <c r="AB1226" s="44"/>
      <c r="AC1226" s="44"/>
      <c r="AD1226" s="44"/>
      <c r="AE1226" s="44"/>
      <c r="AF1226" s="44"/>
    </row>
    <row r="1227" spans="1:32" x14ac:dyDescent="0.3">
      <c r="A1227" s="38" t="s">
        <v>295</v>
      </c>
      <c r="B1227" s="38" t="s">
        <v>174</v>
      </c>
      <c r="C1227" s="38" t="s">
        <v>246</v>
      </c>
      <c r="D1227" s="39" t="s">
        <v>180</v>
      </c>
      <c r="E1227" s="39" t="s">
        <v>177</v>
      </c>
      <c r="F1227" s="38" t="s">
        <v>133</v>
      </c>
      <c r="G1227" s="38" t="s">
        <v>130</v>
      </c>
      <c r="H1227" s="44">
        <v>0</v>
      </c>
      <c r="I1227" s="44">
        <v>0</v>
      </c>
      <c r="J1227" s="44"/>
      <c r="K1227" s="44"/>
      <c r="L1227" s="44"/>
      <c r="M1227" s="44"/>
      <c r="N1227" s="44"/>
      <c r="O1227" s="44"/>
      <c r="P1227" s="44"/>
      <c r="Q1227" s="44"/>
      <c r="R1227" s="44"/>
      <c r="S1227" s="44"/>
      <c r="T1227" s="44"/>
      <c r="U1227" s="44"/>
      <c r="V1227" s="44"/>
      <c r="W1227" s="44"/>
      <c r="X1227" s="44"/>
      <c r="Y1227" s="44"/>
      <c r="Z1227" s="44"/>
      <c r="AA1227" s="44"/>
      <c r="AB1227" s="44"/>
      <c r="AC1227" s="44"/>
      <c r="AD1227" s="44"/>
      <c r="AE1227" s="44"/>
      <c r="AF1227" s="44"/>
    </row>
    <row r="1228" spans="1:32" x14ac:dyDescent="0.3">
      <c r="A1228" s="38" t="s">
        <v>295</v>
      </c>
      <c r="B1228" s="38" t="s">
        <v>174</v>
      </c>
      <c r="C1228" s="38" t="s">
        <v>246</v>
      </c>
      <c r="D1228" s="39" t="s">
        <v>180</v>
      </c>
      <c r="E1228" s="39" t="s">
        <v>177</v>
      </c>
      <c r="F1228" s="38" t="s">
        <v>134</v>
      </c>
      <c r="G1228" s="38" t="s">
        <v>130</v>
      </c>
      <c r="H1228" s="44">
        <v>1438</v>
      </c>
      <c r="I1228" s="44">
        <v>1438</v>
      </c>
      <c r="J1228" s="44"/>
      <c r="K1228" s="44"/>
      <c r="L1228" s="44"/>
      <c r="M1228" s="44"/>
      <c r="N1228" s="44"/>
      <c r="O1228" s="44"/>
      <c r="P1228" s="44"/>
      <c r="Q1228" s="44"/>
      <c r="R1228" s="44"/>
      <c r="S1228" s="44"/>
      <c r="T1228" s="44"/>
      <c r="U1228" s="44"/>
      <c r="V1228" s="44"/>
      <c r="W1228" s="44"/>
      <c r="X1228" s="44"/>
      <c r="Y1228" s="44"/>
      <c r="Z1228" s="44"/>
      <c r="AA1228" s="44"/>
      <c r="AB1228" s="44"/>
      <c r="AC1228" s="44"/>
      <c r="AD1228" s="44"/>
      <c r="AE1228" s="44"/>
      <c r="AF1228" s="44"/>
    </row>
    <row r="1229" spans="1:32" x14ac:dyDescent="0.3">
      <c r="A1229" s="38" t="s">
        <v>295</v>
      </c>
      <c r="B1229" s="38" t="s">
        <v>174</v>
      </c>
      <c r="C1229" s="38" t="s">
        <v>246</v>
      </c>
      <c r="D1229" s="39" t="s">
        <v>180</v>
      </c>
      <c r="E1229" s="39" t="s">
        <v>177</v>
      </c>
      <c r="F1229" s="38" t="s">
        <v>135</v>
      </c>
      <c r="G1229" s="38" t="s">
        <v>130</v>
      </c>
      <c r="H1229" s="44">
        <v>3840</v>
      </c>
      <c r="I1229" s="44">
        <v>3840</v>
      </c>
      <c r="J1229" s="44"/>
      <c r="K1229" s="44"/>
      <c r="L1229" s="44"/>
      <c r="M1229" s="44"/>
      <c r="N1229" s="44"/>
      <c r="O1229" s="44"/>
      <c r="P1229" s="44"/>
      <c r="Q1229" s="44"/>
      <c r="R1229" s="44"/>
      <c r="S1229" s="44"/>
      <c r="T1229" s="44"/>
      <c r="U1229" s="44"/>
      <c r="V1229" s="44"/>
      <c r="W1229" s="44"/>
      <c r="X1229" s="44"/>
      <c r="Y1229" s="44"/>
      <c r="Z1229" s="44"/>
      <c r="AA1229" s="44"/>
      <c r="AB1229" s="44"/>
      <c r="AC1229" s="44"/>
      <c r="AD1229" s="44"/>
      <c r="AE1229" s="44"/>
      <c r="AF1229" s="44"/>
    </row>
    <row r="1230" spans="1:32" x14ac:dyDescent="0.3">
      <c r="A1230" s="38" t="s">
        <v>295</v>
      </c>
      <c r="B1230" s="38" t="s">
        <v>174</v>
      </c>
      <c r="C1230" s="38" t="s">
        <v>246</v>
      </c>
      <c r="D1230" s="39" t="s">
        <v>180</v>
      </c>
      <c r="E1230" s="39" t="s">
        <v>177</v>
      </c>
      <c r="F1230" s="38" t="s">
        <v>136</v>
      </c>
      <c r="G1230" s="38" t="s">
        <v>130</v>
      </c>
      <c r="H1230" s="44">
        <f>SUM(I1230:AF1230)</f>
        <v>99840</v>
      </c>
      <c r="I1230" s="44">
        <f t="shared" ref="I1230:AF1230" si="282">IF(AND(ISBLANK(I1233) = TRUE,ISBLANK(I1232) = TRUE),I1231,I1232+I1233)</f>
        <v>0</v>
      </c>
      <c r="J1230" s="44">
        <f t="shared" si="282"/>
        <v>7680</v>
      </c>
      <c r="K1230" s="44">
        <f t="shared" si="282"/>
        <v>7680</v>
      </c>
      <c r="L1230" s="44">
        <f t="shared" si="282"/>
        <v>7680</v>
      </c>
      <c r="M1230" s="44">
        <f t="shared" si="282"/>
        <v>7680</v>
      </c>
      <c r="N1230" s="44">
        <f t="shared" si="282"/>
        <v>7680</v>
      </c>
      <c r="O1230" s="44">
        <f t="shared" si="282"/>
        <v>7680</v>
      </c>
      <c r="P1230" s="44">
        <f t="shared" si="282"/>
        <v>7680</v>
      </c>
      <c r="Q1230" s="44">
        <f t="shared" si="282"/>
        <v>7680</v>
      </c>
      <c r="R1230" s="44">
        <f t="shared" si="282"/>
        <v>7680</v>
      </c>
      <c r="S1230" s="44">
        <f t="shared" si="282"/>
        <v>7680</v>
      </c>
      <c r="T1230" s="44">
        <f t="shared" si="282"/>
        <v>7680</v>
      </c>
      <c r="U1230" s="44">
        <f t="shared" si="282"/>
        <v>7680</v>
      </c>
      <c r="V1230" s="44">
        <f t="shared" si="282"/>
        <v>3840</v>
      </c>
      <c r="W1230" s="44">
        <f t="shared" si="282"/>
        <v>3840</v>
      </c>
      <c r="X1230" s="44">
        <f t="shared" si="282"/>
        <v>0</v>
      </c>
      <c r="Y1230" s="44">
        <f t="shared" si="282"/>
        <v>0</v>
      </c>
      <c r="Z1230" s="44">
        <f t="shared" si="282"/>
        <v>0</v>
      </c>
      <c r="AA1230" s="44">
        <f t="shared" si="282"/>
        <v>0</v>
      </c>
      <c r="AB1230" s="44">
        <f t="shared" si="282"/>
        <v>0</v>
      </c>
      <c r="AC1230" s="44">
        <f t="shared" si="282"/>
        <v>0</v>
      </c>
      <c r="AD1230" s="44">
        <f t="shared" si="282"/>
        <v>0</v>
      </c>
      <c r="AE1230" s="44">
        <f t="shared" si="282"/>
        <v>0</v>
      </c>
      <c r="AF1230" s="44">
        <f t="shared" si="282"/>
        <v>0</v>
      </c>
    </row>
    <row r="1231" spans="1:32" x14ac:dyDescent="0.3">
      <c r="A1231" s="38" t="s">
        <v>295</v>
      </c>
      <c r="B1231" s="38" t="s">
        <v>174</v>
      </c>
      <c r="C1231" s="38" t="s">
        <v>246</v>
      </c>
      <c r="D1231" s="39" t="s">
        <v>180</v>
      </c>
      <c r="E1231" s="39" t="s">
        <v>177</v>
      </c>
      <c r="F1231" s="38" t="s">
        <v>124</v>
      </c>
      <c r="G1231" s="38" t="s">
        <v>130</v>
      </c>
      <c r="H1231" s="44">
        <v>99840</v>
      </c>
      <c r="I1231" s="44"/>
      <c r="J1231" s="44">
        <v>7680</v>
      </c>
      <c r="K1231" s="44">
        <v>7680</v>
      </c>
      <c r="L1231" s="44">
        <v>7680</v>
      </c>
      <c r="M1231" s="44">
        <v>7680</v>
      </c>
      <c r="N1231" s="44">
        <v>7680</v>
      </c>
      <c r="O1231" s="44">
        <v>7680</v>
      </c>
      <c r="P1231" s="44">
        <v>7680</v>
      </c>
      <c r="Q1231" s="44">
        <v>7680</v>
      </c>
      <c r="R1231" s="44">
        <v>7680</v>
      </c>
      <c r="S1231" s="44">
        <v>7680</v>
      </c>
      <c r="T1231" s="44">
        <v>7680</v>
      </c>
      <c r="U1231" s="44">
        <v>7680</v>
      </c>
      <c r="V1231" s="44">
        <v>3840</v>
      </c>
      <c r="W1231" s="44">
        <v>3840</v>
      </c>
      <c r="X1231" s="44"/>
      <c r="Y1231" s="44"/>
      <c r="Z1231" s="44"/>
      <c r="AA1231" s="44"/>
      <c r="AB1231" s="44"/>
      <c r="AC1231" s="44"/>
      <c r="AD1231" s="44"/>
      <c r="AE1231" s="44"/>
      <c r="AF1231" s="44"/>
    </row>
    <row r="1232" spans="1:32" x14ac:dyDescent="0.3">
      <c r="A1232" s="38" t="s">
        <v>295</v>
      </c>
      <c r="B1232" s="38" t="s">
        <v>174</v>
      </c>
      <c r="C1232" s="38" t="s">
        <v>246</v>
      </c>
      <c r="D1232" s="39" t="s">
        <v>180</v>
      </c>
      <c r="E1232" s="39" t="s">
        <v>177</v>
      </c>
      <c r="F1232" s="38" t="s">
        <v>137</v>
      </c>
      <c r="G1232" s="38" t="s">
        <v>130</v>
      </c>
      <c r="H1232" s="44">
        <f>SUM(I1232:AF1232)</f>
        <v>0</v>
      </c>
      <c r="I1232" s="44"/>
      <c r="J1232" s="44"/>
      <c r="K1232" s="44"/>
      <c r="L1232" s="44"/>
      <c r="M1232" s="44"/>
      <c r="N1232" s="44"/>
      <c r="O1232" s="44"/>
      <c r="P1232" s="44"/>
      <c r="Q1232" s="44"/>
      <c r="R1232" s="44"/>
      <c r="S1232" s="44"/>
      <c r="T1232" s="44"/>
      <c r="U1232" s="44"/>
      <c r="V1232" s="44"/>
      <c r="W1232" s="44"/>
      <c r="X1232" s="44"/>
      <c r="Y1232" s="44"/>
      <c r="Z1232" s="44"/>
      <c r="AA1232" s="44"/>
      <c r="AB1232" s="44"/>
      <c r="AC1232" s="44"/>
      <c r="AD1232" s="44"/>
      <c r="AE1232" s="44"/>
      <c r="AF1232" s="44"/>
    </row>
    <row r="1233" spans="1:32" x14ac:dyDescent="0.3">
      <c r="A1233" s="38" t="s">
        <v>295</v>
      </c>
      <c r="B1233" s="38" t="s">
        <v>174</v>
      </c>
      <c r="C1233" s="38" t="s">
        <v>246</v>
      </c>
      <c r="D1233" s="39" t="s">
        <v>180</v>
      </c>
      <c r="E1233" s="39" t="s">
        <v>177</v>
      </c>
      <c r="F1233" s="38" t="s">
        <v>138</v>
      </c>
      <c r="G1233" s="38" t="s">
        <v>130</v>
      </c>
      <c r="H1233" s="44">
        <f>SUM(I1233:AF1233)</f>
        <v>0</v>
      </c>
      <c r="I1233" s="44"/>
      <c r="J1233" s="44"/>
      <c r="K1233" s="44"/>
      <c r="L1233" s="44"/>
      <c r="M1233" s="44"/>
      <c r="N1233" s="44"/>
      <c r="O1233" s="44"/>
      <c r="P1233" s="44"/>
      <c r="Q1233" s="44"/>
      <c r="R1233" s="44"/>
      <c r="S1233" s="44"/>
      <c r="T1233" s="44"/>
      <c r="U1233" s="44"/>
      <c r="V1233" s="44"/>
      <c r="W1233" s="44"/>
      <c r="X1233" s="44"/>
      <c r="Y1233" s="44"/>
      <c r="Z1233" s="44"/>
      <c r="AA1233" s="44"/>
      <c r="AB1233" s="44"/>
      <c r="AC1233" s="44"/>
      <c r="AD1233" s="44"/>
      <c r="AE1233" s="44"/>
      <c r="AF1233" s="44"/>
    </row>
    <row r="1234" spans="1:32" x14ac:dyDescent="0.3">
      <c r="A1234" s="38" t="s">
        <v>295</v>
      </c>
      <c r="B1234" s="38" t="s">
        <v>174</v>
      </c>
      <c r="C1234" s="38" t="s">
        <v>246</v>
      </c>
      <c r="D1234" s="39" t="s">
        <v>180</v>
      </c>
      <c r="E1234" s="39" t="s">
        <v>177</v>
      </c>
      <c r="F1234" s="38" t="s">
        <v>139</v>
      </c>
      <c r="G1234" s="38" t="s">
        <v>130</v>
      </c>
      <c r="H1234" s="44">
        <v>99840</v>
      </c>
      <c r="I1234" s="44"/>
      <c r="J1234" s="44">
        <v>7680</v>
      </c>
      <c r="K1234" s="44">
        <v>7680</v>
      </c>
      <c r="L1234" s="44">
        <v>7680</v>
      </c>
      <c r="M1234" s="44">
        <v>7680</v>
      </c>
      <c r="N1234" s="44">
        <v>7680</v>
      </c>
      <c r="O1234" s="44">
        <v>7680</v>
      </c>
      <c r="P1234" s="44">
        <v>7680</v>
      </c>
      <c r="Q1234" s="44">
        <v>7680</v>
      </c>
      <c r="R1234" s="44">
        <v>7680</v>
      </c>
      <c r="S1234" s="44">
        <v>7680</v>
      </c>
      <c r="T1234" s="44">
        <v>7680</v>
      </c>
      <c r="U1234" s="44">
        <v>7680</v>
      </c>
      <c r="V1234" s="44">
        <v>3840</v>
      </c>
      <c r="W1234" s="44">
        <v>3840</v>
      </c>
      <c r="X1234" s="44"/>
      <c r="Y1234" s="44"/>
      <c r="Z1234" s="44"/>
      <c r="AA1234" s="44"/>
      <c r="AB1234" s="44"/>
      <c r="AC1234" s="44"/>
      <c r="AD1234" s="44"/>
      <c r="AE1234" s="44"/>
      <c r="AF1234" s="44"/>
    </row>
    <row r="1235" spans="1:32" x14ac:dyDescent="0.3">
      <c r="A1235" s="38" t="s">
        <v>295</v>
      </c>
      <c r="B1235" s="38" t="s">
        <v>174</v>
      </c>
      <c r="C1235" s="38" t="s">
        <v>246</v>
      </c>
      <c r="D1235" s="39" t="s">
        <v>180</v>
      </c>
      <c r="E1235" s="39" t="s">
        <v>177</v>
      </c>
      <c r="F1235" s="38" t="s">
        <v>140</v>
      </c>
      <c r="G1235" s="38" t="s">
        <v>130</v>
      </c>
      <c r="H1235" s="44"/>
      <c r="I1235" s="44">
        <f>I1230-(I1225+I1224)+(I1229+I1228+I1227+I1226)</f>
        <v>38907</v>
      </c>
      <c r="J1235" s="44">
        <f t="shared" ref="J1235:AF1235" si="283">I1235+J1230-J1225</f>
        <v>45484</v>
      </c>
      <c r="K1235" s="44">
        <f t="shared" si="283"/>
        <v>52175</v>
      </c>
      <c r="L1235" s="44">
        <f t="shared" si="283"/>
        <v>58808</v>
      </c>
      <c r="M1235" s="44">
        <f t="shared" si="283"/>
        <v>65236</v>
      </c>
      <c r="N1235" s="44">
        <f t="shared" si="283"/>
        <v>71611</v>
      </c>
      <c r="O1235" s="44">
        <f t="shared" si="283"/>
        <v>77962</v>
      </c>
      <c r="P1235" s="44">
        <f t="shared" si="283"/>
        <v>84273</v>
      </c>
      <c r="Q1235" s="44">
        <f t="shared" si="283"/>
        <v>90665</v>
      </c>
      <c r="R1235" s="44">
        <f t="shared" si="283"/>
        <v>97103</v>
      </c>
      <c r="S1235" s="44">
        <f t="shared" si="283"/>
        <v>103549</v>
      </c>
      <c r="T1235" s="44">
        <f t="shared" si="283"/>
        <v>110043</v>
      </c>
      <c r="U1235" s="44">
        <f t="shared" si="283"/>
        <v>116599</v>
      </c>
      <c r="V1235" s="44">
        <f t="shared" si="283"/>
        <v>119671</v>
      </c>
      <c r="W1235" s="44">
        <f t="shared" si="283"/>
        <v>122743</v>
      </c>
      <c r="X1235" s="44">
        <f t="shared" si="283"/>
        <v>121944</v>
      </c>
      <c r="Y1235" s="44">
        <f t="shared" si="283"/>
        <v>121131</v>
      </c>
      <c r="Z1235" s="44">
        <f t="shared" si="283"/>
        <v>120012</v>
      </c>
      <c r="AA1235" s="44">
        <f t="shared" si="283"/>
        <v>118769</v>
      </c>
      <c r="AB1235" s="44">
        <f t="shared" si="283"/>
        <v>117610</v>
      </c>
      <c r="AC1235" s="44">
        <f t="shared" si="283"/>
        <v>116484</v>
      </c>
      <c r="AD1235" s="44">
        <f t="shared" si="283"/>
        <v>115689</v>
      </c>
      <c r="AE1235" s="44">
        <f t="shared" si="283"/>
        <v>115025</v>
      </c>
      <c r="AF1235" s="44">
        <f t="shared" si="283"/>
        <v>114361</v>
      </c>
    </row>
    <row r="1236" spans="1:32" ht="15" thickBot="1" x14ac:dyDescent="0.35">
      <c r="A1236" s="40" t="s">
        <v>295</v>
      </c>
      <c r="B1236" s="40" t="s">
        <v>174</v>
      </c>
      <c r="C1236" s="40" t="s">
        <v>246</v>
      </c>
      <c r="D1236" s="41" t="s">
        <v>180</v>
      </c>
      <c r="E1236" s="41" t="s">
        <v>177</v>
      </c>
      <c r="F1236" s="40" t="s">
        <v>141</v>
      </c>
      <c r="G1236" s="40" t="s">
        <v>130</v>
      </c>
      <c r="H1236" s="45"/>
      <c r="I1236" s="45">
        <f>I1230-I1234</f>
        <v>0</v>
      </c>
      <c r="J1236" s="45">
        <f t="shared" ref="J1236:AF1236" si="284">I1236+J1230-J1234</f>
        <v>0</v>
      </c>
      <c r="K1236" s="45">
        <f t="shared" si="284"/>
        <v>0</v>
      </c>
      <c r="L1236" s="45">
        <f t="shared" si="284"/>
        <v>0</v>
      </c>
      <c r="M1236" s="45">
        <f t="shared" si="284"/>
        <v>0</v>
      </c>
      <c r="N1236" s="45">
        <f t="shared" si="284"/>
        <v>0</v>
      </c>
      <c r="O1236" s="45">
        <f t="shared" si="284"/>
        <v>0</v>
      </c>
      <c r="P1236" s="45">
        <f t="shared" si="284"/>
        <v>0</v>
      </c>
      <c r="Q1236" s="45">
        <f t="shared" si="284"/>
        <v>0</v>
      </c>
      <c r="R1236" s="45">
        <f t="shared" si="284"/>
        <v>0</v>
      </c>
      <c r="S1236" s="45">
        <f t="shared" si="284"/>
        <v>0</v>
      </c>
      <c r="T1236" s="45">
        <f t="shared" si="284"/>
        <v>0</v>
      </c>
      <c r="U1236" s="45">
        <f t="shared" si="284"/>
        <v>0</v>
      </c>
      <c r="V1236" s="45">
        <f t="shared" si="284"/>
        <v>0</v>
      </c>
      <c r="W1236" s="45">
        <f t="shared" si="284"/>
        <v>0</v>
      </c>
      <c r="X1236" s="45">
        <f t="shared" si="284"/>
        <v>0</v>
      </c>
      <c r="Y1236" s="45">
        <f t="shared" si="284"/>
        <v>0</v>
      </c>
      <c r="Z1236" s="45">
        <f t="shared" si="284"/>
        <v>0</v>
      </c>
      <c r="AA1236" s="45">
        <f t="shared" si="284"/>
        <v>0</v>
      </c>
      <c r="AB1236" s="45">
        <f t="shared" si="284"/>
        <v>0</v>
      </c>
      <c r="AC1236" s="45">
        <f t="shared" si="284"/>
        <v>0</v>
      </c>
      <c r="AD1236" s="45">
        <f t="shared" si="284"/>
        <v>0</v>
      </c>
      <c r="AE1236" s="45">
        <f t="shared" si="284"/>
        <v>0</v>
      </c>
      <c r="AF1236" s="45">
        <f t="shared" si="284"/>
        <v>0</v>
      </c>
    </row>
    <row r="1237" spans="1:32" x14ac:dyDescent="0.3">
      <c r="A1237" s="38" t="s">
        <v>296</v>
      </c>
      <c r="B1237" s="38" t="s">
        <v>174</v>
      </c>
      <c r="C1237" s="38" t="s">
        <v>267</v>
      </c>
      <c r="D1237" s="39" t="s">
        <v>180</v>
      </c>
      <c r="E1237" s="39" t="s">
        <v>177</v>
      </c>
      <c r="F1237" s="38" t="s">
        <v>129</v>
      </c>
      <c r="G1237" s="38" t="s">
        <v>130</v>
      </c>
      <c r="H1237" s="44">
        <v>1358</v>
      </c>
      <c r="I1237" s="44">
        <v>1358</v>
      </c>
      <c r="J1237" s="44"/>
      <c r="K1237" s="44"/>
      <c r="L1237" s="44"/>
      <c r="M1237" s="44"/>
      <c r="N1237" s="44"/>
      <c r="O1237" s="44"/>
      <c r="P1237" s="44"/>
      <c r="Q1237" s="44"/>
      <c r="R1237" s="44"/>
      <c r="S1237" s="44"/>
      <c r="T1237" s="44"/>
      <c r="U1237" s="44"/>
      <c r="V1237" s="44"/>
      <c r="W1237" s="44"/>
      <c r="X1237" s="44"/>
      <c r="Y1237" s="44"/>
      <c r="Z1237" s="44"/>
      <c r="AA1237" s="44"/>
      <c r="AB1237" s="44"/>
      <c r="AC1237" s="44"/>
      <c r="AD1237" s="44"/>
      <c r="AE1237" s="44"/>
      <c r="AF1237" s="44"/>
    </row>
    <row r="1238" spans="1:32" x14ac:dyDescent="0.3">
      <c r="A1238" s="38" t="s">
        <v>296</v>
      </c>
      <c r="B1238" s="38" t="s">
        <v>174</v>
      </c>
      <c r="C1238" s="38" t="s">
        <v>267</v>
      </c>
      <c r="D1238" s="39" t="s">
        <v>180</v>
      </c>
      <c r="E1238" s="39" t="s">
        <v>177</v>
      </c>
      <c r="F1238" s="38" t="s">
        <v>131</v>
      </c>
      <c r="G1238" s="38" t="s">
        <v>130</v>
      </c>
      <c r="H1238" s="44">
        <v>40142</v>
      </c>
      <c r="I1238" s="44">
        <v>1886</v>
      </c>
      <c r="J1238" s="44">
        <v>1823</v>
      </c>
      <c r="K1238" s="44">
        <v>1620</v>
      </c>
      <c r="L1238" s="44">
        <v>1368</v>
      </c>
      <c r="M1238" s="44">
        <v>1936</v>
      </c>
      <c r="N1238" s="44">
        <v>1999</v>
      </c>
      <c r="O1238" s="44">
        <v>2001</v>
      </c>
      <c r="P1238" s="44">
        <v>2010</v>
      </c>
      <c r="Q1238" s="44">
        <v>2003</v>
      </c>
      <c r="R1238" s="44">
        <v>1996</v>
      </c>
      <c r="S1238" s="44">
        <v>1994</v>
      </c>
      <c r="T1238" s="44">
        <v>1992</v>
      </c>
      <c r="U1238" s="44">
        <v>1908</v>
      </c>
      <c r="V1238" s="44">
        <v>1391</v>
      </c>
      <c r="W1238" s="44">
        <v>1390</v>
      </c>
      <c r="X1238" s="44">
        <v>1410</v>
      </c>
      <c r="Y1238" s="44">
        <v>1416</v>
      </c>
      <c r="Z1238" s="44">
        <v>1741</v>
      </c>
      <c r="AA1238" s="44">
        <v>1872</v>
      </c>
      <c r="AB1238" s="44">
        <v>1811</v>
      </c>
      <c r="AC1238" s="44">
        <v>1791</v>
      </c>
      <c r="AD1238" s="44">
        <v>1110</v>
      </c>
      <c r="AE1238" s="44">
        <v>837</v>
      </c>
      <c r="AF1238" s="44">
        <v>837</v>
      </c>
    </row>
    <row r="1239" spans="1:32" x14ac:dyDescent="0.3">
      <c r="A1239" s="38" t="s">
        <v>296</v>
      </c>
      <c r="B1239" s="38" t="s">
        <v>174</v>
      </c>
      <c r="C1239" s="38" t="s">
        <v>267</v>
      </c>
      <c r="D1239" s="39" t="s">
        <v>180</v>
      </c>
      <c r="E1239" s="39" t="s">
        <v>177</v>
      </c>
      <c r="F1239" s="38" t="s">
        <v>132</v>
      </c>
      <c r="G1239" s="38" t="s">
        <v>130</v>
      </c>
      <c r="H1239" s="44">
        <v>1872</v>
      </c>
      <c r="I1239" s="44">
        <v>1872</v>
      </c>
      <c r="J1239" s="44"/>
      <c r="K1239" s="44"/>
      <c r="L1239" s="44"/>
      <c r="M1239" s="44"/>
      <c r="N1239" s="44"/>
      <c r="O1239" s="44"/>
      <c r="P1239" s="44"/>
      <c r="Q1239" s="44"/>
      <c r="R1239" s="44"/>
      <c r="S1239" s="44"/>
      <c r="T1239" s="44"/>
      <c r="U1239" s="44"/>
      <c r="V1239" s="44"/>
      <c r="W1239" s="44"/>
      <c r="X1239" s="44"/>
      <c r="Y1239" s="44"/>
      <c r="Z1239" s="44"/>
      <c r="AA1239" s="44"/>
      <c r="AB1239" s="44"/>
      <c r="AC1239" s="44"/>
      <c r="AD1239" s="44"/>
      <c r="AE1239" s="44"/>
      <c r="AF1239" s="44"/>
    </row>
    <row r="1240" spans="1:32" x14ac:dyDescent="0.3">
      <c r="A1240" s="38" t="s">
        <v>296</v>
      </c>
      <c r="B1240" s="38" t="s">
        <v>174</v>
      </c>
      <c r="C1240" s="38" t="s">
        <v>267</v>
      </c>
      <c r="D1240" s="39" t="s">
        <v>180</v>
      </c>
      <c r="E1240" s="39" t="s">
        <v>177</v>
      </c>
      <c r="F1240" s="38" t="s">
        <v>133</v>
      </c>
      <c r="G1240" s="38" t="s">
        <v>130</v>
      </c>
      <c r="H1240" s="44">
        <v>0</v>
      </c>
      <c r="I1240" s="44">
        <v>0</v>
      </c>
      <c r="J1240" s="44"/>
      <c r="K1240" s="44"/>
      <c r="L1240" s="44"/>
      <c r="M1240" s="44"/>
      <c r="N1240" s="44"/>
      <c r="O1240" s="44"/>
      <c r="P1240" s="44"/>
      <c r="Q1240" s="44"/>
      <c r="R1240" s="44"/>
      <c r="S1240" s="44"/>
      <c r="T1240" s="44"/>
      <c r="U1240" s="44"/>
      <c r="V1240" s="44"/>
      <c r="W1240" s="44"/>
      <c r="X1240" s="44"/>
      <c r="Y1240" s="44"/>
      <c r="Z1240" s="44"/>
      <c r="AA1240" s="44"/>
      <c r="AB1240" s="44"/>
      <c r="AC1240" s="44"/>
      <c r="AD1240" s="44"/>
      <c r="AE1240" s="44"/>
      <c r="AF1240" s="44"/>
    </row>
    <row r="1241" spans="1:32" x14ac:dyDescent="0.3">
      <c r="A1241" s="38" t="s">
        <v>296</v>
      </c>
      <c r="B1241" s="38" t="s">
        <v>174</v>
      </c>
      <c r="C1241" s="38" t="s">
        <v>267</v>
      </c>
      <c r="D1241" s="39" t="s">
        <v>180</v>
      </c>
      <c r="E1241" s="39" t="s">
        <v>177</v>
      </c>
      <c r="F1241" s="38" t="s">
        <v>134</v>
      </c>
      <c r="G1241" s="38" t="s">
        <v>130</v>
      </c>
      <c r="H1241" s="44">
        <v>406</v>
      </c>
      <c r="I1241" s="44">
        <v>406</v>
      </c>
      <c r="J1241" s="44"/>
      <c r="K1241" s="44"/>
      <c r="L1241" s="44"/>
      <c r="M1241" s="44"/>
      <c r="N1241" s="44"/>
      <c r="O1241" s="44"/>
      <c r="P1241" s="44"/>
      <c r="Q1241" s="44"/>
      <c r="R1241" s="44"/>
      <c r="S1241" s="44"/>
      <c r="T1241" s="44"/>
      <c r="U1241" s="44"/>
      <c r="V1241" s="44"/>
      <c r="W1241" s="44"/>
      <c r="X1241" s="44"/>
      <c r="Y1241" s="44"/>
      <c r="Z1241" s="44"/>
      <c r="AA1241" s="44"/>
      <c r="AB1241" s="44"/>
      <c r="AC1241" s="44"/>
      <c r="AD1241" s="44"/>
      <c r="AE1241" s="44"/>
      <c r="AF1241" s="44"/>
    </row>
    <row r="1242" spans="1:32" x14ac:dyDescent="0.3">
      <c r="A1242" s="38" t="s">
        <v>296</v>
      </c>
      <c r="B1242" s="38" t="s">
        <v>174</v>
      </c>
      <c r="C1242" s="38" t="s">
        <v>267</v>
      </c>
      <c r="D1242" s="39" t="s">
        <v>180</v>
      </c>
      <c r="E1242" s="39" t="s">
        <v>177</v>
      </c>
      <c r="F1242" s="38" t="s">
        <v>135</v>
      </c>
      <c r="G1242" s="38" t="s">
        <v>130</v>
      </c>
      <c r="H1242" s="44"/>
      <c r="I1242" s="44"/>
      <c r="J1242" s="44"/>
      <c r="K1242" s="44"/>
      <c r="L1242" s="44"/>
      <c r="M1242" s="44"/>
      <c r="N1242" s="44"/>
      <c r="O1242" s="44"/>
      <c r="P1242" s="44"/>
      <c r="Q1242" s="44"/>
      <c r="R1242" s="44"/>
      <c r="S1242" s="44"/>
      <c r="T1242" s="44"/>
      <c r="U1242" s="44"/>
      <c r="V1242" s="44"/>
      <c r="W1242" s="44"/>
      <c r="X1242" s="44"/>
      <c r="Y1242" s="44"/>
      <c r="Z1242" s="44"/>
      <c r="AA1242" s="44"/>
      <c r="AB1242" s="44"/>
      <c r="AC1242" s="44"/>
      <c r="AD1242" s="44"/>
      <c r="AE1242" s="44"/>
      <c r="AF1242" s="44"/>
    </row>
    <row r="1243" spans="1:32" x14ac:dyDescent="0.3">
      <c r="A1243" s="38" t="s">
        <v>296</v>
      </c>
      <c r="B1243" s="38" t="s">
        <v>174</v>
      </c>
      <c r="C1243" s="38" t="s">
        <v>267</v>
      </c>
      <c r="D1243" s="39" t="s">
        <v>180</v>
      </c>
      <c r="E1243" s="39" t="s">
        <v>177</v>
      </c>
      <c r="F1243" s="38" t="s">
        <v>136</v>
      </c>
      <c r="G1243" s="38" t="s">
        <v>130</v>
      </c>
      <c r="H1243" s="44">
        <f>SUM(I1243:AF1243)</f>
        <v>10944</v>
      </c>
      <c r="I1243" s="44">
        <f t="shared" ref="I1243:AF1243" si="285">IF(AND(ISBLANK(I1246) = TRUE,ISBLANK(I1245) = TRUE),I1244,I1245+I1246)</f>
        <v>0</v>
      </c>
      <c r="J1243" s="44">
        <f t="shared" si="285"/>
        <v>0</v>
      </c>
      <c r="K1243" s="44">
        <f t="shared" si="285"/>
        <v>0</v>
      </c>
      <c r="L1243" s="44">
        <f t="shared" si="285"/>
        <v>1152</v>
      </c>
      <c r="M1243" s="44">
        <f t="shared" si="285"/>
        <v>1152</v>
      </c>
      <c r="N1243" s="44">
        <f t="shared" si="285"/>
        <v>1152</v>
      </c>
      <c r="O1243" s="44">
        <f t="shared" si="285"/>
        <v>576</v>
      </c>
      <c r="P1243" s="44">
        <f t="shared" si="285"/>
        <v>576</v>
      </c>
      <c r="Q1243" s="44">
        <f t="shared" si="285"/>
        <v>576</v>
      </c>
      <c r="R1243" s="44">
        <f t="shared" si="285"/>
        <v>1152</v>
      </c>
      <c r="S1243" s="44">
        <f t="shared" si="285"/>
        <v>1152</v>
      </c>
      <c r="T1243" s="44">
        <f t="shared" si="285"/>
        <v>1152</v>
      </c>
      <c r="U1243" s="44">
        <f t="shared" si="285"/>
        <v>576</v>
      </c>
      <c r="V1243" s="44">
        <f t="shared" si="285"/>
        <v>576</v>
      </c>
      <c r="W1243" s="44">
        <f t="shared" si="285"/>
        <v>1152</v>
      </c>
      <c r="X1243" s="44">
        <f t="shared" si="285"/>
        <v>0</v>
      </c>
      <c r="Y1243" s="44">
        <f t="shared" si="285"/>
        <v>0</v>
      </c>
      <c r="Z1243" s="44">
        <f t="shared" si="285"/>
        <v>0</v>
      </c>
      <c r="AA1243" s="44">
        <f t="shared" si="285"/>
        <v>0</v>
      </c>
      <c r="AB1243" s="44">
        <f t="shared" si="285"/>
        <v>0</v>
      </c>
      <c r="AC1243" s="44">
        <f t="shared" si="285"/>
        <v>0</v>
      </c>
      <c r="AD1243" s="44">
        <f t="shared" si="285"/>
        <v>0</v>
      </c>
      <c r="AE1243" s="44">
        <f t="shared" si="285"/>
        <v>0</v>
      </c>
      <c r="AF1243" s="44">
        <f t="shared" si="285"/>
        <v>0</v>
      </c>
    </row>
    <row r="1244" spans="1:32" x14ac:dyDescent="0.3">
      <c r="A1244" s="38" t="s">
        <v>296</v>
      </c>
      <c r="B1244" s="38" t="s">
        <v>174</v>
      </c>
      <c r="C1244" s="38" t="s">
        <v>267</v>
      </c>
      <c r="D1244" s="39" t="s">
        <v>180</v>
      </c>
      <c r="E1244" s="39" t="s">
        <v>177</v>
      </c>
      <c r="F1244" s="38" t="s">
        <v>124</v>
      </c>
      <c r="G1244" s="38" t="s">
        <v>130</v>
      </c>
      <c r="H1244" s="44">
        <v>10944</v>
      </c>
      <c r="I1244" s="44"/>
      <c r="J1244" s="44"/>
      <c r="K1244" s="44"/>
      <c r="L1244" s="44">
        <v>1152</v>
      </c>
      <c r="M1244" s="44">
        <v>1152</v>
      </c>
      <c r="N1244" s="44">
        <v>1152</v>
      </c>
      <c r="O1244" s="44">
        <v>576</v>
      </c>
      <c r="P1244" s="44">
        <v>576</v>
      </c>
      <c r="Q1244" s="44">
        <v>576</v>
      </c>
      <c r="R1244" s="44">
        <v>1152</v>
      </c>
      <c r="S1244" s="44">
        <v>1152</v>
      </c>
      <c r="T1244" s="44">
        <v>1152</v>
      </c>
      <c r="U1244" s="44">
        <v>576</v>
      </c>
      <c r="V1244" s="44">
        <v>576</v>
      </c>
      <c r="W1244" s="44">
        <v>1152</v>
      </c>
      <c r="X1244" s="44"/>
      <c r="Y1244" s="44"/>
      <c r="Z1244" s="44"/>
      <c r="AA1244" s="44"/>
      <c r="AB1244" s="44"/>
      <c r="AC1244" s="44"/>
      <c r="AD1244" s="44"/>
      <c r="AE1244" s="44"/>
      <c r="AF1244" s="44"/>
    </row>
    <row r="1245" spans="1:32" x14ac:dyDescent="0.3">
      <c r="A1245" s="38" t="s">
        <v>296</v>
      </c>
      <c r="B1245" s="38" t="s">
        <v>174</v>
      </c>
      <c r="C1245" s="38" t="s">
        <v>267</v>
      </c>
      <c r="D1245" s="39" t="s">
        <v>180</v>
      </c>
      <c r="E1245" s="39" t="s">
        <v>177</v>
      </c>
      <c r="F1245" s="38" t="s">
        <v>137</v>
      </c>
      <c r="G1245" s="38" t="s">
        <v>130</v>
      </c>
      <c r="H1245" s="44">
        <f>SUM(I1245:AF1245)</f>
        <v>0</v>
      </c>
      <c r="I1245" s="44"/>
      <c r="J1245" s="44"/>
      <c r="K1245" s="44"/>
      <c r="L1245" s="44"/>
      <c r="M1245" s="44"/>
      <c r="N1245" s="44"/>
      <c r="O1245" s="44"/>
      <c r="P1245" s="44"/>
      <c r="Q1245" s="44"/>
      <c r="R1245" s="44"/>
      <c r="S1245" s="44"/>
      <c r="T1245" s="44"/>
      <c r="U1245" s="44"/>
      <c r="V1245" s="44"/>
      <c r="W1245" s="44"/>
      <c r="X1245" s="44"/>
      <c r="Y1245" s="44"/>
      <c r="Z1245" s="44"/>
      <c r="AA1245" s="44"/>
      <c r="AB1245" s="44"/>
      <c r="AC1245" s="44"/>
      <c r="AD1245" s="44"/>
      <c r="AE1245" s="44"/>
      <c r="AF1245" s="44"/>
    </row>
    <row r="1246" spans="1:32" x14ac:dyDescent="0.3">
      <c r="A1246" s="38" t="s">
        <v>296</v>
      </c>
      <c r="B1246" s="38" t="s">
        <v>174</v>
      </c>
      <c r="C1246" s="38" t="s">
        <v>267</v>
      </c>
      <c r="D1246" s="39" t="s">
        <v>180</v>
      </c>
      <c r="E1246" s="39" t="s">
        <v>177</v>
      </c>
      <c r="F1246" s="38" t="s">
        <v>138</v>
      </c>
      <c r="G1246" s="38" t="s">
        <v>130</v>
      </c>
      <c r="H1246" s="44">
        <f>SUM(I1246:AF1246)</f>
        <v>0</v>
      </c>
      <c r="I1246" s="44"/>
      <c r="J1246" s="44"/>
      <c r="K1246" s="44"/>
      <c r="L1246" s="44"/>
      <c r="M1246" s="44"/>
      <c r="N1246" s="44"/>
      <c r="O1246" s="44"/>
      <c r="P1246" s="44"/>
      <c r="Q1246" s="44"/>
      <c r="R1246" s="44"/>
      <c r="S1246" s="44"/>
      <c r="T1246" s="44"/>
      <c r="U1246" s="44"/>
      <c r="V1246" s="44"/>
      <c r="W1246" s="44"/>
      <c r="X1246" s="44"/>
      <c r="Y1246" s="44"/>
      <c r="Z1246" s="44"/>
      <c r="AA1246" s="44"/>
      <c r="AB1246" s="44"/>
      <c r="AC1246" s="44"/>
      <c r="AD1246" s="44"/>
      <c r="AE1246" s="44"/>
      <c r="AF1246" s="44"/>
    </row>
    <row r="1247" spans="1:32" x14ac:dyDescent="0.3">
      <c r="A1247" s="38" t="s">
        <v>296</v>
      </c>
      <c r="B1247" s="38" t="s">
        <v>174</v>
      </c>
      <c r="C1247" s="38" t="s">
        <v>267</v>
      </c>
      <c r="D1247" s="39" t="s">
        <v>180</v>
      </c>
      <c r="E1247" s="39" t="s">
        <v>177</v>
      </c>
      <c r="F1247" s="38" t="s">
        <v>139</v>
      </c>
      <c r="G1247" s="38" t="s">
        <v>130</v>
      </c>
      <c r="H1247" s="44">
        <v>10944</v>
      </c>
      <c r="I1247" s="44"/>
      <c r="J1247" s="44"/>
      <c r="K1247" s="44"/>
      <c r="L1247" s="44">
        <v>1152</v>
      </c>
      <c r="M1247" s="44">
        <v>1152</v>
      </c>
      <c r="N1247" s="44">
        <v>1152</v>
      </c>
      <c r="O1247" s="44">
        <v>576</v>
      </c>
      <c r="P1247" s="44">
        <v>576</v>
      </c>
      <c r="Q1247" s="44">
        <v>576</v>
      </c>
      <c r="R1247" s="44">
        <v>1152</v>
      </c>
      <c r="S1247" s="44">
        <v>1152</v>
      </c>
      <c r="T1247" s="44">
        <v>1152</v>
      </c>
      <c r="U1247" s="44">
        <v>576</v>
      </c>
      <c r="V1247" s="44">
        <v>576</v>
      </c>
      <c r="W1247" s="44">
        <v>1152</v>
      </c>
      <c r="X1247" s="44"/>
      <c r="Y1247" s="44"/>
      <c r="Z1247" s="44"/>
      <c r="AA1247" s="44"/>
      <c r="AB1247" s="44"/>
      <c r="AC1247" s="44"/>
      <c r="AD1247" s="44"/>
      <c r="AE1247" s="44"/>
      <c r="AF1247" s="44"/>
    </row>
    <row r="1248" spans="1:32" x14ac:dyDescent="0.3">
      <c r="A1248" s="38" t="s">
        <v>296</v>
      </c>
      <c r="B1248" s="38" t="s">
        <v>174</v>
      </c>
      <c r="C1248" s="38" t="s">
        <v>267</v>
      </c>
      <c r="D1248" s="39" t="s">
        <v>180</v>
      </c>
      <c r="E1248" s="39" t="s">
        <v>177</v>
      </c>
      <c r="F1248" s="38" t="s">
        <v>140</v>
      </c>
      <c r="G1248" s="38" t="s">
        <v>130</v>
      </c>
      <c r="H1248" s="44"/>
      <c r="I1248" s="44">
        <f>I1243-(I1238+I1237)+(I1242+I1241+I1240+I1239)</f>
        <v>-966</v>
      </c>
      <c r="J1248" s="44">
        <f t="shared" ref="J1248:AF1248" si="286">I1248+J1243-J1238</f>
        <v>-2789</v>
      </c>
      <c r="K1248" s="44">
        <f t="shared" si="286"/>
        <v>-4409</v>
      </c>
      <c r="L1248" s="44">
        <f t="shared" si="286"/>
        <v>-4625</v>
      </c>
      <c r="M1248" s="44">
        <f t="shared" si="286"/>
        <v>-5409</v>
      </c>
      <c r="N1248" s="44">
        <f t="shared" si="286"/>
        <v>-6256</v>
      </c>
      <c r="O1248" s="44">
        <f t="shared" si="286"/>
        <v>-7681</v>
      </c>
      <c r="P1248" s="44">
        <f t="shared" si="286"/>
        <v>-9115</v>
      </c>
      <c r="Q1248" s="44">
        <f t="shared" si="286"/>
        <v>-10542</v>
      </c>
      <c r="R1248" s="44">
        <f t="shared" si="286"/>
        <v>-11386</v>
      </c>
      <c r="S1248" s="44">
        <f t="shared" si="286"/>
        <v>-12228</v>
      </c>
      <c r="T1248" s="44">
        <f t="shared" si="286"/>
        <v>-13068</v>
      </c>
      <c r="U1248" s="44">
        <f t="shared" si="286"/>
        <v>-14400</v>
      </c>
      <c r="V1248" s="44">
        <f t="shared" si="286"/>
        <v>-15215</v>
      </c>
      <c r="W1248" s="44">
        <f t="shared" si="286"/>
        <v>-15453</v>
      </c>
      <c r="X1248" s="44">
        <f t="shared" si="286"/>
        <v>-16863</v>
      </c>
      <c r="Y1248" s="44">
        <f t="shared" si="286"/>
        <v>-18279</v>
      </c>
      <c r="Z1248" s="44">
        <f t="shared" si="286"/>
        <v>-20020</v>
      </c>
      <c r="AA1248" s="44">
        <f t="shared" si="286"/>
        <v>-21892</v>
      </c>
      <c r="AB1248" s="44">
        <f t="shared" si="286"/>
        <v>-23703</v>
      </c>
      <c r="AC1248" s="44">
        <f t="shared" si="286"/>
        <v>-25494</v>
      </c>
      <c r="AD1248" s="44">
        <f t="shared" si="286"/>
        <v>-26604</v>
      </c>
      <c r="AE1248" s="44">
        <f t="shared" si="286"/>
        <v>-27441</v>
      </c>
      <c r="AF1248" s="44">
        <f t="shared" si="286"/>
        <v>-28278</v>
      </c>
    </row>
    <row r="1249" spans="1:32" ht="15" thickBot="1" x14ac:dyDescent="0.35">
      <c r="A1249" s="40" t="s">
        <v>296</v>
      </c>
      <c r="B1249" s="40" t="s">
        <v>174</v>
      </c>
      <c r="C1249" s="40" t="s">
        <v>267</v>
      </c>
      <c r="D1249" s="41" t="s">
        <v>180</v>
      </c>
      <c r="E1249" s="41" t="s">
        <v>177</v>
      </c>
      <c r="F1249" s="40" t="s">
        <v>141</v>
      </c>
      <c r="G1249" s="40" t="s">
        <v>130</v>
      </c>
      <c r="H1249" s="45"/>
      <c r="I1249" s="45">
        <f>I1243-I1247</f>
        <v>0</v>
      </c>
      <c r="J1249" s="45">
        <f t="shared" ref="J1249:AF1249" si="287">I1249+J1243-J1247</f>
        <v>0</v>
      </c>
      <c r="K1249" s="45">
        <f t="shared" si="287"/>
        <v>0</v>
      </c>
      <c r="L1249" s="45">
        <f t="shared" si="287"/>
        <v>0</v>
      </c>
      <c r="M1249" s="45">
        <f t="shared" si="287"/>
        <v>0</v>
      </c>
      <c r="N1249" s="45">
        <f t="shared" si="287"/>
        <v>0</v>
      </c>
      <c r="O1249" s="45">
        <f t="shared" si="287"/>
        <v>0</v>
      </c>
      <c r="P1249" s="45">
        <f t="shared" si="287"/>
        <v>0</v>
      </c>
      <c r="Q1249" s="45">
        <f t="shared" si="287"/>
        <v>0</v>
      </c>
      <c r="R1249" s="45">
        <f t="shared" si="287"/>
        <v>0</v>
      </c>
      <c r="S1249" s="45">
        <f t="shared" si="287"/>
        <v>0</v>
      </c>
      <c r="T1249" s="45">
        <f t="shared" si="287"/>
        <v>0</v>
      </c>
      <c r="U1249" s="45">
        <f t="shared" si="287"/>
        <v>0</v>
      </c>
      <c r="V1249" s="45">
        <f t="shared" si="287"/>
        <v>0</v>
      </c>
      <c r="W1249" s="45">
        <f t="shared" si="287"/>
        <v>0</v>
      </c>
      <c r="X1249" s="45">
        <f t="shared" si="287"/>
        <v>0</v>
      </c>
      <c r="Y1249" s="45">
        <f t="shared" si="287"/>
        <v>0</v>
      </c>
      <c r="Z1249" s="45">
        <f t="shared" si="287"/>
        <v>0</v>
      </c>
      <c r="AA1249" s="45">
        <f t="shared" si="287"/>
        <v>0</v>
      </c>
      <c r="AB1249" s="45">
        <f t="shared" si="287"/>
        <v>0</v>
      </c>
      <c r="AC1249" s="45">
        <f t="shared" si="287"/>
        <v>0</v>
      </c>
      <c r="AD1249" s="45">
        <f t="shared" si="287"/>
        <v>0</v>
      </c>
      <c r="AE1249" s="45">
        <f t="shared" si="287"/>
        <v>0</v>
      </c>
      <c r="AF1249" s="45">
        <f t="shared" si="287"/>
        <v>0</v>
      </c>
    </row>
    <row r="1250" spans="1:32" x14ac:dyDescent="0.3">
      <c r="A1250" s="38" t="s">
        <v>297</v>
      </c>
      <c r="B1250" s="38" t="s">
        <v>174</v>
      </c>
      <c r="C1250" s="38" t="s">
        <v>298</v>
      </c>
      <c r="D1250" s="39" t="s">
        <v>198</v>
      </c>
      <c r="E1250" s="39" t="s">
        <v>195</v>
      </c>
      <c r="F1250" s="38" t="s">
        <v>129</v>
      </c>
      <c r="G1250" s="38" t="s">
        <v>130</v>
      </c>
      <c r="H1250" s="44">
        <v>0</v>
      </c>
      <c r="I1250" s="44">
        <v>0</v>
      </c>
      <c r="J1250" s="44"/>
      <c r="K1250" s="44"/>
      <c r="L1250" s="44"/>
      <c r="M1250" s="44"/>
      <c r="N1250" s="44"/>
      <c r="O1250" s="44"/>
      <c r="P1250" s="44"/>
      <c r="Q1250" s="44"/>
      <c r="R1250" s="44"/>
      <c r="S1250" s="44"/>
      <c r="T1250" s="44"/>
      <c r="U1250" s="44"/>
      <c r="V1250" s="44"/>
      <c r="W1250" s="44"/>
      <c r="X1250" s="44"/>
      <c r="Y1250" s="44"/>
      <c r="Z1250" s="44"/>
      <c r="AA1250" s="44"/>
      <c r="AB1250" s="44"/>
      <c r="AC1250" s="44"/>
      <c r="AD1250" s="44"/>
      <c r="AE1250" s="44"/>
      <c r="AF1250" s="44"/>
    </row>
    <row r="1251" spans="1:32" x14ac:dyDescent="0.3">
      <c r="A1251" s="38" t="s">
        <v>297</v>
      </c>
      <c r="B1251" s="38" t="s">
        <v>174</v>
      </c>
      <c r="C1251" s="38" t="s">
        <v>298</v>
      </c>
      <c r="D1251" s="39" t="s">
        <v>198</v>
      </c>
      <c r="E1251" s="39" t="s">
        <v>195</v>
      </c>
      <c r="F1251" s="38" t="s">
        <v>131</v>
      </c>
      <c r="G1251" s="38" t="s">
        <v>130</v>
      </c>
      <c r="H1251" s="44">
        <v>1806</v>
      </c>
      <c r="I1251" s="44">
        <v>0</v>
      </c>
      <c r="J1251" s="44">
        <v>0</v>
      </c>
      <c r="K1251" s="44">
        <v>0</v>
      </c>
      <c r="L1251" s="44">
        <v>0</v>
      </c>
      <c r="M1251" s="44">
        <v>0</v>
      </c>
      <c r="N1251" s="44">
        <v>0</v>
      </c>
      <c r="O1251" s="44">
        <v>0</v>
      </c>
      <c r="P1251" s="44">
        <v>0</v>
      </c>
      <c r="Q1251" s="44">
        <v>0</v>
      </c>
      <c r="R1251" s="44">
        <v>0</v>
      </c>
      <c r="S1251" s="44">
        <v>0</v>
      </c>
      <c r="T1251" s="44">
        <v>0</v>
      </c>
      <c r="U1251" s="44">
        <v>0</v>
      </c>
      <c r="V1251" s="44">
        <v>0</v>
      </c>
      <c r="W1251" s="44">
        <v>0</v>
      </c>
      <c r="X1251" s="44">
        <v>0</v>
      </c>
      <c r="Y1251" s="44">
        <v>0</v>
      </c>
      <c r="Z1251" s="44">
        <v>0</v>
      </c>
      <c r="AA1251" s="44">
        <v>0</v>
      </c>
      <c r="AB1251" s="44">
        <v>0</v>
      </c>
      <c r="AC1251" s="44">
        <v>0</v>
      </c>
      <c r="AD1251" s="44">
        <v>0</v>
      </c>
      <c r="AE1251" s="44">
        <v>0</v>
      </c>
      <c r="AF1251" s="44">
        <v>1806</v>
      </c>
    </row>
    <row r="1252" spans="1:32" x14ac:dyDescent="0.3">
      <c r="A1252" s="38" t="s">
        <v>297</v>
      </c>
      <c r="B1252" s="38" t="s">
        <v>174</v>
      </c>
      <c r="C1252" s="38" t="s">
        <v>298</v>
      </c>
      <c r="D1252" s="39" t="s">
        <v>198</v>
      </c>
      <c r="E1252" s="39" t="s">
        <v>195</v>
      </c>
      <c r="F1252" s="38" t="s">
        <v>132</v>
      </c>
      <c r="G1252" s="38" t="s">
        <v>130</v>
      </c>
      <c r="H1252" s="44"/>
      <c r="I1252" s="44"/>
      <c r="J1252" s="44"/>
      <c r="K1252" s="44"/>
      <c r="L1252" s="44"/>
      <c r="M1252" s="44"/>
      <c r="N1252" s="44"/>
      <c r="O1252" s="44"/>
      <c r="P1252" s="44"/>
      <c r="Q1252" s="44"/>
      <c r="R1252" s="44"/>
      <c r="S1252" s="44"/>
      <c r="T1252" s="44"/>
      <c r="U1252" s="44"/>
      <c r="V1252" s="44"/>
      <c r="W1252" s="44"/>
      <c r="X1252" s="44"/>
      <c r="Y1252" s="44"/>
      <c r="Z1252" s="44"/>
      <c r="AA1252" s="44"/>
      <c r="AB1252" s="44"/>
      <c r="AC1252" s="44"/>
      <c r="AD1252" s="44"/>
      <c r="AE1252" s="44"/>
      <c r="AF1252" s="44"/>
    </row>
    <row r="1253" spans="1:32" x14ac:dyDescent="0.3">
      <c r="A1253" s="38" t="s">
        <v>297</v>
      </c>
      <c r="B1253" s="38" t="s">
        <v>174</v>
      </c>
      <c r="C1253" s="38" t="s">
        <v>298</v>
      </c>
      <c r="D1253" s="39" t="s">
        <v>198</v>
      </c>
      <c r="E1253" s="39" t="s">
        <v>195</v>
      </c>
      <c r="F1253" s="38" t="s">
        <v>133</v>
      </c>
      <c r="G1253" s="38" t="s">
        <v>130</v>
      </c>
      <c r="H1253" s="44"/>
      <c r="I1253" s="44"/>
      <c r="J1253" s="44"/>
      <c r="K1253" s="44"/>
      <c r="L1253" s="44"/>
      <c r="M1253" s="44"/>
      <c r="N1253" s="44"/>
      <c r="O1253" s="44"/>
      <c r="P1253" s="44"/>
      <c r="Q1253" s="44"/>
      <c r="R1253" s="44"/>
      <c r="S1253" s="44"/>
      <c r="T1253" s="44"/>
      <c r="U1253" s="44"/>
      <c r="V1253" s="44"/>
      <c r="W1253" s="44"/>
      <c r="X1253" s="44"/>
      <c r="Y1253" s="44"/>
      <c r="Z1253" s="44"/>
      <c r="AA1253" s="44"/>
      <c r="AB1253" s="44"/>
      <c r="AC1253" s="44"/>
      <c r="AD1253" s="44"/>
      <c r="AE1253" s="44"/>
      <c r="AF1253" s="44"/>
    </row>
    <row r="1254" spans="1:32" x14ac:dyDescent="0.3">
      <c r="A1254" s="38" t="s">
        <v>297</v>
      </c>
      <c r="B1254" s="38" t="s">
        <v>174</v>
      </c>
      <c r="C1254" s="38" t="s">
        <v>298</v>
      </c>
      <c r="D1254" s="39" t="s">
        <v>198</v>
      </c>
      <c r="E1254" s="39" t="s">
        <v>195</v>
      </c>
      <c r="F1254" s="38" t="s">
        <v>134</v>
      </c>
      <c r="G1254" s="38" t="s">
        <v>130</v>
      </c>
      <c r="H1254" s="44"/>
      <c r="I1254" s="44"/>
      <c r="J1254" s="44"/>
      <c r="K1254" s="44"/>
      <c r="L1254" s="44"/>
      <c r="M1254" s="44"/>
      <c r="N1254" s="44"/>
      <c r="O1254" s="44"/>
      <c r="P1254" s="44"/>
      <c r="Q1254" s="44"/>
      <c r="R1254" s="44"/>
      <c r="S1254" s="44"/>
      <c r="T1254" s="44"/>
      <c r="U1254" s="44"/>
      <c r="V1254" s="44"/>
      <c r="W1254" s="44"/>
      <c r="X1254" s="44"/>
      <c r="Y1254" s="44"/>
      <c r="Z1254" s="44"/>
      <c r="AA1254" s="44"/>
      <c r="AB1254" s="44"/>
      <c r="AC1254" s="44"/>
      <c r="AD1254" s="44"/>
      <c r="AE1254" s="44"/>
      <c r="AF1254" s="44"/>
    </row>
    <row r="1255" spans="1:32" x14ac:dyDescent="0.3">
      <c r="A1255" s="38" t="s">
        <v>297</v>
      </c>
      <c r="B1255" s="38" t="s">
        <v>174</v>
      </c>
      <c r="C1255" s="38" t="s">
        <v>298</v>
      </c>
      <c r="D1255" s="39" t="s">
        <v>198</v>
      </c>
      <c r="E1255" s="39" t="s">
        <v>195</v>
      </c>
      <c r="F1255" s="38" t="s">
        <v>135</v>
      </c>
      <c r="G1255" s="38" t="s">
        <v>130</v>
      </c>
      <c r="H1255" s="44"/>
      <c r="I1255" s="44"/>
      <c r="J1255" s="44"/>
      <c r="K1255" s="44"/>
      <c r="L1255" s="44"/>
      <c r="M1255" s="44"/>
      <c r="N1255" s="44"/>
      <c r="O1255" s="44"/>
      <c r="P1255" s="44"/>
      <c r="Q1255" s="44"/>
      <c r="R1255" s="44"/>
      <c r="S1255" s="44"/>
      <c r="T1255" s="44"/>
      <c r="U1255" s="44"/>
      <c r="V1255" s="44"/>
      <c r="W1255" s="44"/>
      <c r="X1255" s="44"/>
      <c r="Y1255" s="44"/>
      <c r="Z1255" s="44"/>
      <c r="AA1255" s="44"/>
      <c r="AB1255" s="44"/>
      <c r="AC1255" s="44"/>
      <c r="AD1255" s="44"/>
      <c r="AE1255" s="44"/>
      <c r="AF1255" s="44"/>
    </row>
    <row r="1256" spans="1:32" x14ac:dyDescent="0.3">
      <c r="A1256" s="38" t="s">
        <v>297</v>
      </c>
      <c r="B1256" s="38" t="s">
        <v>174</v>
      </c>
      <c r="C1256" s="38" t="s">
        <v>298</v>
      </c>
      <c r="D1256" s="39" t="s">
        <v>198</v>
      </c>
      <c r="E1256" s="39" t="s">
        <v>195</v>
      </c>
      <c r="F1256" s="38" t="s">
        <v>136</v>
      </c>
      <c r="G1256" s="38" t="s">
        <v>130</v>
      </c>
      <c r="H1256" s="44">
        <f>SUM(I1256:AF1256)</f>
        <v>0</v>
      </c>
      <c r="I1256" s="44">
        <f t="shared" ref="I1256:AF1256" si="288">IF(AND(ISBLANK(I1259) = TRUE,ISBLANK(I1258) = TRUE),I1257,I1258+I1259)</f>
        <v>0</v>
      </c>
      <c r="J1256" s="44">
        <f t="shared" si="288"/>
        <v>0</v>
      </c>
      <c r="K1256" s="44">
        <f t="shared" si="288"/>
        <v>0</v>
      </c>
      <c r="L1256" s="44">
        <f t="shared" si="288"/>
        <v>0</v>
      </c>
      <c r="M1256" s="44">
        <f t="shared" si="288"/>
        <v>0</v>
      </c>
      <c r="N1256" s="44">
        <f t="shared" si="288"/>
        <v>0</v>
      </c>
      <c r="O1256" s="44">
        <f t="shared" si="288"/>
        <v>0</v>
      </c>
      <c r="P1256" s="44">
        <f t="shared" si="288"/>
        <v>0</v>
      </c>
      <c r="Q1256" s="44">
        <f t="shared" si="288"/>
        <v>0</v>
      </c>
      <c r="R1256" s="44">
        <f t="shared" si="288"/>
        <v>0</v>
      </c>
      <c r="S1256" s="44">
        <f t="shared" si="288"/>
        <v>0</v>
      </c>
      <c r="T1256" s="44">
        <f t="shared" si="288"/>
        <v>0</v>
      </c>
      <c r="U1256" s="44">
        <f t="shared" si="288"/>
        <v>0</v>
      </c>
      <c r="V1256" s="44">
        <f t="shared" si="288"/>
        <v>0</v>
      </c>
      <c r="W1256" s="44">
        <f t="shared" si="288"/>
        <v>0</v>
      </c>
      <c r="X1256" s="44">
        <f t="shared" si="288"/>
        <v>0</v>
      </c>
      <c r="Y1256" s="44">
        <f t="shared" si="288"/>
        <v>0</v>
      </c>
      <c r="Z1256" s="44">
        <f t="shared" si="288"/>
        <v>0</v>
      </c>
      <c r="AA1256" s="44">
        <f t="shared" si="288"/>
        <v>0</v>
      </c>
      <c r="AB1256" s="44">
        <f t="shared" si="288"/>
        <v>0</v>
      </c>
      <c r="AC1256" s="44">
        <f t="shared" si="288"/>
        <v>0</v>
      </c>
      <c r="AD1256" s="44">
        <f t="shared" si="288"/>
        <v>0</v>
      </c>
      <c r="AE1256" s="44">
        <f t="shared" si="288"/>
        <v>0</v>
      </c>
      <c r="AF1256" s="44">
        <f t="shared" si="288"/>
        <v>0</v>
      </c>
    </row>
    <row r="1257" spans="1:32" x14ac:dyDescent="0.3">
      <c r="A1257" s="38" t="s">
        <v>297</v>
      </c>
      <c r="B1257" s="38" t="s">
        <v>174</v>
      </c>
      <c r="C1257" s="38" t="s">
        <v>298</v>
      </c>
      <c r="D1257" s="39" t="s">
        <v>198</v>
      </c>
      <c r="E1257" s="39" t="s">
        <v>195</v>
      </c>
      <c r="F1257" s="38" t="s">
        <v>124</v>
      </c>
      <c r="G1257" s="38" t="s">
        <v>130</v>
      </c>
      <c r="H1257" s="44"/>
      <c r="I1257" s="44"/>
      <c r="J1257" s="44"/>
      <c r="K1257" s="44"/>
      <c r="L1257" s="44"/>
      <c r="M1257" s="44"/>
      <c r="N1257" s="44"/>
      <c r="O1257" s="44"/>
      <c r="P1257" s="44"/>
      <c r="Q1257" s="44"/>
      <c r="R1257" s="44"/>
      <c r="S1257" s="44"/>
      <c r="T1257" s="44"/>
      <c r="U1257" s="44"/>
      <c r="V1257" s="44"/>
      <c r="W1257" s="44"/>
      <c r="X1257" s="44"/>
      <c r="Y1257" s="44"/>
      <c r="Z1257" s="44"/>
      <c r="AA1257" s="44"/>
      <c r="AB1257" s="44"/>
      <c r="AC1257" s="44"/>
      <c r="AD1257" s="44"/>
      <c r="AE1257" s="44"/>
      <c r="AF1257" s="44"/>
    </row>
    <row r="1258" spans="1:32" x14ac:dyDescent="0.3">
      <c r="A1258" s="38" t="s">
        <v>297</v>
      </c>
      <c r="B1258" s="38" t="s">
        <v>174</v>
      </c>
      <c r="C1258" s="38" t="s">
        <v>298</v>
      </c>
      <c r="D1258" s="39" t="s">
        <v>198</v>
      </c>
      <c r="E1258" s="39" t="s">
        <v>195</v>
      </c>
      <c r="F1258" s="38" t="s">
        <v>137</v>
      </c>
      <c r="G1258" s="38" t="s">
        <v>130</v>
      </c>
      <c r="H1258" s="44">
        <f>SUM(I1258:AF1258)</f>
        <v>0</v>
      </c>
      <c r="I1258" s="44"/>
      <c r="J1258" s="44"/>
      <c r="K1258" s="44"/>
      <c r="L1258" s="44"/>
      <c r="M1258" s="44"/>
      <c r="N1258" s="44"/>
      <c r="O1258" s="44"/>
      <c r="P1258" s="44"/>
      <c r="Q1258" s="44"/>
      <c r="R1258" s="44"/>
      <c r="S1258" s="44"/>
      <c r="T1258" s="44"/>
      <c r="U1258" s="44"/>
      <c r="V1258" s="44"/>
      <c r="W1258" s="44"/>
      <c r="X1258" s="44"/>
      <c r="Y1258" s="44"/>
      <c r="Z1258" s="44"/>
      <c r="AA1258" s="44"/>
      <c r="AB1258" s="44"/>
      <c r="AC1258" s="44"/>
      <c r="AD1258" s="44"/>
      <c r="AE1258" s="44"/>
      <c r="AF1258" s="44"/>
    </row>
    <row r="1259" spans="1:32" x14ac:dyDescent="0.3">
      <c r="A1259" s="38" t="s">
        <v>297</v>
      </c>
      <c r="B1259" s="38" t="s">
        <v>174</v>
      </c>
      <c r="C1259" s="38" t="s">
        <v>298</v>
      </c>
      <c r="D1259" s="39" t="s">
        <v>198</v>
      </c>
      <c r="E1259" s="39" t="s">
        <v>195</v>
      </c>
      <c r="F1259" s="38" t="s">
        <v>138</v>
      </c>
      <c r="G1259" s="38" t="s">
        <v>130</v>
      </c>
      <c r="H1259" s="44">
        <f>SUM(I1259:AF1259)</f>
        <v>0</v>
      </c>
      <c r="I1259" s="44"/>
      <c r="J1259" s="44"/>
      <c r="K1259" s="44"/>
      <c r="L1259" s="44"/>
      <c r="M1259" s="44"/>
      <c r="N1259" s="44"/>
      <c r="O1259" s="44"/>
      <c r="P1259" s="44"/>
      <c r="Q1259" s="44"/>
      <c r="R1259" s="44"/>
      <c r="S1259" s="44"/>
      <c r="T1259" s="44"/>
      <c r="U1259" s="44"/>
      <c r="V1259" s="44"/>
      <c r="W1259" s="44"/>
      <c r="X1259" s="44"/>
      <c r="Y1259" s="44"/>
      <c r="Z1259" s="44"/>
      <c r="AA1259" s="44"/>
      <c r="AB1259" s="44"/>
      <c r="AC1259" s="44"/>
      <c r="AD1259" s="44"/>
      <c r="AE1259" s="44"/>
      <c r="AF1259" s="44"/>
    </row>
    <row r="1260" spans="1:32" x14ac:dyDescent="0.3">
      <c r="A1260" s="38" t="s">
        <v>297</v>
      </c>
      <c r="B1260" s="38" t="s">
        <v>174</v>
      </c>
      <c r="C1260" s="38" t="s">
        <v>298</v>
      </c>
      <c r="D1260" s="39" t="s">
        <v>198</v>
      </c>
      <c r="E1260" s="39" t="s">
        <v>195</v>
      </c>
      <c r="F1260" s="38" t="s">
        <v>139</v>
      </c>
      <c r="G1260" s="38" t="s">
        <v>130</v>
      </c>
      <c r="H1260" s="44"/>
      <c r="I1260" s="44"/>
      <c r="J1260" s="44"/>
      <c r="K1260" s="44"/>
      <c r="L1260" s="44"/>
      <c r="M1260" s="44"/>
      <c r="N1260" s="44"/>
      <c r="O1260" s="44"/>
      <c r="P1260" s="44"/>
      <c r="Q1260" s="44"/>
      <c r="R1260" s="44"/>
      <c r="S1260" s="44"/>
      <c r="T1260" s="44"/>
      <c r="U1260" s="44"/>
      <c r="V1260" s="44"/>
      <c r="W1260" s="44"/>
      <c r="X1260" s="44"/>
      <c r="Y1260" s="44"/>
      <c r="Z1260" s="44"/>
      <c r="AA1260" s="44"/>
      <c r="AB1260" s="44"/>
      <c r="AC1260" s="44"/>
      <c r="AD1260" s="44"/>
      <c r="AE1260" s="44"/>
      <c r="AF1260" s="44"/>
    </row>
    <row r="1261" spans="1:32" x14ac:dyDescent="0.3">
      <c r="A1261" s="38" t="s">
        <v>297</v>
      </c>
      <c r="B1261" s="38" t="s">
        <v>174</v>
      </c>
      <c r="C1261" s="38" t="s">
        <v>298</v>
      </c>
      <c r="D1261" s="39" t="s">
        <v>198</v>
      </c>
      <c r="E1261" s="39" t="s">
        <v>195</v>
      </c>
      <c r="F1261" s="38" t="s">
        <v>140</v>
      </c>
      <c r="G1261" s="38" t="s">
        <v>130</v>
      </c>
      <c r="H1261" s="44"/>
      <c r="I1261" s="44">
        <f>I1256-(I1251+I1250)+(I1255+I1254+I1253+I1252)</f>
        <v>0</v>
      </c>
      <c r="J1261" s="44">
        <f t="shared" ref="J1261:AF1261" si="289">I1261+J1256-J1251</f>
        <v>0</v>
      </c>
      <c r="K1261" s="44">
        <f t="shared" si="289"/>
        <v>0</v>
      </c>
      <c r="L1261" s="44">
        <f t="shared" si="289"/>
        <v>0</v>
      </c>
      <c r="M1261" s="44">
        <f t="shared" si="289"/>
        <v>0</v>
      </c>
      <c r="N1261" s="44">
        <f t="shared" si="289"/>
        <v>0</v>
      </c>
      <c r="O1261" s="44">
        <f t="shared" si="289"/>
        <v>0</v>
      </c>
      <c r="P1261" s="44">
        <f t="shared" si="289"/>
        <v>0</v>
      </c>
      <c r="Q1261" s="44">
        <f t="shared" si="289"/>
        <v>0</v>
      </c>
      <c r="R1261" s="44">
        <f t="shared" si="289"/>
        <v>0</v>
      </c>
      <c r="S1261" s="44">
        <f t="shared" si="289"/>
        <v>0</v>
      </c>
      <c r="T1261" s="44">
        <f t="shared" si="289"/>
        <v>0</v>
      </c>
      <c r="U1261" s="44">
        <f t="shared" si="289"/>
        <v>0</v>
      </c>
      <c r="V1261" s="44">
        <f t="shared" si="289"/>
        <v>0</v>
      </c>
      <c r="W1261" s="44">
        <f t="shared" si="289"/>
        <v>0</v>
      </c>
      <c r="X1261" s="44">
        <f t="shared" si="289"/>
        <v>0</v>
      </c>
      <c r="Y1261" s="44">
        <f t="shared" si="289"/>
        <v>0</v>
      </c>
      <c r="Z1261" s="44">
        <f t="shared" si="289"/>
        <v>0</v>
      </c>
      <c r="AA1261" s="44">
        <f t="shared" si="289"/>
        <v>0</v>
      </c>
      <c r="AB1261" s="44">
        <f t="shared" si="289"/>
        <v>0</v>
      </c>
      <c r="AC1261" s="44">
        <f t="shared" si="289"/>
        <v>0</v>
      </c>
      <c r="AD1261" s="44">
        <f t="shared" si="289"/>
        <v>0</v>
      </c>
      <c r="AE1261" s="44">
        <f t="shared" si="289"/>
        <v>0</v>
      </c>
      <c r="AF1261" s="44">
        <f t="shared" si="289"/>
        <v>-1806</v>
      </c>
    </row>
    <row r="1262" spans="1:32" ht="15" thickBot="1" x14ac:dyDescent="0.35">
      <c r="A1262" s="40" t="s">
        <v>297</v>
      </c>
      <c r="B1262" s="40" t="s">
        <v>174</v>
      </c>
      <c r="C1262" s="40" t="s">
        <v>298</v>
      </c>
      <c r="D1262" s="41" t="s">
        <v>198</v>
      </c>
      <c r="E1262" s="41" t="s">
        <v>195</v>
      </c>
      <c r="F1262" s="40" t="s">
        <v>141</v>
      </c>
      <c r="G1262" s="40" t="s">
        <v>130</v>
      </c>
      <c r="H1262" s="45"/>
      <c r="I1262" s="45">
        <f>I1256-I1260</f>
        <v>0</v>
      </c>
      <c r="J1262" s="45">
        <f t="shared" ref="J1262:AF1262" si="290">I1262+J1256-J1260</f>
        <v>0</v>
      </c>
      <c r="K1262" s="45">
        <f t="shared" si="290"/>
        <v>0</v>
      </c>
      <c r="L1262" s="45">
        <f t="shared" si="290"/>
        <v>0</v>
      </c>
      <c r="M1262" s="45">
        <f t="shared" si="290"/>
        <v>0</v>
      </c>
      <c r="N1262" s="45">
        <f t="shared" si="290"/>
        <v>0</v>
      </c>
      <c r="O1262" s="45">
        <f t="shared" si="290"/>
        <v>0</v>
      </c>
      <c r="P1262" s="45">
        <f t="shared" si="290"/>
        <v>0</v>
      </c>
      <c r="Q1262" s="45">
        <f t="shared" si="290"/>
        <v>0</v>
      </c>
      <c r="R1262" s="45">
        <f t="shared" si="290"/>
        <v>0</v>
      </c>
      <c r="S1262" s="45">
        <f t="shared" si="290"/>
        <v>0</v>
      </c>
      <c r="T1262" s="45">
        <f t="shared" si="290"/>
        <v>0</v>
      </c>
      <c r="U1262" s="45">
        <f t="shared" si="290"/>
        <v>0</v>
      </c>
      <c r="V1262" s="45">
        <f t="shared" si="290"/>
        <v>0</v>
      </c>
      <c r="W1262" s="45">
        <f t="shared" si="290"/>
        <v>0</v>
      </c>
      <c r="X1262" s="45">
        <f t="shared" si="290"/>
        <v>0</v>
      </c>
      <c r="Y1262" s="45">
        <f t="shared" si="290"/>
        <v>0</v>
      </c>
      <c r="Z1262" s="45">
        <f t="shared" si="290"/>
        <v>0</v>
      </c>
      <c r="AA1262" s="45">
        <f t="shared" si="290"/>
        <v>0</v>
      </c>
      <c r="AB1262" s="45">
        <f t="shared" si="290"/>
        <v>0</v>
      </c>
      <c r="AC1262" s="45">
        <f t="shared" si="290"/>
        <v>0</v>
      </c>
      <c r="AD1262" s="45">
        <f t="shared" si="290"/>
        <v>0</v>
      </c>
      <c r="AE1262" s="45">
        <f t="shared" si="290"/>
        <v>0</v>
      </c>
      <c r="AF1262" s="45">
        <f t="shared" si="290"/>
        <v>0</v>
      </c>
    </row>
    <row r="1263" spans="1:32" x14ac:dyDescent="0.3">
      <c r="A1263" s="38" t="s">
        <v>299</v>
      </c>
      <c r="B1263" s="38" t="s">
        <v>174</v>
      </c>
      <c r="C1263" s="38" t="s">
        <v>298</v>
      </c>
      <c r="D1263" s="39" t="s">
        <v>183</v>
      </c>
      <c r="E1263" s="39" t="s">
        <v>177</v>
      </c>
      <c r="F1263" s="38" t="s">
        <v>129</v>
      </c>
      <c r="G1263" s="38" t="s">
        <v>130</v>
      </c>
      <c r="H1263" s="44">
        <v>14402</v>
      </c>
      <c r="I1263" s="44">
        <v>14402</v>
      </c>
      <c r="J1263" s="44"/>
      <c r="K1263" s="44"/>
      <c r="L1263" s="44"/>
      <c r="M1263" s="44"/>
      <c r="N1263" s="44"/>
      <c r="O1263" s="44"/>
      <c r="P1263" s="44"/>
      <c r="Q1263" s="44"/>
      <c r="R1263" s="44"/>
      <c r="S1263" s="44"/>
      <c r="T1263" s="44"/>
      <c r="U1263" s="44"/>
      <c r="V1263" s="44"/>
      <c r="W1263" s="44"/>
      <c r="X1263" s="44"/>
      <c r="Y1263" s="44"/>
      <c r="Z1263" s="44"/>
      <c r="AA1263" s="44"/>
      <c r="AB1263" s="44"/>
      <c r="AC1263" s="44"/>
      <c r="AD1263" s="44"/>
      <c r="AE1263" s="44"/>
      <c r="AF1263" s="44"/>
    </row>
    <row r="1264" spans="1:32" x14ac:dyDescent="0.3">
      <c r="A1264" s="38" t="s">
        <v>299</v>
      </c>
      <c r="B1264" s="38" t="s">
        <v>174</v>
      </c>
      <c r="C1264" s="38" t="s">
        <v>298</v>
      </c>
      <c r="D1264" s="39" t="s">
        <v>183</v>
      </c>
      <c r="E1264" s="39" t="s">
        <v>177</v>
      </c>
      <c r="F1264" s="38" t="s">
        <v>131</v>
      </c>
      <c r="G1264" s="38" t="s">
        <v>130</v>
      </c>
      <c r="H1264" s="44">
        <v>77638</v>
      </c>
      <c r="I1264" s="44">
        <v>19449</v>
      </c>
      <c r="J1264" s="44">
        <v>5339</v>
      </c>
      <c r="K1264" s="44">
        <v>3734</v>
      </c>
      <c r="L1264" s="44">
        <v>4074</v>
      </c>
      <c r="M1264" s="44">
        <v>2108</v>
      </c>
      <c r="N1264" s="44">
        <v>7772</v>
      </c>
      <c r="O1264" s="44">
        <v>2073</v>
      </c>
      <c r="P1264" s="44">
        <v>2017</v>
      </c>
      <c r="Q1264" s="44">
        <v>1782</v>
      </c>
      <c r="R1264" s="44">
        <v>11719</v>
      </c>
      <c r="S1264" s="44">
        <v>1599</v>
      </c>
      <c r="T1264" s="44">
        <v>1550</v>
      </c>
      <c r="U1264" s="44">
        <v>1640</v>
      </c>
      <c r="V1264" s="44">
        <v>1726</v>
      </c>
      <c r="W1264" s="44">
        <v>1648</v>
      </c>
      <c r="X1264" s="44">
        <v>1647</v>
      </c>
      <c r="Y1264" s="44">
        <v>1660</v>
      </c>
      <c r="Z1264" s="44">
        <v>1540</v>
      </c>
      <c r="AA1264" s="44">
        <v>1392</v>
      </c>
      <c r="AB1264" s="44">
        <v>1391</v>
      </c>
      <c r="AC1264" s="44">
        <v>1309</v>
      </c>
      <c r="AD1264" s="44">
        <v>393</v>
      </c>
      <c r="AE1264" s="44">
        <v>38</v>
      </c>
      <c r="AF1264" s="44">
        <v>38</v>
      </c>
    </row>
    <row r="1265" spans="1:32" x14ac:dyDescent="0.3">
      <c r="A1265" s="38" t="s">
        <v>299</v>
      </c>
      <c r="B1265" s="38" t="s">
        <v>174</v>
      </c>
      <c r="C1265" s="38" t="s">
        <v>298</v>
      </c>
      <c r="D1265" s="39" t="s">
        <v>183</v>
      </c>
      <c r="E1265" s="39" t="s">
        <v>177</v>
      </c>
      <c r="F1265" s="38" t="s">
        <v>132</v>
      </c>
      <c r="G1265" s="38" t="s">
        <v>130</v>
      </c>
      <c r="H1265" s="44">
        <v>27360</v>
      </c>
      <c r="I1265" s="44">
        <v>27360</v>
      </c>
      <c r="J1265" s="44"/>
      <c r="K1265" s="44"/>
      <c r="L1265" s="44"/>
      <c r="M1265" s="44"/>
      <c r="N1265" s="44"/>
      <c r="O1265" s="44"/>
      <c r="P1265" s="44"/>
      <c r="Q1265" s="44"/>
      <c r="R1265" s="44"/>
      <c r="S1265" s="44"/>
      <c r="T1265" s="44"/>
      <c r="U1265" s="44"/>
      <c r="V1265" s="44"/>
      <c r="W1265" s="44"/>
      <c r="X1265" s="44"/>
      <c r="Y1265" s="44"/>
      <c r="Z1265" s="44"/>
      <c r="AA1265" s="44"/>
      <c r="AB1265" s="44"/>
      <c r="AC1265" s="44"/>
      <c r="AD1265" s="44"/>
      <c r="AE1265" s="44"/>
      <c r="AF1265" s="44"/>
    </row>
    <row r="1266" spans="1:32" x14ac:dyDescent="0.3">
      <c r="A1266" s="38" t="s">
        <v>299</v>
      </c>
      <c r="B1266" s="38" t="s">
        <v>174</v>
      </c>
      <c r="C1266" s="38" t="s">
        <v>298</v>
      </c>
      <c r="D1266" s="39" t="s">
        <v>183</v>
      </c>
      <c r="E1266" s="39" t="s">
        <v>177</v>
      </c>
      <c r="F1266" s="38" t="s">
        <v>133</v>
      </c>
      <c r="G1266" s="38" t="s">
        <v>130</v>
      </c>
      <c r="H1266" s="44">
        <v>0</v>
      </c>
      <c r="I1266" s="44">
        <v>0</v>
      </c>
      <c r="J1266" s="44"/>
      <c r="K1266" s="44"/>
      <c r="L1266" s="44"/>
      <c r="M1266" s="44"/>
      <c r="N1266" s="44"/>
      <c r="O1266" s="44"/>
      <c r="P1266" s="44"/>
      <c r="Q1266" s="44"/>
      <c r="R1266" s="44"/>
      <c r="S1266" s="44"/>
      <c r="T1266" s="44"/>
      <c r="U1266" s="44"/>
      <c r="V1266" s="44"/>
      <c r="W1266" s="44"/>
      <c r="X1266" s="44"/>
      <c r="Y1266" s="44"/>
      <c r="Z1266" s="44"/>
      <c r="AA1266" s="44"/>
      <c r="AB1266" s="44"/>
      <c r="AC1266" s="44"/>
      <c r="AD1266" s="44"/>
      <c r="AE1266" s="44"/>
      <c r="AF1266" s="44"/>
    </row>
    <row r="1267" spans="1:32" x14ac:dyDescent="0.3">
      <c r="A1267" s="38" t="s">
        <v>299</v>
      </c>
      <c r="B1267" s="38" t="s">
        <v>174</v>
      </c>
      <c r="C1267" s="38" t="s">
        <v>298</v>
      </c>
      <c r="D1267" s="39" t="s">
        <v>183</v>
      </c>
      <c r="E1267" s="39" t="s">
        <v>177</v>
      </c>
      <c r="F1267" s="38" t="s">
        <v>134</v>
      </c>
      <c r="G1267" s="38" t="s">
        <v>130</v>
      </c>
      <c r="H1267" s="44">
        <v>0</v>
      </c>
      <c r="I1267" s="44">
        <v>0</v>
      </c>
      <c r="J1267" s="44"/>
      <c r="K1267" s="44"/>
      <c r="L1267" s="44"/>
      <c r="M1267" s="44"/>
      <c r="N1267" s="44"/>
      <c r="O1267" s="44"/>
      <c r="P1267" s="44"/>
      <c r="Q1267" s="44"/>
      <c r="R1267" s="44"/>
      <c r="S1267" s="44"/>
      <c r="T1267" s="44"/>
      <c r="U1267" s="44"/>
      <c r="V1267" s="44"/>
      <c r="W1267" s="44"/>
      <c r="X1267" s="44"/>
      <c r="Y1267" s="44"/>
      <c r="Z1267" s="44"/>
      <c r="AA1267" s="44"/>
      <c r="AB1267" s="44"/>
      <c r="AC1267" s="44"/>
      <c r="AD1267" s="44"/>
      <c r="AE1267" s="44"/>
      <c r="AF1267" s="44"/>
    </row>
    <row r="1268" spans="1:32" x14ac:dyDescent="0.3">
      <c r="A1268" s="38" t="s">
        <v>299</v>
      </c>
      <c r="B1268" s="38" t="s">
        <v>174</v>
      </c>
      <c r="C1268" s="38" t="s">
        <v>298</v>
      </c>
      <c r="D1268" s="39" t="s">
        <v>183</v>
      </c>
      <c r="E1268" s="39" t="s">
        <v>177</v>
      </c>
      <c r="F1268" s="38" t="s">
        <v>135</v>
      </c>
      <c r="G1268" s="38" t="s">
        <v>130</v>
      </c>
      <c r="H1268" s="44"/>
      <c r="I1268" s="44"/>
      <c r="J1268" s="44"/>
      <c r="K1268" s="44"/>
      <c r="L1268" s="44"/>
      <c r="M1268" s="44"/>
      <c r="N1268" s="44"/>
      <c r="O1268" s="44"/>
      <c r="P1268" s="44"/>
      <c r="Q1268" s="44"/>
      <c r="R1268" s="44"/>
      <c r="S1268" s="44"/>
      <c r="T1268" s="44"/>
      <c r="U1268" s="44"/>
      <c r="V1268" s="44"/>
      <c r="W1268" s="44"/>
      <c r="X1268" s="44"/>
      <c r="Y1268" s="44"/>
      <c r="Z1268" s="44"/>
      <c r="AA1268" s="44"/>
      <c r="AB1268" s="44"/>
      <c r="AC1268" s="44"/>
      <c r="AD1268" s="44"/>
      <c r="AE1268" s="44"/>
      <c r="AF1268" s="44"/>
    </row>
    <row r="1269" spans="1:32" x14ac:dyDescent="0.3">
      <c r="A1269" s="38" t="s">
        <v>299</v>
      </c>
      <c r="B1269" s="38" t="s">
        <v>174</v>
      </c>
      <c r="C1269" s="38" t="s">
        <v>298</v>
      </c>
      <c r="D1269" s="39" t="s">
        <v>183</v>
      </c>
      <c r="E1269" s="39" t="s">
        <v>177</v>
      </c>
      <c r="F1269" s="38" t="s">
        <v>136</v>
      </c>
      <c r="G1269" s="38" t="s">
        <v>130</v>
      </c>
      <c r="H1269" s="44">
        <f>SUM(I1269:AF1269)</f>
        <v>59760</v>
      </c>
      <c r="I1269" s="44">
        <f t="shared" ref="I1269:AF1269" si="291">IF(AND(ISBLANK(I1272) = TRUE,ISBLANK(I1271) = TRUE),I1270,I1271+I1272)</f>
        <v>10080</v>
      </c>
      <c r="J1269" s="44">
        <f t="shared" si="291"/>
        <v>0</v>
      </c>
      <c r="K1269" s="44">
        <f t="shared" si="291"/>
        <v>0</v>
      </c>
      <c r="L1269" s="44">
        <f t="shared" si="291"/>
        <v>0</v>
      </c>
      <c r="M1269" s="44">
        <f t="shared" si="291"/>
        <v>10080</v>
      </c>
      <c r="N1269" s="44">
        <f t="shared" si="291"/>
        <v>10080</v>
      </c>
      <c r="O1269" s="44">
        <f t="shared" si="291"/>
        <v>0</v>
      </c>
      <c r="P1269" s="44">
        <f t="shared" si="291"/>
        <v>10080</v>
      </c>
      <c r="Q1269" s="44">
        <f t="shared" si="291"/>
        <v>10080</v>
      </c>
      <c r="R1269" s="44">
        <f t="shared" si="291"/>
        <v>0</v>
      </c>
      <c r="S1269" s="44">
        <f t="shared" si="291"/>
        <v>0</v>
      </c>
      <c r="T1269" s="44">
        <f t="shared" si="291"/>
        <v>0</v>
      </c>
      <c r="U1269" s="44">
        <f t="shared" si="291"/>
        <v>0</v>
      </c>
      <c r="V1269" s="44">
        <f t="shared" si="291"/>
        <v>9360</v>
      </c>
      <c r="W1269" s="44">
        <f t="shared" si="291"/>
        <v>0</v>
      </c>
      <c r="X1269" s="44">
        <f t="shared" si="291"/>
        <v>0</v>
      </c>
      <c r="Y1269" s="44">
        <f t="shared" si="291"/>
        <v>0</v>
      </c>
      <c r="Z1269" s="44">
        <f t="shared" si="291"/>
        <v>0</v>
      </c>
      <c r="AA1269" s="44">
        <f t="shared" si="291"/>
        <v>0</v>
      </c>
      <c r="AB1269" s="44">
        <f t="shared" si="291"/>
        <v>0</v>
      </c>
      <c r="AC1269" s="44">
        <f t="shared" si="291"/>
        <v>0</v>
      </c>
      <c r="AD1269" s="44">
        <f t="shared" si="291"/>
        <v>0</v>
      </c>
      <c r="AE1269" s="44">
        <f t="shared" si="291"/>
        <v>0</v>
      </c>
      <c r="AF1269" s="44">
        <f t="shared" si="291"/>
        <v>0</v>
      </c>
    </row>
    <row r="1270" spans="1:32" x14ac:dyDescent="0.3">
      <c r="A1270" s="38" t="s">
        <v>299</v>
      </c>
      <c r="B1270" s="38" t="s">
        <v>174</v>
      </c>
      <c r="C1270" s="38" t="s">
        <v>298</v>
      </c>
      <c r="D1270" s="39" t="s">
        <v>183</v>
      </c>
      <c r="E1270" s="39" t="s">
        <v>177</v>
      </c>
      <c r="F1270" s="38" t="s">
        <v>124</v>
      </c>
      <c r="G1270" s="38" t="s">
        <v>130</v>
      </c>
      <c r="H1270" s="44">
        <v>59760</v>
      </c>
      <c r="I1270" s="44">
        <v>10080</v>
      </c>
      <c r="J1270" s="44"/>
      <c r="K1270" s="44"/>
      <c r="L1270" s="44"/>
      <c r="M1270" s="44">
        <v>10080</v>
      </c>
      <c r="N1270" s="44">
        <v>10080</v>
      </c>
      <c r="O1270" s="44"/>
      <c r="P1270" s="44">
        <v>10080</v>
      </c>
      <c r="Q1270" s="44">
        <v>10080</v>
      </c>
      <c r="R1270" s="44"/>
      <c r="S1270" s="44"/>
      <c r="T1270" s="44"/>
      <c r="U1270" s="44"/>
      <c r="V1270" s="44">
        <v>9360</v>
      </c>
      <c r="W1270" s="44"/>
      <c r="X1270" s="44"/>
      <c r="Y1270" s="44"/>
      <c r="Z1270" s="44"/>
      <c r="AA1270" s="44"/>
      <c r="AB1270" s="44"/>
      <c r="AC1270" s="44"/>
      <c r="AD1270" s="44"/>
      <c r="AE1270" s="44"/>
      <c r="AF1270" s="44"/>
    </row>
    <row r="1271" spans="1:32" x14ac:dyDescent="0.3">
      <c r="A1271" s="38" t="s">
        <v>299</v>
      </c>
      <c r="B1271" s="38" t="s">
        <v>174</v>
      </c>
      <c r="C1271" s="38" t="s">
        <v>298</v>
      </c>
      <c r="D1271" s="39" t="s">
        <v>183</v>
      </c>
      <c r="E1271" s="39" t="s">
        <v>177</v>
      </c>
      <c r="F1271" s="38" t="s">
        <v>137</v>
      </c>
      <c r="G1271" s="38" t="s">
        <v>130</v>
      </c>
      <c r="H1271" s="44">
        <f>SUM(I1271:AF1271)</f>
        <v>0</v>
      </c>
      <c r="I1271" s="44"/>
      <c r="J1271" s="44"/>
      <c r="K1271" s="44"/>
      <c r="L1271" s="44"/>
      <c r="M1271" s="44"/>
      <c r="N1271" s="44"/>
      <c r="O1271" s="44"/>
      <c r="P1271" s="44"/>
      <c r="Q1271" s="44"/>
      <c r="R1271" s="44"/>
      <c r="S1271" s="44"/>
      <c r="T1271" s="44"/>
      <c r="U1271" s="44"/>
      <c r="V1271" s="44"/>
      <c r="W1271" s="44"/>
      <c r="X1271" s="44"/>
      <c r="Y1271" s="44"/>
      <c r="Z1271" s="44"/>
      <c r="AA1271" s="44"/>
      <c r="AB1271" s="44"/>
      <c r="AC1271" s="44"/>
      <c r="AD1271" s="44"/>
      <c r="AE1271" s="44"/>
      <c r="AF1271" s="44"/>
    </row>
    <row r="1272" spans="1:32" x14ac:dyDescent="0.3">
      <c r="A1272" s="38" t="s">
        <v>299</v>
      </c>
      <c r="B1272" s="38" t="s">
        <v>174</v>
      </c>
      <c r="C1272" s="38" t="s">
        <v>298</v>
      </c>
      <c r="D1272" s="39" t="s">
        <v>183</v>
      </c>
      <c r="E1272" s="39" t="s">
        <v>177</v>
      </c>
      <c r="F1272" s="38" t="s">
        <v>138</v>
      </c>
      <c r="G1272" s="38" t="s">
        <v>130</v>
      </c>
      <c r="H1272" s="44">
        <f>SUM(I1272:AF1272)</f>
        <v>0</v>
      </c>
      <c r="I1272" s="44"/>
      <c r="J1272" s="44"/>
      <c r="K1272" s="44"/>
      <c r="L1272" s="44"/>
      <c r="M1272" s="44"/>
      <c r="N1272" s="44"/>
      <c r="O1272" s="44"/>
      <c r="P1272" s="44"/>
      <c r="Q1272" s="44"/>
      <c r="R1272" s="44"/>
      <c r="S1272" s="44"/>
      <c r="T1272" s="44"/>
      <c r="U1272" s="44"/>
      <c r="V1272" s="44"/>
      <c r="W1272" s="44"/>
      <c r="X1272" s="44"/>
      <c r="Y1272" s="44"/>
      <c r="Z1272" s="44"/>
      <c r="AA1272" s="44"/>
      <c r="AB1272" s="44"/>
      <c r="AC1272" s="44"/>
      <c r="AD1272" s="44"/>
      <c r="AE1272" s="44"/>
      <c r="AF1272" s="44"/>
    </row>
    <row r="1273" spans="1:32" x14ac:dyDescent="0.3">
      <c r="A1273" s="38" t="s">
        <v>299</v>
      </c>
      <c r="B1273" s="38" t="s">
        <v>174</v>
      </c>
      <c r="C1273" s="38" t="s">
        <v>298</v>
      </c>
      <c r="D1273" s="39" t="s">
        <v>183</v>
      </c>
      <c r="E1273" s="39" t="s">
        <v>177</v>
      </c>
      <c r="F1273" s="38" t="s">
        <v>139</v>
      </c>
      <c r="G1273" s="38" t="s">
        <v>130</v>
      </c>
      <c r="H1273" s="44">
        <v>59760</v>
      </c>
      <c r="I1273" s="44">
        <v>10080</v>
      </c>
      <c r="J1273" s="44"/>
      <c r="K1273" s="44"/>
      <c r="L1273" s="44"/>
      <c r="M1273" s="44">
        <v>10080</v>
      </c>
      <c r="N1273" s="44">
        <v>10080</v>
      </c>
      <c r="O1273" s="44"/>
      <c r="P1273" s="44">
        <v>10080</v>
      </c>
      <c r="Q1273" s="44">
        <v>10080</v>
      </c>
      <c r="R1273" s="44"/>
      <c r="S1273" s="44"/>
      <c r="T1273" s="44"/>
      <c r="U1273" s="44"/>
      <c r="V1273" s="44">
        <v>9360</v>
      </c>
      <c r="W1273" s="44"/>
      <c r="X1273" s="44"/>
      <c r="Y1273" s="44"/>
      <c r="Z1273" s="44"/>
      <c r="AA1273" s="44"/>
      <c r="AB1273" s="44"/>
      <c r="AC1273" s="44"/>
      <c r="AD1273" s="44"/>
      <c r="AE1273" s="44"/>
      <c r="AF1273" s="44"/>
    </row>
    <row r="1274" spans="1:32" x14ac:dyDescent="0.3">
      <c r="A1274" s="38" t="s">
        <v>299</v>
      </c>
      <c r="B1274" s="38" t="s">
        <v>174</v>
      </c>
      <c r="C1274" s="38" t="s">
        <v>298</v>
      </c>
      <c r="D1274" s="39" t="s">
        <v>183</v>
      </c>
      <c r="E1274" s="39" t="s">
        <v>177</v>
      </c>
      <c r="F1274" s="38" t="s">
        <v>140</v>
      </c>
      <c r="G1274" s="38" t="s">
        <v>130</v>
      </c>
      <c r="H1274" s="44"/>
      <c r="I1274" s="44">
        <f>I1269-(I1264+I1263)+(I1268+I1267+I1266+I1265)</f>
        <v>3589</v>
      </c>
      <c r="J1274" s="44">
        <f t="shared" ref="J1274:AF1274" si="292">I1274+J1269-J1264</f>
        <v>-1750</v>
      </c>
      <c r="K1274" s="44">
        <f t="shared" si="292"/>
        <v>-5484</v>
      </c>
      <c r="L1274" s="44">
        <f t="shared" si="292"/>
        <v>-9558</v>
      </c>
      <c r="M1274" s="44">
        <f t="shared" si="292"/>
        <v>-1586</v>
      </c>
      <c r="N1274" s="44">
        <f t="shared" si="292"/>
        <v>722</v>
      </c>
      <c r="O1274" s="44">
        <f t="shared" si="292"/>
        <v>-1351</v>
      </c>
      <c r="P1274" s="44">
        <f t="shared" si="292"/>
        <v>6712</v>
      </c>
      <c r="Q1274" s="44">
        <f t="shared" si="292"/>
        <v>15010</v>
      </c>
      <c r="R1274" s="44">
        <f t="shared" si="292"/>
        <v>3291</v>
      </c>
      <c r="S1274" s="44">
        <f t="shared" si="292"/>
        <v>1692</v>
      </c>
      <c r="T1274" s="44">
        <f t="shared" si="292"/>
        <v>142</v>
      </c>
      <c r="U1274" s="44">
        <f t="shared" si="292"/>
        <v>-1498</v>
      </c>
      <c r="V1274" s="44">
        <f t="shared" si="292"/>
        <v>6136</v>
      </c>
      <c r="W1274" s="44">
        <f t="shared" si="292"/>
        <v>4488</v>
      </c>
      <c r="X1274" s="44">
        <f t="shared" si="292"/>
        <v>2841</v>
      </c>
      <c r="Y1274" s="44">
        <f t="shared" si="292"/>
        <v>1181</v>
      </c>
      <c r="Z1274" s="44">
        <f t="shared" si="292"/>
        <v>-359</v>
      </c>
      <c r="AA1274" s="44">
        <f t="shared" si="292"/>
        <v>-1751</v>
      </c>
      <c r="AB1274" s="44">
        <f t="shared" si="292"/>
        <v>-3142</v>
      </c>
      <c r="AC1274" s="44">
        <f t="shared" si="292"/>
        <v>-4451</v>
      </c>
      <c r="AD1274" s="44">
        <f t="shared" si="292"/>
        <v>-4844</v>
      </c>
      <c r="AE1274" s="44">
        <f t="shared" si="292"/>
        <v>-4882</v>
      </c>
      <c r="AF1274" s="44">
        <f t="shared" si="292"/>
        <v>-4920</v>
      </c>
    </row>
    <row r="1275" spans="1:32" ht="15" thickBot="1" x14ac:dyDescent="0.35">
      <c r="A1275" s="40" t="s">
        <v>299</v>
      </c>
      <c r="B1275" s="40" t="s">
        <v>174</v>
      </c>
      <c r="C1275" s="40" t="s">
        <v>298</v>
      </c>
      <c r="D1275" s="41" t="s">
        <v>183</v>
      </c>
      <c r="E1275" s="41" t="s">
        <v>177</v>
      </c>
      <c r="F1275" s="40" t="s">
        <v>141</v>
      </c>
      <c r="G1275" s="40" t="s">
        <v>130</v>
      </c>
      <c r="H1275" s="45"/>
      <c r="I1275" s="45">
        <f>I1269-I1273</f>
        <v>0</v>
      </c>
      <c r="J1275" s="45">
        <f t="shared" ref="J1275:AF1275" si="293">I1275+J1269-J1273</f>
        <v>0</v>
      </c>
      <c r="K1275" s="45">
        <f t="shared" si="293"/>
        <v>0</v>
      </c>
      <c r="L1275" s="45">
        <f t="shared" si="293"/>
        <v>0</v>
      </c>
      <c r="M1275" s="45">
        <f t="shared" si="293"/>
        <v>0</v>
      </c>
      <c r="N1275" s="45">
        <f t="shared" si="293"/>
        <v>0</v>
      </c>
      <c r="O1275" s="45">
        <f t="shared" si="293"/>
        <v>0</v>
      </c>
      <c r="P1275" s="45">
        <f t="shared" si="293"/>
        <v>0</v>
      </c>
      <c r="Q1275" s="45">
        <f t="shared" si="293"/>
        <v>0</v>
      </c>
      <c r="R1275" s="45">
        <f t="shared" si="293"/>
        <v>0</v>
      </c>
      <c r="S1275" s="45">
        <f t="shared" si="293"/>
        <v>0</v>
      </c>
      <c r="T1275" s="45">
        <f t="shared" si="293"/>
        <v>0</v>
      </c>
      <c r="U1275" s="45">
        <f t="shared" si="293"/>
        <v>0</v>
      </c>
      <c r="V1275" s="45">
        <f t="shared" si="293"/>
        <v>0</v>
      </c>
      <c r="W1275" s="45">
        <f t="shared" si="293"/>
        <v>0</v>
      </c>
      <c r="X1275" s="45">
        <f t="shared" si="293"/>
        <v>0</v>
      </c>
      <c r="Y1275" s="45">
        <f t="shared" si="293"/>
        <v>0</v>
      </c>
      <c r="Z1275" s="45">
        <f t="shared" si="293"/>
        <v>0</v>
      </c>
      <c r="AA1275" s="45">
        <f t="shared" si="293"/>
        <v>0</v>
      </c>
      <c r="AB1275" s="45">
        <f t="shared" si="293"/>
        <v>0</v>
      </c>
      <c r="AC1275" s="45">
        <f t="shared" si="293"/>
        <v>0</v>
      </c>
      <c r="AD1275" s="45">
        <f t="shared" si="293"/>
        <v>0</v>
      </c>
      <c r="AE1275" s="45">
        <f t="shared" si="293"/>
        <v>0</v>
      </c>
      <c r="AF1275" s="45">
        <f t="shared" si="293"/>
        <v>0</v>
      </c>
    </row>
    <row r="1276" spans="1:32" x14ac:dyDescent="0.3">
      <c r="A1276" s="38" t="s">
        <v>300</v>
      </c>
      <c r="B1276" s="38" t="s">
        <v>174</v>
      </c>
      <c r="C1276" s="38" t="s">
        <v>301</v>
      </c>
      <c r="D1276" s="39" t="s">
        <v>183</v>
      </c>
      <c r="E1276" s="39" t="s">
        <v>177</v>
      </c>
      <c r="F1276" s="38" t="s">
        <v>129</v>
      </c>
      <c r="G1276" s="38" t="s">
        <v>130</v>
      </c>
      <c r="H1276" s="44">
        <v>506</v>
      </c>
      <c r="I1276" s="44">
        <v>506</v>
      </c>
      <c r="J1276" s="44"/>
      <c r="K1276" s="44"/>
      <c r="L1276" s="44"/>
      <c r="M1276" s="44"/>
      <c r="N1276" s="44"/>
      <c r="O1276" s="44"/>
      <c r="P1276" s="44"/>
      <c r="Q1276" s="44"/>
      <c r="R1276" s="44"/>
      <c r="S1276" s="44"/>
      <c r="T1276" s="44"/>
      <c r="U1276" s="44"/>
      <c r="V1276" s="44"/>
      <c r="W1276" s="44"/>
      <c r="X1276" s="44"/>
      <c r="Y1276" s="44"/>
      <c r="Z1276" s="44"/>
      <c r="AA1276" s="44"/>
      <c r="AB1276" s="44"/>
      <c r="AC1276" s="44"/>
      <c r="AD1276" s="44"/>
      <c r="AE1276" s="44"/>
      <c r="AF1276" s="44"/>
    </row>
    <row r="1277" spans="1:32" x14ac:dyDescent="0.3">
      <c r="A1277" s="38" t="s">
        <v>300</v>
      </c>
      <c r="B1277" s="38" t="s">
        <v>174</v>
      </c>
      <c r="C1277" s="38" t="s">
        <v>301</v>
      </c>
      <c r="D1277" s="39" t="s">
        <v>183</v>
      </c>
      <c r="E1277" s="39" t="s">
        <v>177</v>
      </c>
      <c r="F1277" s="38" t="s">
        <v>131</v>
      </c>
      <c r="G1277" s="38" t="s">
        <v>130</v>
      </c>
      <c r="H1277" s="44">
        <v>10777</v>
      </c>
      <c r="I1277" s="44">
        <v>734</v>
      </c>
      <c r="J1277" s="44">
        <v>671</v>
      </c>
      <c r="K1277" s="44">
        <v>670</v>
      </c>
      <c r="L1277" s="44">
        <v>669</v>
      </c>
      <c r="M1277" s="44">
        <v>625</v>
      </c>
      <c r="N1277" s="44">
        <v>477</v>
      </c>
      <c r="O1277" s="44">
        <v>509</v>
      </c>
      <c r="P1277" s="44">
        <v>528</v>
      </c>
      <c r="Q1277" s="44">
        <v>1017</v>
      </c>
      <c r="R1277" s="44">
        <v>736</v>
      </c>
      <c r="S1277" s="44">
        <v>463</v>
      </c>
      <c r="T1277" s="44">
        <v>473</v>
      </c>
      <c r="U1277" s="44">
        <v>431</v>
      </c>
      <c r="V1277" s="44">
        <v>430</v>
      </c>
      <c r="W1277" s="44">
        <v>285</v>
      </c>
      <c r="X1277" s="44">
        <v>279</v>
      </c>
      <c r="Y1277" s="44">
        <v>283</v>
      </c>
      <c r="Z1277" s="44">
        <v>220</v>
      </c>
      <c r="AA1277" s="44">
        <v>215</v>
      </c>
      <c r="AB1277" s="44">
        <v>213</v>
      </c>
      <c r="AC1277" s="44">
        <v>213</v>
      </c>
      <c r="AD1277" s="44">
        <v>214</v>
      </c>
      <c r="AE1277" s="44">
        <v>210</v>
      </c>
      <c r="AF1277" s="44">
        <v>212</v>
      </c>
    </row>
    <row r="1278" spans="1:32" x14ac:dyDescent="0.3">
      <c r="A1278" s="38" t="s">
        <v>300</v>
      </c>
      <c r="B1278" s="38" t="s">
        <v>174</v>
      </c>
      <c r="C1278" s="38" t="s">
        <v>301</v>
      </c>
      <c r="D1278" s="39" t="s">
        <v>183</v>
      </c>
      <c r="E1278" s="39" t="s">
        <v>177</v>
      </c>
      <c r="F1278" s="38" t="s">
        <v>132</v>
      </c>
      <c r="G1278" s="38" t="s">
        <v>130</v>
      </c>
      <c r="H1278" s="44">
        <v>0</v>
      </c>
      <c r="I1278" s="44">
        <v>0</v>
      </c>
      <c r="J1278" s="44"/>
      <c r="K1278" s="44"/>
      <c r="L1278" s="44"/>
      <c r="M1278" s="44"/>
      <c r="N1278" s="44"/>
      <c r="O1278" s="44"/>
      <c r="P1278" s="44"/>
      <c r="Q1278" s="44"/>
      <c r="R1278" s="44"/>
      <c r="S1278" s="44"/>
      <c r="T1278" s="44"/>
      <c r="U1278" s="44"/>
      <c r="V1278" s="44"/>
      <c r="W1278" s="44"/>
      <c r="X1278" s="44"/>
      <c r="Y1278" s="44"/>
      <c r="Z1278" s="44"/>
      <c r="AA1278" s="44"/>
      <c r="AB1278" s="44"/>
      <c r="AC1278" s="44"/>
      <c r="AD1278" s="44"/>
      <c r="AE1278" s="44"/>
      <c r="AF1278" s="44"/>
    </row>
    <row r="1279" spans="1:32" x14ac:dyDescent="0.3">
      <c r="A1279" s="38" t="s">
        <v>300</v>
      </c>
      <c r="B1279" s="38" t="s">
        <v>174</v>
      </c>
      <c r="C1279" s="38" t="s">
        <v>301</v>
      </c>
      <c r="D1279" s="39" t="s">
        <v>183</v>
      </c>
      <c r="E1279" s="39" t="s">
        <v>177</v>
      </c>
      <c r="F1279" s="38" t="s">
        <v>133</v>
      </c>
      <c r="G1279" s="38" t="s">
        <v>130</v>
      </c>
      <c r="H1279" s="44">
        <v>0</v>
      </c>
      <c r="I1279" s="44">
        <v>0</v>
      </c>
      <c r="J1279" s="44"/>
      <c r="K1279" s="44"/>
      <c r="L1279" s="44"/>
      <c r="M1279" s="44"/>
      <c r="N1279" s="44"/>
      <c r="O1279" s="44"/>
      <c r="P1279" s="44"/>
      <c r="Q1279" s="44"/>
      <c r="R1279" s="44"/>
      <c r="S1279" s="44"/>
      <c r="T1279" s="44"/>
      <c r="U1279" s="44"/>
      <c r="V1279" s="44"/>
      <c r="W1279" s="44"/>
      <c r="X1279" s="44"/>
      <c r="Y1279" s="44"/>
      <c r="Z1279" s="44"/>
      <c r="AA1279" s="44"/>
      <c r="AB1279" s="44"/>
      <c r="AC1279" s="44"/>
      <c r="AD1279" s="44"/>
      <c r="AE1279" s="44"/>
      <c r="AF1279" s="44"/>
    </row>
    <row r="1280" spans="1:32" x14ac:dyDescent="0.3">
      <c r="A1280" s="38" t="s">
        <v>300</v>
      </c>
      <c r="B1280" s="38" t="s">
        <v>174</v>
      </c>
      <c r="C1280" s="38" t="s">
        <v>301</v>
      </c>
      <c r="D1280" s="39" t="s">
        <v>183</v>
      </c>
      <c r="E1280" s="39" t="s">
        <v>177</v>
      </c>
      <c r="F1280" s="38" t="s">
        <v>134</v>
      </c>
      <c r="G1280" s="38" t="s">
        <v>130</v>
      </c>
      <c r="H1280" s="44">
        <v>28</v>
      </c>
      <c r="I1280" s="44">
        <v>28</v>
      </c>
      <c r="J1280" s="44"/>
      <c r="K1280" s="44"/>
      <c r="L1280" s="44"/>
      <c r="M1280" s="44"/>
      <c r="N1280" s="44"/>
      <c r="O1280" s="44"/>
      <c r="P1280" s="44"/>
      <c r="Q1280" s="44"/>
      <c r="R1280" s="44"/>
      <c r="S1280" s="44"/>
      <c r="T1280" s="44"/>
      <c r="U1280" s="44"/>
      <c r="V1280" s="44"/>
      <c r="W1280" s="44"/>
      <c r="X1280" s="44"/>
      <c r="Y1280" s="44"/>
      <c r="Z1280" s="44"/>
      <c r="AA1280" s="44"/>
      <c r="AB1280" s="44"/>
      <c r="AC1280" s="44"/>
      <c r="AD1280" s="44"/>
      <c r="AE1280" s="44"/>
      <c r="AF1280" s="44"/>
    </row>
    <row r="1281" spans="1:32" x14ac:dyDescent="0.3">
      <c r="A1281" s="38" t="s">
        <v>300</v>
      </c>
      <c r="B1281" s="38" t="s">
        <v>174</v>
      </c>
      <c r="C1281" s="38" t="s">
        <v>301</v>
      </c>
      <c r="D1281" s="39" t="s">
        <v>183</v>
      </c>
      <c r="E1281" s="39" t="s">
        <v>177</v>
      </c>
      <c r="F1281" s="38" t="s">
        <v>135</v>
      </c>
      <c r="G1281" s="38" t="s">
        <v>130</v>
      </c>
      <c r="H1281" s="44"/>
      <c r="I1281" s="44"/>
      <c r="J1281" s="44"/>
      <c r="K1281" s="44"/>
      <c r="L1281" s="44"/>
      <c r="M1281" s="44"/>
      <c r="N1281" s="44"/>
      <c r="O1281" s="44"/>
      <c r="P1281" s="44"/>
      <c r="Q1281" s="44"/>
      <c r="R1281" s="44"/>
      <c r="S1281" s="44"/>
      <c r="T1281" s="44"/>
      <c r="U1281" s="44"/>
      <c r="V1281" s="44"/>
      <c r="W1281" s="44"/>
      <c r="X1281" s="44"/>
      <c r="Y1281" s="44"/>
      <c r="Z1281" s="44"/>
      <c r="AA1281" s="44"/>
      <c r="AB1281" s="44"/>
      <c r="AC1281" s="44"/>
      <c r="AD1281" s="44"/>
      <c r="AE1281" s="44"/>
      <c r="AF1281" s="44"/>
    </row>
    <row r="1282" spans="1:32" x14ac:dyDescent="0.3">
      <c r="A1282" s="38" t="s">
        <v>300</v>
      </c>
      <c r="B1282" s="38" t="s">
        <v>174</v>
      </c>
      <c r="C1282" s="38" t="s">
        <v>301</v>
      </c>
      <c r="D1282" s="39" t="s">
        <v>183</v>
      </c>
      <c r="E1282" s="39" t="s">
        <v>177</v>
      </c>
      <c r="F1282" s="38" t="s">
        <v>136</v>
      </c>
      <c r="G1282" s="38" t="s">
        <v>130</v>
      </c>
      <c r="H1282" s="44">
        <f>SUM(I1282:AF1282)</f>
        <v>0</v>
      </c>
      <c r="I1282" s="44">
        <f t="shared" ref="I1282:AF1282" si="294">IF(AND(ISBLANK(I1285) = TRUE,ISBLANK(I1284) = TRUE),I1283,I1284+I1285)</f>
        <v>0</v>
      </c>
      <c r="J1282" s="44">
        <f t="shared" si="294"/>
        <v>0</v>
      </c>
      <c r="K1282" s="44">
        <f t="shared" si="294"/>
        <v>0</v>
      </c>
      <c r="L1282" s="44">
        <f t="shared" si="294"/>
        <v>0</v>
      </c>
      <c r="M1282" s="44">
        <f t="shared" si="294"/>
        <v>0</v>
      </c>
      <c r="N1282" s="44">
        <f t="shared" si="294"/>
        <v>0</v>
      </c>
      <c r="O1282" s="44">
        <f t="shared" si="294"/>
        <v>0</v>
      </c>
      <c r="P1282" s="44">
        <f t="shared" si="294"/>
        <v>0</v>
      </c>
      <c r="Q1282" s="44">
        <f t="shared" si="294"/>
        <v>0</v>
      </c>
      <c r="R1282" s="44">
        <f t="shared" si="294"/>
        <v>0</v>
      </c>
      <c r="S1282" s="44">
        <f t="shared" si="294"/>
        <v>0</v>
      </c>
      <c r="T1282" s="44">
        <f t="shared" si="294"/>
        <v>0</v>
      </c>
      <c r="U1282" s="44">
        <f t="shared" si="294"/>
        <v>0</v>
      </c>
      <c r="V1282" s="44">
        <f t="shared" si="294"/>
        <v>0</v>
      </c>
      <c r="W1282" s="44">
        <f t="shared" si="294"/>
        <v>0</v>
      </c>
      <c r="X1282" s="44">
        <f t="shared" si="294"/>
        <v>0</v>
      </c>
      <c r="Y1282" s="44">
        <f t="shared" si="294"/>
        <v>0</v>
      </c>
      <c r="Z1282" s="44">
        <f t="shared" si="294"/>
        <v>0</v>
      </c>
      <c r="AA1282" s="44">
        <f t="shared" si="294"/>
        <v>0</v>
      </c>
      <c r="AB1282" s="44">
        <f t="shared" si="294"/>
        <v>0</v>
      </c>
      <c r="AC1282" s="44">
        <f t="shared" si="294"/>
        <v>0</v>
      </c>
      <c r="AD1282" s="44">
        <f t="shared" si="294"/>
        <v>0</v>
      </c>
      <c r="AE1282" s="44">
        <f t="shared" si="294"/>
        <v>0</v>
      </c>
      <c r="AF1282" s="44">
        <f t="shared" si="294"/>
        <v>0</v>
      </c>
    </row>
    <row r="1283" spans="1:32" x14ac:dyDescent="0.3">
      <c r="A1283" s="38" t="s">
        <v>300</v>
      </c>
      <c r="B1283" s="38" t="s">
        <v>174</v>
      </c>
      <c r="C1283" s="38" t="s">
        <v>301</v>
      </c>
      <c r="D1283" s="39" t="s">
        <v>183</v>
      </c>
      <c r="E1283" s="39" t="s">
        <v>177</v>
      </c>
      <c r="F1283" s="38" t="s">
        <v>124</v>
      </c>
      <c r="G1283" s="38" t="s">
        <v>130</v>
      </c>
      <c r="H1283" s="44"/>
      <c r="I1283" s="44"/>
      <c r="J1283" s="44"/>
      <c r="K1283" s="44"/>
      <c r="L1283" s="44"/>
      <c r="M1283" s="44"/>
      <c r="N1283" s="44"/>
      <c r="O1283" s="44"/>
      <c r="P1283" s="44"/>
      <c r="Q1283" s="44"/>
      <c r="R1283" s="44"/>
      <c r="S1283" s="44"/>
      <c r="T1283" s="44"/>
      <c r="U1283" s="44"/>
      <c r="V1283" s="44"/>
      <c r="W1283" s="44"/>
      <c r="X1283" s="44"/>
      <c r="Y1283" s="44"/>
      <c r="Z1283" s="44"/>
      <c r="AA1283" s="44"/>
      <c r="AB1283" s="44"/>
      <c r="AC1283" s="44"/>
      <c r="AD1283" s="44"/>
      <c r="AE1283" s="44"/>
      <c r="AF1283" s="44"/>
    </row>
    <row r="1284" spans="1:32" x14ac:dyDescent="0.3">
      <c r="A1284" s="38" t="s">
        <v>300</v>
      </c>
      <c r="B1284" s="38" t="s">
        <v>174</v>
      </c>
      <c r="C1284" s="38" t="s">
        <v>301</v>
      </c>
      <c r="D1284" s="39" t="s">
        <v>183</v>
      </c>
      <c r="E1284" s="39" t="s">
        <v>177</v>
      </c>
      <c r="F1284" s="38" t="s">
        <v>137</v>
      </c>
      <c r="G1284" s="38" t="s">
        <v>130</v>
      </c>
      <c r="H1284" s="44">
        <f>SUM(I1284:AF1284)</f>
        <v>0</v>
      </c>
      <c r="I1284" s="44"/>
      <c r="J1284" s="44"/>
      <c r="K1284" s="44"/>
      <c r="L1284" s="44"/>
      <c r="M1284" s="44"/>
      <c r="N1284" s="44"/>
      <c r="O1284" s="44"/>
      <c r="P1284" s="44"/>
      <c r="Q1284" s="44"/>
      <c r="R1284" s="44"/>
      <c r="S1284" s="44"/>
      <c r="T1284" s="44"/>
      <c r="U1284" s="44"/>
      <c r="V1284" s="44"/>
      <c r="W1284" s="44"/>
      <c r="X1284" s="44"/>
      <c r="Y1284" s="44"/>
      <c r="Z1284" s="44"/>
      <c r="AA1284" s="44"/>
      <c r="AB1284" s="44"/>
      <c r="AC1284" s="44"/>
      <c r="AD1284" s="44"/>
      <c r="AE1284" s="44"/>
      <c r="AF1284" s="44"/>
    </row>
    <row r="1285" spans="1:32" x14ac:dyDescent="0.3">
      <c r="A1285" s="38" t="s">
        <v>300</v>
      </c>
      <c r="B1285" s="38" t="s">
        <v>174</v>
      </c>
      <c r="C1285" s="38" t="s">
        <v>301</v>
      </c>
      <c r="D1285" s="39" t="s">
        <v>183</v>
      </c>
      <c r="E1285" s="39" t="s">
        <v>177</v>
      </c>
      <c r="F1285" s="38" t="s">
        <v>138</v>
      </c>
      <c r="G1285" s="38" t="s">
        <v>130</v>
      </c>
      <c r="H1285" s="44">
        <f>SUM(I1285:AF1285)</f>
        <v>0</v>
      </c>
      <c r="I1285" s="44"/>
      <c r="J1285" s="44"/>
      <c r="K1285" s="44"/>
      <c r="L1285" s="44"/>
      <c r="M1285" s="44"/>
      <c r="N1285" s="44"/>
      <c r="O1285" s="44"/>
      <c r="P1285" s="44"/>
      <c r="Q1285" s="44"/>
      <c r="R1285" s="44"/>
      <c r="S1285" s="44"/>
      <c r="T1285" s="44"/>
      <c r="U1285" s="44"/>
      <c r="V1285" s="44"/>
      <c r="W1285" s="44"/>
      <c r="X1285" s="44"/>
      <c r="Y1285" s="44"/>
      <c r="Z1285" s="44"/>
      <c r="AA1285" s="44"/>
      <c r="AB1285" s="44"/>
      <c r="AC1285" s="44"/>
      <c r="AD1285" s="44"/>
      <c r="AE1285" s="44"/>
      <c r="AF1285" s="44"/>
    </row>
    <row r="1286" spans="1:32" x14ac:dyDescent="0.3">
      <c r="A1286" s="38" t="s">
        <v>300</v>
      </c>
      <c r="B1286" s="38" t="s">
        <v>174</v>
      </c>
      <c r="C1286" s="38" t="s">
        <v>301</v>
      </c>
      <c r="D1286" s="39" t="s">
        <v>183</v>
      </c>
      <c r="E1286" s="39" t="s">
        <v>177</v>
      </c>
      <c r="F1286" s="38" t="s">
        <v>139</v>
      </c>
      <c r="G1286" s="38" t="s">
        <v>130</v>
      </c>
      <c r="H1286" s="44"/>
      <c r="I1286" s="44"/>
      <c r="J1286" s="44"/>
      <c r="K1286" s="44"/>
      <c r="L1286" s="44"/>
      <c r="M1286" s="44"/>
      <c r="N1286" s="44"/>
      <c r="O1286" s="44"/>
      <c r="P1286" s="44"/>
      <c r="Q1286" s="44"/>
      <c r="R1286" s="44"/>
      <c r="S1286" s="44"/>
      <c r="T1286" s="44"/>
      <c r="U1286" s="44"/>
      <c r="V1286" s="44"/>
      <c r="W1286" s="44"/>
      <c r="X1286" s="44"/>
      <c r="Y1286" s="44"/>
      <c r="Z1286" s="44"/>
      <c r="AA1286" s="44"/>
      <c r="AB1286" s="44"/>
      <c r="AC1286" s="44"/>
      <c r="AD1286" s="44"/>
      <c r="AE1286" s="44"/>
      <c r="AF1286" s="44"/>
    </row>
    <row r="1287" spans="1:32" x14ac:dyDescent="0.3">
      <c r="A1287" s="38" t="s">
        <v>300</v>
      </c>
      <c r="B1287" s="38" t="s">
        <v>174</v>
      </c>
      <c r="C1287" s="38" t="s">
        <v>301</v>
      </c>
      <c r="D1287" s="39" t="s">
        <v>183</v>
      </c>
      <c r="E1287" s="39" t="s">
        <v>177</v>
      </c>
      <c r="F1287" s="38" t="s">
        <v>140</v>
      </c>
      <c r="G1287" s="38" t="s">
        <v>130</v>
      </c>
      <c r="H1287" s="44"/>
      <c r="I1287" s="44">
        <f>I1282-(I1277+I1276)+(I1281+I1280+I1279+I1278)</f>
        <v>-1212</v>
      </c>
      <c r="J1287" s="44">
        <f t="shared" ref="J1287:AF1287" si="295">I1287+J1282-J1277</f>
        <v>-1883</v>
      </c>
      <c r="K1287" s="44">
        <f t="shared" si="295"/>
        <v>-2553</v>
      </c>
      <c r="L1287" s="44">
        <f t="shared" si="295"/>
        <v>-3222</v>
      </c>
      <c r="M1287" s="44">
        <f t="shared" si="295"/>
        <v>-3847</v>
      </c>
      <c r="N1287" s="44">
        <f t="shared" si="295"/>
        <v>-4324</v>
      </c>
      <c r="O1287" s="44">
        <f t="shared" si="295"/>
        <v>-4833</v>
      </c>
      <c r="P1287" s="44">
        <f t="shared" si="295"/>
        <v>-5361</v>
      </c>
      <c r="Q1287" s="44">
        <f t="shared" si="295"/>
        <v>-6378</v>
      </c>
      <c r="R1287" s="44">
        <f t="shared" si="295"/>
        <v>-7114</v>
      </c>
      <c r="S1287" s="44">
        <f t="shared" si="295"/>
        <v>-7577</v>
      </c>
      <c r="T1287" s="44">
        <f t="shared" si="295"/>
        <v>-8050</v>
      </c>
      <c r="U1287" s="44">
        <f t="shared" si="295"/>
        <v>-8481</v>
      </c>
      <c r="V1287" s="44">
        <f t="shared" si="295"/>
        <v>-8911</v>
      </c>
      <c r="W1287" s="44">
        <f t="shared" si="295"/>
        <v>-9196</v>
      </c>
      <c r="X1287" s="44">
        <f t="shared" si="295"/>
        <v>-9475</v>
      </c>
      <c r="Y1287" s="44">
        <f t="shared" si="295"/>
        <v>-9758</v>
      </c>
      <c r="Z1287" s="44">
        <f t="shared" si="295"/>
        <v>-9978</v>
      </c>
      <c r="AA1287" s="44">
        <f t="shared" si="295"/>
        <v>-10193</v>
      </c>
      <c r="AB1287" s="44">
        <f t="shared" si="295"/>
        <v>-10406</v>
      </c>
      <c r="AC1287" s="44">
        <f t="shared" si="295"/>
        <v>-10619</v>
      </c>
      <c r="AD1287" s="44">
        <f t="shared" si="295"/>
        <v>-10833</v>
      </c>
      <c r="AE1287" s="44">
        <f t="shared" si="295"/>
        <v>-11043</v>
      </c>
      <c r="AF1287" s="44">
        <f t="shared" si="295"/>
        <v>-11255</v>
      </c>
    </row>
    <row r="1288" spans="1:32" ht="15" thickBot="1" x14ac:dyDescent="0.35">
      <c r="A1288" s="40" t="s">
        <v>300</v>
      </c>
      <c r="B1288" s="40" t="s">
        <v>174</v>
      </c>
      <c r="C1288" s="40" t="s">
        <v>301</v>
      </c>
      <c r="D1288" s="41" t="s">
        <v>183</v>
      </c>
      <c r="E1288" s="41" t="s">
        <v>177</v>
      </c>
      <c r="F1288" s="40" t="s">
        <v>141</v>
      </c>
      <c r="G1288" s="40" t="s">
        <v>130</v>
      </c>
      <c r="H1288" s="45"/>
      <c r="I1288" s="45">
        <f>I1282-I1286</f>
        <v>0</v>
      </c>
      <c r="J1288" s="45">
        <f t="shared" ref="J1288:AF1288" si="296">I1288+J1282-J1286</f>
        <v>0</v>
      </c>
      <c r="K1288" s="45">
        <f t="shared" si="296"/>
        <v>0</v>
      </c>
      <c r="L1288" s="45">
        <f t="shared" si="296"/>
        <v>0</v>
      </c>
      <c r="M1288" s="45">
        <f t="shared" si="296"/>
        <v>0</v>
      </c>
      <c r="N1288" s="45">
        <f t="shared" si="296"/>
        <v>0</v>
      </c>
      <c r="O1288" s="45">
        <f t="shared" si="296"/>
        <v>0</v>
      </c>
      <c r="P1288" s="45">
        <f t="shared" si="296"/>
        <v>0</v>
      </c>
      <c r="Q1288" s="45">
        <f t="shared" si="296"/>
        <v>0</v>
      </c>
      <c r="R1288" s="45">
        <f t="shared" si="296"/>
        <v>0</v>
      </c>
      <c r="S1288" s="45">
        <f t="shared" si="296"/>
        <v>0</v>
      </c>
      <c r="T1288" s="45">
        <f t="shared" si="296"/>
        <v>0</v>
      </c>
      <c r="U1288" s="45">
        <f t="shared" si="296"/>
        <v>0</v>
      </c>
      <c r="V1288" s="45">
        <f t="shared" si="296"/>
        <v>0</v>
      </c>
      <c r="W1288" s="45">
        <f t="shared" si="296"/>
        <v>0</v>
      </c>
      <c r="X1288" s="45">
        <f t="shared" si="296"/>
        <v>0</v>
      </c>
      <c r="Y1288" s="45">
        <f t="shared" si="296"/>
        <v>0</v>
      </c>
      <c r="Z1288" s="45">
        <f t="shared" si="296"/>
        <v>0</v>
      </c>
      <c r="AA1288" s="45">
        <f t="shared" si="296"/>
        <v>0</v>
      </c>
      <c r="AB1288" s="45">
        <f t="shared" si="296"/>
        <v>0</v>
      </c>
      <c r="AC1288" s="45">
        <f t="shared" si="296"/>
        <v>0</v>
      </c>
      <c r="AD1288" s="45">
        <f t="shared" si="296"/>
        <v>0</v>
      </c>
      <c r="AE1288" s="45">
        <f t="shared" si="296"/>
        <v>0</v>
      </c>
      <c r="AF1288" s="45">
        <f t="shared" si="296"/>
        <v>0</v>
      </c>
    </row>
  </sheetData>
  <conditionalFormatting sqref="I13:AF1288">
    <cfRule type="expression" dxfId="8" priority="5">
      <formula>AND($F13="Cumulative Delta To NRP",I13&lt;0)</formula>
    </cfRule>
    <cfRule type="expression" dxfId="7" priority="3">
      <formula>AND($F13="Cumulative Delta To NRP",I13&gt;0)</formula>
    </cfRule>
  </conditionalFormatting>
  <conditionalFormatting sqref="I14:AF1288">
    <cfRule type="expression" dxfId="6" priority="4">
      <formula>AND($F14="Cumulative Delta To Prior Commit",I14&lt;0)</formula>
    </cfRule>
    <cfRule type="expression" dxfId="5" priority="2">
      <formula>AND($F14="Cumulative Delta To Prior Commit",I14&gt;0)</formula>
    </cfRule>
  </conditionalFormatting>
  <conditionalFormatting sqref="H8:AF1288">
    <cfRule type="expression" dxfId="4" priority="1">
      <formula>AND($F8="Future Deliveries Total",H8&lt;&gt;H9)</formula>
    </cfRule>
  </conditionalFormatting>
  <pageMargins left="0.7" right="0.7" top="0.75" bottom="0.75" header="0.3" footer="0.3"/>
  <customProperties>
    <customPr name="IbpWorksheetKeyString_GUID" r:id="rId1"/>
  </customPropertie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8376EA-0CFC-4CCA-A78C-8206AA5F2B1B}">
  <dimension ref="A1:G56"/>
  <sheetViews>
    <sheetView workbookViewId="0"/>
  </sheetViews>
  <sheetFormatPr defaultRowHeight="14.4" x14ac:dyDescent="0.3"/>
  <cols>
    <col min="1" max="1" width="29.33203125" bestFit="1" customWidth="1"/>
    <col min="2" max="2" width="17.6640625" style="46" bestFit="1" customWidth="1"/>
    <col min="3" max="3" width="10.44140625" style="51" bestFit="1" customWidth="1"/>
    <col min="4" max="4" width="9.5546875" style="53" bestFit="1" customWidth="1"/>
    <col min="5" max="5" width="25.6640625" style="55" bestFit="1" customWidth="1"/>
    <col min="6" max="6" width="17.6640625" style="51" bestFit="1" customWidth="1"/>
    <col min="7" max="7" width="27.33203125" bestFit="1" customWidth="1"/>
  </cols>
  <sheetData>
    <row r="1" spans="1:7" ht="15" thickBot="1" x14ac:dyDescent="0.35">
      <c r="A1" s="47" t="s">
        <v>126</v>
      </c>
      <c r="B1" s="48" t="s">
        <v>122</v>
      </c>
      <c r="C1" s="50" t="s">
        <v>142</v>
      </c>
      <c r="D1" s="52" t="s">
        <v>143</v>
      </c>
      <c r="E1" s="54" t="s">
        <v>144</v>
      </c>
      <c r="F1" s="56" t="s">
        <v>145</v>
      </c>
      <c r="G1" s="49" t="s">
        <v>146</v>
      </c>
    </row>
    <row r="2" spans="1:7" x14ac:dyDescent="0.3">
      <c r="A2" t="s">
        <v>175</v>
      </c>
      <c r="B2" s="46" t="s">
        <v>177</v>
      </c>
    </row>
    <row r="3" spans="1:7" x14ac:dyDescent="0.3">
      <c r="A3" t="s">
        <v>179</v>
      </c>
      <c r="B3" s="46" t="s">
        <v>177</v>
      </c>
    </row>
    <row r="4" spans="1:7" x14ac:dyDescent="0.3">
      <c r="A4" t="s">
        <v>182</v>
      </c>
      <c r="B4" s="46" t="s">
        <v>177</v>
      </c>
    </row>
    <row r="5" spans="1:7" x14ac:dyDescent="0.3">
      <c r="A5" t="s">
        <v>185</v>
      </c>
      <c r="B5" s="46" t="s">
        <v>177</v>
      </c>
    </row>
    <row r="6" spans="1:7" x14ac:dyDescent="0.3">
      <c r="A6" t="s">
        <v>188</v>
      </c>
      <c r="B6" s="46" t="s">
        <v>177</v>
      </c>
    </row>
    <row r="7" spans="1:7" x14ac:dyDescent="0.3">
      <c r="A7" t="s">
        <v>190</v>
      </c>
      <c r="B7" s="46" t="s">
        <v>177</v>
      </c>
    </row>
    <row r="8" spans="1:7" x14ac:dyDescent="0.3">
      <c r="A8" t="s">
        <v>192</v>
      </c>
      <c r="B8" s="46" t="s">
        <v>177</v>
      </c>
    </row>
    <row r="9" spans="1:7" x14ac:dyDescent="0.3">
      <c r="A9" t="s">
        <v>194</v>
      </c>
      <c r="B9" s="46" t="s">
        <v>195</v>
      </c>
    </row>
    <row r="10" spans="1:7" x14ac:dyDescent="0.3">
      <c r="A10" t="s">
        <v>194</v>
      </c>
      <c r="B10" s="46" t="s">
        <v>177</v>
      </c>
    </row>
    <row r="11" spans="1:7" x14ac:dyDescent="0.3">
      <c r="A11" t="s">
        <v>197</v>
      </c>
      <c r="B11" s="46" t="s">
        <v>177</v>
      </c>
    </row>
    <row r="12" spans="1:7" x14ac:dyDescent="0.3">
      <c r="A12" t="s">
        <v>197</v>
      </c>
      <c r="B12" s="46" t="s">
        <v>195</v>
      </c>
    </row>
    <row r="13" spans="1:7" x14ac:dyDescent="0.3">
      <c r="A13" t="s">
        <v>203</v>
      </c>
      <c r="B13" s="46" t="s">
        <v>177</v>
      </c>
    </row>
    <row r="14" spans="1:7" x14ac:dyDescent="0.3">
      <c r="A14" t="s">
        <v>203</v>
      </c>
      <c r="B14" s="46" t="s">
        <v>195</v>
      </c>
    </row>
    <row r="15" spans="1:7" x14ac:dyDescent="0.3">
      <c r="A15" t="s">
        <v>209</v>
      </c>
      <c r="B15" s="46" t="s">
        <v>177</v>
      </c>
    </row>
    <row r="16" spans="1:7" x14ac:dyDescent="0.3">
      <c r="A16" t="s">
        <v>209</v>
      </c>
      <c r="B16" s="46" t="s">
        <v>195</v>
      </c>
    </row>
    <row r="17" spans="1:2" x14ac:dyDescent="0.3">
      <c r="A17" t="s">
        <v>212</v>
      </c>
      <c r="B17" s="46" t="s">
        <v>177</v>
      </c>
    </row>
    <row r="18" spans="1:2" x14ac:dyDescent="0.3">
      <c r="A18" t="s">
        <v>214</v>
      </c>
      <c r="B18" s="46" t="s">
        <v>177</v>
      </c>
    </row>
    <row r="19" spans="1:2" x14ac:dyDescent="0.3">
      <c r="A19" t="s">
        <v>217</v>
      </c>
      <c r="B19" s="46" t="s">
        <v>177</v>
      </c>
    </row>
    <row r="20" spans="1:2" x14ac:dyDescent="0.3">
      <c r="A20" t="s">
        <v>220</v>
      </c>
      <c r="B20" s="46" t="s">
        <v>177</v>
      </c>
    </row>
    <row r="21" spans="1:2" x14ac:dyDescent="0.3">
      <c r="A21" t="s">
        <v>220</v>
      </c>
      <c r="B21" s="46" t="s">
        <v>221</v>
      </c>
    </row>
    <row r="22" spans="1:2" x14ac:dyDescent="0.3">
      <c r="A22" t="s">
        <v>226</v>
      </c>
      <c r="B22" s="46" t="s">
        <v>177</v>
      </c>
    </row>
    <row r="23" spans="1:2" x14ac:dyDescent="0.3">
      <c r="A23" t="s">
        <v>226</v>
      </c>
      <c r="B23" s="46" t="s">
        <v>221</v>
      </c>
    </row>
    <row r="24" spans="1:2" x14ac:dyDescent="0.3">
      <c r="A24" t="s">
        <v>229</v>
      </c>
      <c r="B24" s="46" t="s">
        <v>177</v>
      </c>
    </row>
    <row r="25" spans="1:2" x14ac:dyDescent="0.3">
      <c r="A25" t="s">
        <v>233</v>
      </c>
      <c r="B25" s="46" t="s">
        <v>195</v>
      </c>
    </row>
    <row r="26" spans="1:2" x14ac:dyDescent="0.3">
      <c r="A26" t="s">
        <v>233</v>
      </c>
      <c r="B26" s="46" t="s">
        <v>177</v>
      </c>
    </row>
    <row r="27" spans="1:2" x14ac:dyDescent="0.3">
      <c r="A27" t="s">
        <v>182</v>
      </c>
      <c r="B27" s="46" t="s">
        <v>195</v>
      </c>
    </row>
    <row r="28" spans="1:2" x14ac:dyDescent="0.3">
      <c r="A28" t="s">
        <v>239</v>
      </c>
      <c r="B28" s="46" t="s">
        <v>195</v>
      </c>
    </row>
    <row r="29" spans="1:2" x14ac:dyDescent="0.3">
      <c r="A29" t="s">
        <v>239</v>
      </c>
      <c r="B29" s="46" t="s">
        <v>177</v>
      </c>
    </row>
    <row r="30" spans="1:2" x14ac:dyDescent="0.3">
      <c r="A30" t="s">
        <v>242</v>
      </c>
      <c r="B30" s="46" t="s">
        <v>195</v>
      </c>
    </row>
    <row r="31" spans="1:2" x14ac:dyDescent="0.3">
      <c r="A31" t="s">
        <v>242</v>
      </c>
      <c r="B31" s="46" t="s">
        <v>177</v>
      </c>
    </row>
    <row r="32" spans="1:2" x14ac:dyDescent="0.3">
      <c r="A32" t="s">
        <v>246</v>
      </c>
      <c r="B32" s="46" t="s">
        <v>177</v>
      </c>
    </row>
    <row r="33" spans="1:2" x14ac:dyDescent="0.3">
      <c r="A33" t="s">
        <v>246</v>
      </c>
      <c r="B33" s="46" t="s">
        <v>195</v>
      </c>
    </row>
    <row r="34" spans="1:2" x14ac:dyDescent="0.3">
      <c r="A34" t="s">
        <v>249</v>
      </c>
      <c r="B34" s="46" t="s">
        <v>177</v>
      </c>
    </row>
    <row r="35" spans="1:2" x14ac:dyDescent="0.3">
      <c r="A35" t="s">
        <v>251</v>
      </c>
      <c r="B35" s="46" t="s">
        <v>177</v>
      </c>
    </row>
    <row r="36" spans="1:2" x14ac:dyDescent="0.3">
      <c r="A36" t="s">
        <v>258</v>
      </c>
      <c r="B36" s="46" t="s">
        <v>177</v>
      </c>
    </row>
    <row r="37" spans="1:2" x14ac:dyDescent="0.3">
      <c r="A37" t="s">
        <v>258</v>
      </c>
      <c r="B37" s="46" t="s">
        <v>195</v>
      </c>
    </row>
    <row r="38" spans="1:2" x14ac:dyDescent="0.3">
      <c r="A38" t="s">
        <v>264</v>
      </c>
      <c r="B38" s="46" t="s">
        <v>177</v>
      </c>
    </row>
    <row r="39" spans="1:2" x14ac:dyDescent="0.3">
      <c r="A39" t="s">
        <v>267</v>
      </c>
      <c r="B39" s="46" t="s">
        <v>195</v>
      </c>
    </row>
    <row r="40" spans="1:2" x14ac:dyDescent="0.3">
      <c r="A40" t="s">
        <v>267</v>
      </c>
      <c r="B40" s="46" t="s">
        <v>177</v>
      </c>
    </row>
    <row r="41" spans="1:2" x14ac:dyDescent="0.3">
      <c r="A41" t="s">
        <v>269</v>
      </c>
      <c r="B41" s="46" t="s">
        <v>177</v>
      </c>
    </row>
    <row r="42" spans="1:2" x14ac:dyDescent="0.3">
      <c r="A42" t="s">
        <v>272</v>
      </c>
      <c r="B42" s="46" t="s">
        <v>195</v>
      </c>
    </row>
    <row r="43" spans="1:2" x14ac:dyDescent="0.3">
      <c r="A43" t="s">
        <v>272</v>
      </c>
      <c r="B43" s="46" t="s">
        <v>177</v>
      </c>
    </row>
    <row r="44" spans="1:2" x14ac:dyDescent="0.3">
      <c r="A44" t="s">
        <v>275</v>
      </c>
      <c r="B44" s="46" t="s">
        <v>177</v>
      </c>
    </row>
    <row r="45" spans="1:2" x14ac:dyDescent="0.3">
      <c r="A45" t="s">
        <v>277</v>
      </c>
      <c r="B45" s="46" t="s">
        <v>177</v>
      </c>
    </row>
    <row r="46" spans="1:2" x14ac:dyDescent="0.3">
      <c r="A46" t="s">
        <v>279</v>
      </c>
      <c r="B46" s="46" t="s">
        <v>195</v>
      </c>
    </row>
    <row r="47" spans="1:2" x14ac:dyDescent="0.3">
      <c r="A47" t="s">
        <v>279</v>
      </c>
      <c r="B47" s="46" t="s">
        <v>177</v>
      </c>
    </row>
    <row r="48" spans="1:2" x14ac:dyDescent="0.3">
      <c r="A48" t="s">
        <v>282</v>
      </c>
      <c r="B48" s="46" t="s">
        <v>177</v>
      </c>
    </row>
    <row r="49" spans="1:2" x14ac:dyDescent="0.3">
      <c r="A49" t="s">
        <v>285</v>
      </c>
      <c r="B49" s="46" t="s">
        <v>177</v>
      </c>
    </row>
    <row r="50" spans="1:2" x14ac:dyDescent="0.3">
      <c r="A50" t="s">
        <v>288</v>
      </c>
      <c r="B50" s="46" t="s">
        <v>195</v>
      </c>
    </row>
    <row r="51" spans="1:2" x14ac:dyDescent="0.3">
      <c r="A51" t="s">
        <v>288</v>
      </c>
      <c r="B51" s="46" t="s">
        <v>177</v>
      </c>
    </row>
    <row r="52" spans="1:2" x14ac:dyDescent="0.3">
      <c r="A52" t="s">
        <v>292</v>
      </c>
      <c r="B52" s="46" t="s">
        <v>195</v>
      </c>
    </row>
    <row r="53" spans="1:2" x14ac:dyDescent="0.3">
      <c r="A53" t="s">
        <v>294</v>
      </c>
      <c r="B53" s="46" t="s">
        <v>195</v>
      </c>
    </row>
    <row r="54" spans="1:2" x14ac:dyDescent="0.3">
      <c r="A54" t="s">
        <v>298</v>
      </c>
      <c r="B54" s="46" t="s">
        <v>195</v>
      </c>
    </row>
    <row r="55" spans="1:2" x14ac:dyDescent="0.3">
      <c r="A55" t="s">
        <v>298</v>
      </c>
      <c r="B55" s="46" t="s">
        <v>177</v>
      </c>
    </row>
    <row r="56" spans="1:2" x14ac:dyDescent="0.3">
      <c r="A56" t="s">
        <v>301</v>
      </c>
      <c r="B56" s="46" t="s">
        <v>177</v>
      </c>
    </row>
  </sheetData>
  <pageMargins left="0.7" right="0.7" top="0.75" bottom="0.75" header="0.3" footer="0.3"/>
  <customProperties>
    <customPr name="IbpWorksheetKeyString_GUID" r:id="rId1"/>
  </customProperties>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C7572-B6F0-4C66-854A-A0BB4138B066}">
  <dimension ref="A1:Z100"/>
  <sheetViews>
    <sheetView workbookViewId="0"/>
  </sheetViews>
  <sheetFormatPr defaultRowHeight="14.4" x14ac:dyDescent="0.3"/>
  <cols>
    <col min="1" max="1" width="15.77734375" bestFit="1" customWidth="1"/>
    <col min="2" max="2" width="17.6640625" bestFit="1" customWidth="1"/>
    <col min="3" max="4" width="9.5546875" bestFit="1" customWidth="1"/>
    <col min="5" max="8" width="10.5546875" bestFit="1" customWidth="1"/>
    <col min="9" max="9" width="9.5546875" bestFit="1" customWidth="1"/>
    <col min="10" max="12" width="10.5546875" bestFit="1" customWidth="1"/>
    <col min="13" max="13" width="9.5546875" bestFit="1" customWidth="1"/>
    <col min="14" max="16" width="10.5546875" bestFit="1" customWidth="1"/>
    <col min="17" max="18" width="8.5546875" bestFit="1" customWidth="1"/>
    <col min="19" max="21" width="9.5546875" bestFit="1" customWidth="1"/>
    <col min="22" max="22" width="8.5546875" bestFit="1" customWidth="1"/>
    <col min="23" max="25" width="9.5546875" bestFit="1" customWidth="1"/>
    <col min="26" max="26" width="8.5546875" bestFit="1" customWidth="1"/>
  </cols>
  <sheetData>
    <row r="1" spans="1:26" ht="15" thickBot="1" x14ac:dyDescent="0.35">
      <c r="A1" s="34" t="s">
        <v>113</v>
      </c>
      <c r="B1" s="34" t="s">
        <v>122</v>
      </c>
      <c r="C1" s="35">
        <v>44830</v>
      </c>
      <c r="D1" s="35">
        <v>44837</v>
      </c>
      <c r="E1" s="35">
        <v>44844</v>
      </c>
      <c r="F1" s="35">
        <v>44851</v>
      </c>
      <c r="G1" s="35">
        <v>44858</v>
      </c>
      <c r="H1" s="35">
        <v>44865</v>
      </c>
      <c r="I1" s="35">
        <v>44872</v>
      </c>
      <c r="J1" s="35">
        <v>44879</v>
      </c>
      <c r="K1" s="35">
        <v>44886</v>
      </c>
      <c r="L1" s="35">
        <v>44893</v>
      </c>
      <c r="M1" s="35">
        <v>44900</v>
      </c>
      <c r="N1" s="35">
        <v>44907</v>
      </c>
      <c r="O1" s="35">
        <v>44914</v>
      </c>
      <c r="P1" s="35">
        <v>44921</v>
      </c>
      <c r="Q1" s="35">
        <v>44928</v>
      </c>
      <c r="R1" s="35">
        <v>44935</v>
      </c>
      <c r="S1" s="35">
        <v>44942</v>
      </c>
      <c r="T1" s="35">
        <v>44949</v>
      </c>
      <c r="U1" s="35">
        <v>44956</v>
      </c>
      <c r="V1" s="35">
        <v>44963</v>
      </c>
      <c r="W1" s="35">
        <v>44970</v>
      </c>
      <c r="X1" s="35">
        <v>44977</v>
      </c>
      <c r="Y1" s="35">
        <v>44984</v>
      </c>
      <c r="Z1" s="35">
        <v>44991</v>
      </c>
    </row>
    <row r="2" spans="1:26" x14ac:dyDescent="0.3">
      <c r="A2" t="s">
        <v>173</v>
      </c>
      <c r="B2" t="s">
        <v>177</v>
      </c>
    </row>
    <row r="3" spans="1:26" x14ac:dyDescent="0.3">
      <c r="A3" t="s">
        <v>178</v>
      </c>
      <c r="B3" t="s">
        <v>177</v>
      </c>
    </row>
    <row r="4" spans="1:26" x14ac:dyDescent="0.3">
      <c r="A4" t="s">
        <v>181</v>
      </c>
      <c r="B4" t="s">
        <v>177</v>
      </c>
    </row>
    <row r="5" spans="1:26" x14ac:dyDescent="0.3">
      <c r="A5" t="s">
        <v>184</v>
      </c>
      <c r="B5" t="s">
        <v>177</v>
      </c>
    </row>
    <row r="6" spans="1:26" x14ac:dyDescent="0.3">
      <c r="A6" t="s">
        <v>187</v>
      </c>
      <c r="B6" t="s">
        <v>177</v>
      </c>
    </row>
    <row r="7" spans="1:26" x14ac:dyDescent="0.3">
      <c r="A7" t="s">
        <v>189</v>
      </c>
      <c r="B7" t="s">
        <v>177</v>
      </c>
    </row>
    <row r="8" spans="1:26" x14ac:dyDescent="0.3">
      <c r="A8" t="s">
        <v>191</v>
      </c>
      <c r="B8" t="s">
        <v>177</v>
      </c>
    </row>
    <row r="9" spans="1:26" x14ac:dyDescent="0.3">
      <c r="A9" t="s">
        <v>193</v>
      </c>
      <c r="B9" t="s">
        <v>195</v>
      </c>
    </row>
    <row r="10" spans="1:26" x14ac:dyDescent="0.3">
      <c r="A10" t="s">
        <v>193</v>
      </c>
      <c r="B10" t="s">
        <v>177</v>
      </c>
    </row>
    <row r="11" spans="1:26" x14ac:dyDescent="0.3">
      <c r="A11" t="s">
        <v>196</v>
      </c>
      <c r="B11" t="s">
        <v>177</v>
      </c>
    </row>
    <row r="12" spans="1:26" x14ac:dyDescent="0.3">
      <c r="A12" t="s">
        <v>199</v>
      </c>
      <c r="B12" t="s">
        <v>195</v>
      </c>
    </row>
    <row r="13" spans="1:26" x14ac:dyDescent="0.3">
      <c r="A13" t="s">
        <v>199</v>
      </c>
      <c r="B13" t="s">
        <v>177</v>
      </c>
    </row>
    <row r="14" spans="1:26" x14ac:dyDescent="0.3">
      <c r="A14" t="s">
        <v>200</v>
      </c>
      <c r="B14" t="s">
        <v>195</v>
      </c>
    </row>
    <row r="15" spans="1:26" x14ac:dyDescent="0.3">
      <c r="A15" t="s">
        <v>200</v>
      </c>
      <c r="B15" t="s">
        <v>177</v>
      </c>
    </row>
    <row r="16" spans="1:26" x14ac:dyDescent="0.3">
      <c r="A16" t="s">
        <v>201</v>
      </c>
      <c r="B16" t="s">
        <v>195</v>
      </c>
    </row>
    <row r="17" spans="1:2" x14ac:dyDescent="0.3">
      <c r="A17" t="s">
        <v>201</v>
      </c>
      <c r="B17" t="s">
        <v>177</v>
      </c>
    </row>
    <row r="18" spans="1:2" x14ac:dyDescent="0.3">
      <c r="A18" t="s">
        <v>202</v>
      </c>
      <c r="B18" t="s">
        <v>177</v>
      </c>
    </row>
    <row r="19" spans="1:2" x14ac:dyDescent="0.3">
      <c r="A19" t="s">
        <v>204</v>
      </c>
      <c r="B19" t="s">
        <v>177</v>
      </c>
    </row>
    <row r="20" spans="1:2" x14ac:dyDescent="0.3">
      <c r="A20" t="s">
        <v>205</v>
      </c>
      <c r="B20" t="s">
        <v>177</v>
      </c>
    </row>
    <row r="21" spans="1:2" x14ac:dyDescent="0.3">
      <c r="A21" t="s">
        <v>206</v>
      </c>
      <c r="B21" t="s">
        <v>195</v>
      </c>
    </row>
    <row r="22" spans="1:2" x14ac:dyDescent="0.3">
      <c r="A22" t="s">
        <v>207</v>
      </c>
      <c r="B22" t="s">
        <v>195</v>
      </c>
    </row>
    <row r="23" spans="1:2" x14ac:dyDescent="0.3">
      <c r="A23" t="s">
        <v>207</v>
      </c>
      <c r="B23" t="s">
        <v>177</v>
      </c>
    </row>
    <row r="24" spans="1:2" x14ac:dyDescent="0.3">
      <c r="A24" t="s">
        <v>208</v>
      </c>
      <c r="B24" t="s">
        <v>177</v>
      </c>
    </row>
    <row r="25" spans="1:2" x14ac:dyDescent="0.3">
      <c r="A25" t="s">
        <v>210</v>
      </c>
      <c r="B25" t="s">
        <v>195</v>
      </c>
    </row>
    <row r="26" spans="1:2" x14ac:dyDescent="0.3">
      <c r="A26" t="s">
        <v>210</v>
      </c>
      <c r="B26" t="s">
        <v>177</v>
      </c>
    </row>
    <row r="27" spans="1:2" x14ac:dyDescent="0.3">
      <c r="A27" t="s">
        <v>211</v>
      </c>
      <c r="B27" t="s">
        <v>177</v>
      </c>
    </row>
    <row r="28" spans="1:2" x14ac:dyDescent="0.3">
      <c r="A28" t="s">
        <v>213</v>
      </c>
      <c r="B28" t="s">
        <v>177</v>
      </c>
    </row>
    <row r="29" spans="1:2" x14ac:dyDescent="0.3">
      <c r="A29" t="s">
        <v>215</v>
      </c>
      <c r="B29" t="s">
        <v>177</v>
      </c>
    </row>
    <row r="30" spans="1:2" x14ac:dyDescent="0.3">
      <c r="A30" t="s">
        <v>216</v>
      </c>
      <c r="B30" t="s">
        <v>177</v>
      </c>
    </row>
    <row r="31" spans="1:2" x14ac:dyDescent="0.3">
      <c r="A31" t="s">
        <v>218</v>
      </c>
      <c r="B31" t="s">
        <v>177</v>
      </c>
    </row>
    <row r="32" spans="1:2" x14ac:dyDescent="0.3">
      <c r="A32" t="s">
        <v>219</v>
      </c>
      <c r="B32" t="s">
        <v>177</v>
      </c>
    </row>
    <row r="33" spans="1:2" x14ac:dyDescent="0.3">
      <c r="A33" t="s">
        <v>219</v>
      </c>
      <c r="B33" t="s">
        <v>221</v>
      </c>
    </row>
    <row r="34" spans="1:2" x14ac:dyDescent="0.3">
      <c r="A34" t="s">
        <v>222</v>
      </c>
      <c r="B34" t="s">
        <v>177</v>
      </c>
    </row>
    <row r="35" spans="1:2" x14ac:dyDescent="0.3">
      <c r="A35" t="s">
        <v>223</v>
      </c>
      <c r="B35" t="s">
        <v>177</v>
      </c>
    </row>
    <row r="36" spans="1:2" x14ac:dyDescent="0.3">
      <c r="A36" t="s">
        <v>224</v>
      </c>
      <c r="B36" t="s">
        <v>177</v>
      </c>
    </row>
    <row r="37" spans="1:2" x14ac:dyDescent="0.3">
      <c r="A37" t="s">
        <v>225</v>
      </c>
      <c r="B37" t="s">
        <v>177</v>
      </c>
    </row>
    <row r="38" spans="1:2" x14ac:dyDescent="0.3">
      <c r="A38" t="s">
        <v>225</v>
      </c>
      <c r="B38" t="s">
        <v>221</v>
      </c>
    </row>
    <row r="39" spans="1:2" x14ac:dyDescent="0.3">
      <c r="A39" t="s">
        <v>227</v>
      </c>
      <c r="B39" t="s">
        <v>177</v>
      </c>
    </row>
    <row r="40" spans="1:2" x14ac:dyDescent="0.3">
      <c r="A40" t="s">
        <v>228</v>
      </c>
      <c r="B40" t="s">
        <v>177</v>
      </c>
    </row>
    <row r="41" spans="1:2" x14ac:dyDescent="0.3">
      <c r="A41" t="s">
        <v>230</v>
      </c>
      <c r="B41" t="s">
        <v>177</v>
      </c>
    </row>
    <row r="42" spans="1:2" x14ac:dyDescent="0.3">
      <c r="A42" t="s">
        <v>231</v>
      </c>
      <c r="B42" t="s">
        <v>177</v>
      </c>
    </row>
    <row r="43" spans="1:2" x14ac:dyDescent="0.3">
      <c r="A43" t="s">
        <v>232</v>
      </c>
      <c r="B43" t="s">
        <v>195</v>
      </c>
    </row>
    <row r="44" spans="1:2" x14ac:dyDescent="0.3">
      <c r="A44" t="s">
        <v>232</v>
      </c>
      <c r="B44" t="s">
        <v>177</v>
      </c>
    </row>
    <row r="45" spans="1:2" x14ac:dyDescent="0.3">
      <c r="A45" t="s">
        <v>234</v>
      </c>
      <c r="B45" t="s">
        <v>177</v>
      </c>
    </row>
    <row r="46" spans="1:2" x14ac:dyDescent="0.3">
      <c r="A46" t="s">
        <v>235</v>
      </c>
      <c r="B46" t="s">
        <v>177</v>
      </c>
    </row>
    <row r="47" spans="1:2" x14ac:dyDescent="0.3">
      <c r="A47" t="s">
        <v>236</v>
      </c>
      <c r="B47" t="s">
        <v>177</v>
      </c>
    </row>
    <row r="48" spans="1:2" x14ac:dyDescent="0.3">
      <c r="A48" t="s">
        <v>237</v>
      </c>
      <c r="B48" t="s">
        <v>195</v>
      </c>
    </row>
    <row r="49" spans="1:2" x14ac:dyDescent="0.3">
      <c r="A49" t="s">
        <v>237</v>
      </c>
      <c r="B49" t="s">
        <v>177</v>
      </c>
    </row>
    <row r="50" spans="1:2" x14ac:dyDescent="0.3">
      <c r="A50" t="s">
        <v>238</v>
      </c>
      <c r="B50" t="s">
        <v>195</v>
      </c>
    </row>
    <row r="51" spans="1:2" x14ac:dyDescent="0.3">
      <c r="A51" t="s">
        <v>240</v>
      </c>
      <c r="B51" t="s">
        <v>195</v>
      </c>
    </row>
    <row r="52" spans="1:2" x14ac:dyDescent="0.3">
      <c r="A52" t="s">
        <v>240</v>
      </c>
      <c r="B52" t="s">
        <v>177</v>
      </c>
    </row>
    <row r="53" spans="1:2" x14ac:dyDescent="0.3">
      <c r="A53" t="s">
        <v>241</v>
      </c>
      <c r="B53" t="s">
        <v>195</v>
      </c>
    </row>
    <row r="54" spans="1:2" x14ac:dyDescent="0.3">
      <c r="A54" t="s">
        <v>241</v>
      </c>
      <c r="B54" t="s">
        <v>177</v>
      </c>
    </row>
    <row r="55" spans="1:2" x14ac:dyDescent="0.3">
      <c r="A55" t="s">
        <v>243</v>
      </c>
      <c r="B55" t="s">
        <v>195</v>
      </c>
    </row>
    <row r="56" spans="1:2" x14ac:dyDescent="0.3">
      <c r="A56" t="s">
        <v>243</v>
      </c>
      <c r="B56" t="s">
        <v>177</v>
      </c>
    </row>
    <row r="57" spans="1:2" x14ac:dyDescent="0.3">
      <c r="A57" t="s">
        <v>245</v>
      </c>
      <c r="B57" t="s">
        <v>177</v>
      </c>
    </row>
    <row r="58" spans="1:2" x14ac:dyDescent="0.3">
      <c r="A58" t="s">
        <v>247</v>
      </c>
      <c r="B58" t="s">
        <v>195</v>
      </c>
    </row>
    <row r="59" spans="1:2" x14ac:dyDescent="0.3">
      <c r="A59" t="s">
        <v>247</v>
      </c>
      <c r="B59" t="s">
        <v>177</v>
      </c>
    </row>
    <row r="60" spans="1:2" x14ac:dyDescent="0.3">
      <c r="A60" t="s">
        <v>248</v>
      </c>
      <c r="B60" t="s">
        <v>177</v>
      </c>
    </row>
    <row r="61" spans="1:2" x14ac:dyDescent="0.3">
      <c r="A61" t="s">
        <v>250</v>
      </c>
      <c r="B61" t="s">
        <v>177</v>
      </c>
    </row>
    <row r="62" spans="1:2" x14ac:dyDescent="0.3">
      <c r="A62" t="s">
        <v>252</v>
      </c>
      <c r="B62" t="s">
        <v>177</v>
      </c>
    </row>
    <row r="63" spans="1:2" x14ac:dyDescent="0.3">
      <c r="A63" t="s">
        <v>253</v>
      </c>
      <c r="B63" t="s">
        <v>177</v>
      </c>
    </row>
    <row r="64" spans="1:2" x14ac:dyDescent="0.3">
      <c r="A64" t="s">
        <v>254</v>
      </c>
      <c r="B64" t="s">
        <v>177</v>
      </c>
    </row>
    <row r="65" spans="1:2" x14ac:dyDescent="0.3">
      <c r="A65" t="s">
        <v>255</v>
      </c>
      <c r="B65" t="s">
        <v>177</v>
      </c>
    </row>
    <row r="66" spans="1:2" x14ac:dyDescent="0.3">
      <c r="A66" t="s">
        <v>256</v>
      </c>
      <c r="B66" t="s">
        <v>177</v>
      </c>
    </row>
    <row r="67" spans="1:2" x14ac:dyDescent="0.3">
      <c r="A67" t="s">
        <v>257</v>
      </c>
      <c r="B67" t="s">
        <v>177</v>
      </c>
    </row>
    <row r="68" spans="1:2" x14ac:dyDescent="0.3">
      <c r="A68" t="s">
        <v>259</v>
      </c>
      <c r="B68" t="s">
        <v>195</v>
      </c>
    </row>
    <row r="69" spans="1:2" x14ac:dyDescent="0.3">
      <c r="A69" t="s">
        <v>259</v>
      </c>
      <c r="B69" t="s">
        <v>177</v>
      </c>
    </row>
    <row r="70" spans="1:2" x14ac:dyDescent="0.3">
      <c r="A70" t="s">
        <v>260</v>
      </c>
      <c r="B70" t="s">
        <v>177</v>
      </c>
    </row>
    <row r="71" spans="1:2" x14ac:dyDescent="0.3">
      <c r="A71" t="s">
        <v>261</v>
      </c>
      <c r="B71" t="s">
        <v>177</v>
      </c>
    </row>
    <row r="72" spans="1:2" x14ac:dyDescent="0.3">
      <c r="A72" t="s">
        <v>263</v>
      </c>
      <c r="B72" t="s">
        <v>177</v>
      </c>
    </row>
    <row r="73" spans="1:2" x14ac:dyDescent="0.3">
      <c r="A73" t="s">
        <v>265</v>
      </c>
      <c r="B73" t="s">
        <v>177</v>
      </c>
    </row>
    <row r="74" spans="1:2" x14ac:dyDescent="0.3">
      <c r="A74" t="s">
        <v>266</v>
      </c>
      <c r="B74" t="s">
        <v>195</v>
      </c>
    </row>
    <row r="75" spans="1:2" x14ac:dyDescent="0.3">
      <c r="A75" t="s">
        <v>266</v>
      </c>
      <c r="B75" t="s">
        <v>177</v>
      </c>
    </row>
    <row r="76" spans="1:2" x14ac:dyDescent="0.3">
      <c r="A76" t="s">
        <v>268</v>
      </c>
      <c r="B76" t="s">
        <v>177</v>
      </c>
    </row>
    <row r="77" spans="1:2" x14ac:dyDescent="0.3">
      <c r="A77" t="s">
        <v>270</v>
      </c>
      <c r="B77" t="s">
        <v>177</v>
      </c>
    </row>
    <row r="78" spans="1:2" x14ac:dyDescent="0.3">
      <c r="A78" t="s">
        <v>271</v>
      </c>
      <c r="B78" t="s">
        <v>195</v>
      </c>
    </row>
    <row r="79" spans="1:2" x14ac:dyDescent="0.3">
      <c r="A79" t="s">
        <v>271</v>
      </c>
      <c r="B79" t="s">
        <v>177</v>
      </c>
    </row>
    <row r="80" spans="1:2" x14ac:dyDescent="0.3">
      <c r="A80" t="s">
        <v>273</v>
      </c>
      <c r="B80" t="s">
        <v>177</v>
      </c>
    </row>
    <row r="81" spans="1:2" x14ac:dyDescent="0.3">
      <c r="A81" t="s">
        <v>274</v>
      </c>
      <c r="B81" t="s">
        <v>177</v>
      </c>
    </row>
    <row r="82" spans="1:2" x14ac:dyDescent="0.3">
      <c r="A82" t="s">
        <v>276</v>
      </c>
      <c r="B82" t="s">
        <v>177</v>
      </c>
    </row>
    <row r="83" spans="1:2" x14ac:dyDescent="0.3">
      <c r="A83" t="s">
        <v>278</v>
      </c>
      <c r="B83" t="s">
        <v>195</v>
      </c>
    </row>
    <row r="84" spans="1:2" x14ac:dyDescent="0.3">
      <c r="A84" t="s">
        <v>278</v>
      </c>
      <c r="B84" t="s">
        <v>177</v>
      </c>
    </row>
    <row r="85" spans="1:2" x14ac:dyDescent="0.3">
      <c r="A85" t="s">
        <v>280</v>
      </c>
      <c r="B85" t="s">
        <v>195</v>
      </c>
    </row>
    <row r="86" spans="1:2" x14ac:dyDescent="0.3">
      <c r="A86" t="s">
        <v>281</v>
      </c>
      <c r="B86" t="s">
        <v>177</v>
      </c>
    </row>
    <row r="87" spans="1:2" x14ac:dyDescent="0.3">
      <c r="A87" t="s">
        <v>283</v>
      </c>
      <c r="B87" t="s">
        <v>177</v>
      </c>
    </row>
    <row r="88" spans="1:2" x14ac:dyDescent="0.3">
      <c r="A88" t="s">
        <v>284</v>
      </c>
      <c r="B88" t="s">
        <v>177</v>
      </c>
    </row>
    <row r="89" spans="1:2" x14ac:dyDescent="0.3">
      <c r="A89" t="s">
        <v>286</v>
      </c>
      <c r="B89" t="s">
        <v>177</v>
      </c>
    </row>
    <row r="90" spans="1:2" x14ac:dyDescent="0.3">
      <c r="A90" t="s">
        <v>287</v>
      </c>
      <c r="B90" t="s">
        <v>195</v>
      </c>
    </row>
    <row r="91" spans="1:2" x14ac:dyDescent="0.3">
      <c r="A91" t="s">
        <v>287</v>
      </c>
      <c r="B91" t="s">
        <v>177</v>
      </c>
    </row>
    <row r="92" spans="1:2" x14ac:dyDescent="0.3">
      <c r="A92" t="s">
        <v>289</v>
      </c>
      <c r="B92" t="s">
        <v>177</v>
      </c>
    </row>
    <row r="93" spans="1:2" x14ac:dyDescent="0.3">
      <c r="A93" t="s">
        <v>290</v>
      </c>
      <c r="B93" t="s">
        <v>177</v>
      </c>
    </row>
    <row r="94" spans="1:2" x14ac:dyDescent="0.3">
      <c r="A94" t="s">
        <v>291</v>
      </c>
      <c r="B94" t="s">
        <v>195</v>
      </c>
    </row>
    <row r="95" spans="1:2" x14ac:dyDescent="0.3">
      <c r="A95" t="s">
        <v>293</v>
      </c>
      <c r="B95" t="s">
        <v>195</v>
      </c>
    </row>
    <row r="96" spans="1:2" x14ac:dyDescent="0.3">
      <c r="A96" t="s">
        <v>295</v>
      </c>
      <c r="B96" t="s">
        <v>177</v>
      </c>
    </row>
    <row r="97" spans="1:2" x14ac:dyDescent="0.3">
      <c r="A97" t="s">
        <v>296</v>
      </c>
      <c r="B97" t="s">
        <v>177</v>
      </c>
    </row>
    <row r="98" spans="1:2" x14ac:dyDescent="0.3">
      <c r="A98" t="s">
        <v>297</v>
      </c>
      <c r="B98" t="s">
        <v>195</v>
      </c>
    </row>
    <row r="99" spans="1:2" x14ac:dyDescent="0.3">
      <c r="A99" t="s">
        <v>299</v>
      </c>
      <c r="B99" t="s">
        <v>177</v>
      </c>
    </row>
    <row r="100" spans="1:2" x14ac:dyDescent="0.3">
      <c r="A100" t="s">
        <v>300</v>
      </c>
      <c r="B100" t="s">
        <v>177</v>
      </c>
    </row>
  </sheetData>
  <pageMargins left="0.7" right="0.7" top="0.75" bottom="0.75" header="0.3" footer="0.3"/>
  <customProperties>
    <customPr name="IbpWorksheetKeyString_GUID"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2C57F-B50B-4F76-B797-752D129B14ED}">
  <dimension ref="A1:AA717"/>
  <sheetViews>
    <sheetView workbookViewId="0">
      <selection activeCell="F21" sqref="F21"/>
    </sheetView>
  </sheetViews>
  <sheetFormatPr defaultRowHeight="14.4" x14ac:dyDescent="0.3"/>
  <cols>
    <col min="1" max="1" width="20.77734375" bestFit="1" customWidth="1"/>
    <col min="2" max="2" width="19.88671875" bestFit="1" customWidth="1"/>
    <col min="3" max="3" width="31.21875" bestFit="1" customWidth="1"/>
    <col min="4" max="5" width="10.21875" bestFit="1" customWidth="1"/>
    <col min="6" max="9" width="11.21875" bestFit="1" customWidth="1"/>
    <col min="10" max="10" width="10.21875" bestFit="1" customWidth="1"/>
    <col min="11" max="13" width="11.21875" bestFit="1" customWidth="1"/>
    <col min="14" max="14" width="10.21875" bestFit="1" customWidth="1"/>
    <col min="15" max="17" width="11.21875" bestFit="1" customWidth="1"/>
    <col min="18" max="19" width="9.21875" bestFit="1" customWidth="1"/>
    <col min="20" max="22" width="10.21875" bestFit="1" customWidth="1"/>
    <col min="23" max="23" width="9.21875" bestFit="1" customWidth="1"/>
    <col min="24" max="26" width="10.21875" bestFit="1" customWidth="1"/>
    <col min="27" max="27" width="9.21875" bestFit="1" customWidth="1"/>
  </cols>
  <sheetData>
    <row r="1" spans="1:27" x14ac:dyDescent="0.3">
      <c r="D1" s="57" t="s">
        <v>147</v>
      </c>
    </row>
    <row r="2" spans="1:27" x14ac:dyDescent="0.3">
      <c r="A2" s="57" t="s">
        <v>126</v>
      </c>
      <c r="B2" s="57" t="s">
        <v>122</v>
      </c>
      <c r="C2" s="57" t="s">
        <v>114</v>
      </c>
      <c r="D2" t="s">
        <v>302</v>
      </c>
      <c r="E2" t="s">
        <v>303</v>
      </c>
      <c r="F2" t="s">
        <v>304</v>
      </c>
      <c r="G2" t="s">
        <v>148</v>
      </c>
      <c r="H2" t="s">
        <v>149</v>
      </c>
      <c r="I2" t="s">
        <v>150</v>
      </c>
      <c r="J2" t="s">
        <v>151</v>
      </c>
      <c r="K2" t="s">
        <v>152</v>
      </c>
      <c r="L2" t="s">
        <v>153</v>
      </c>
      <c r="M2" t="s">
        <v>154</v>
      </c>
      <c r="N2" t="s">
        <v>155</v>
      </c>
      <c r="O2" t="s">
        <v>156</v>
      </c>
      <c r="P2" t="s">
        <v>157</v>
      </c>
      <c r="Q2" t="s">
        <v>158</v>
      </c>
      <c r="R2" t="s">
        <v>159</v>
      </c>
      <c r="S2" t="s">
        <v>160</v>
      </c>
      <c r="T2" t="s">
        <v>161</v>
      </c>
      <c r="U2" t="s">
        <v>162</v>
      </c>
      <c r="V2" t="s">
        <v>163</v>
      </c>
      <c r="W2" t="s">
        <v>164</v>
      </c>
      <c r="X2" t="s">
        <v>165</v>
      </c>
      <c r="Y2" t="s">
        <v>166</v>
      </c>
      <c r="Z2" t="s">
        <v>167</v>
      </c>
      <c r="AA2" t="s">
        <v>168</v>
      </c>
    </row>
    <row r="3" spans="1:27" x14ac:dyDescent="0.3">
      <c r="A3" t="s">
        <v>285</v>
      </c>
      <c r="B3" t="s">
        <v>177</v>
      </c>
      <c r="C3" t="s">
        <v>129</v>
      </c>
      <c r="D3" s="36">
        <v>1159</v>
      </c>
      <c r="E3" s="36"/>
      <c r="F3" s="36"/>
      <c r="G3" s="36"/>
      <c r="H3" s="36"/>
      <c r="I3" s="36"/>
      <c r="J3" s="36"/>
      <c r="K3" s="36"/>
      <c r="L3" s="36"/>
      <c r="M3" s="36"/>
      <c r="N3" s="36"/>
      <c r="O3" s="36"/>
      <c r="P3" s="36"/>
      <c r="Q3" s="36"/>
      <c r="R3" s="36"/>
      <c r="S3" s="36"/>
      <c r="T3" s="36"/>
      <c r="U3" s="36"/>
      <c r="V3" s="36"/>
      <c r="W3" s="36"/>
      <c r="X3" s="36"/>
      <c r="Y3" s="36"/>
      <c r="Z3" s="36"/>
      <c r="AA3" s="36"/>
    </row>
    <row r="4" spans="1:27" x14ac:dyDescent="0.3">
      <c r="C4" t="s">
        <v>131</v>
      </c>
      <c r="D4" s="36">
        <v>1952</v>
      </c>
      <c r="E4" s="36">
        <v>1815</v>
      </c>
      <c r="F4" s="36">
        <v>1607</v>
      </c>
      <c r="G4" s="36">
        <v>1364</v>
      </c>
      <c r="H4" s="36">
        <v>1831</v>
      </c>
      <c r="I4" s="36">
        <v>1863</v>
      </c>
      <c r="J4" s="36">
        <v>1855</v>
      </c>
      <c r="K4" s="36">
        <v>1853</v>
      </c>
      <c r="L4" s="36">
        <v>2035</v>
      </c>
      <c r="M4" s="36">
        <v>2174</v>
      </c>
      <c r="N4" s="36">
        <v>2171</v>
      </c>
      <c r="O4" s="36">
        <v>2170</v>
      </c>
      <c r="P4" s="36">
        <v>2039</v>
      </c>
      <c r="Q4" s="36">
        <v>1246</v>
      </c>
      <c r="R4" s="36">
        <v>1246</v>
      </c>
      <c r="S4" s="36">
        <v>1242</v>
      </c>
      <c r="T4" s="36">
        <v>1242</v>
      </c>
      <c r="U4" s="36">
        <v>1533</v>
      </c>
      <c r="V4" s="36">
        <v>1655</v>
      </c>
      <c r="W4" s="36">
        <v>1652</v>
      </c>
      <c r="X4" s="36">
        <v>1653</v>
      </c>
      <c r="Y4" s="36">
        <v>1510</v>
      </c>
      <c r="Z4" s="36">
        <v>1457</v>
      </c>
      <c r="AA4" s="36">
        <v>1458</v>
      </c>
    </row>
    <row r="5" spans="1:27" x14ac:dyDescent="0.3">
      <c r="C5" t="s">
        <v>132</v>
      </c>
      <c r="D5" s="36">
        <v>80</v>
      </c>
      <c r="E5" s="36"/>
      <c r="F5" s="36"/>
      <c r="G5" s="36"/>
      <c r="H5" s="36"/>
      <c r="I5" s="36"/>
      <c r="J5" s="36"/>
      <c r="K5" s="36"/>
      <c r="L5" s="36"/>
      <c r="M5" s="36"/>
      <c r="N5" s="36"/>
      <c r="O5" s="36"/>
      <c r="P5" s="36"/>
      <c r="Q5" s="36"/>
      <c r="R5" s="36"/>
      <c r="S5" s="36"/>
      <c r="T5" s="36"/>
      <c r="U5" s="36"/>
      <c r="V5" s="36"/>
      <c r="W5" s="36"/>
      <c r="X5" s="36"/>
      <c r="Y5" s="36"/>
      <c r="Z5" s="36"/>
      <c r="AA5" s="36"/>
    </row>
    <row r="6" spans="1:27" x14ac:dyDescent="0.3">
      <c r="C6" t="s">
        <v>133</v>
      </c>
      <c r="D6" s="36">
        <v>0</v>
      </c>
      <c r="E6" s="36"/>
      <c r="F6" s="36"/>
      <c r="G6" s="36"/>
      <c r="H6" s="36"/>
      <c r="I6" s="36"/>
      <c r="J6" s="36"/>
      <c r="K6" s="36"/>
      <c r="L6" s="36"/>
      <c r="M6" s="36"/>
      <c r="N6" s="36"/>
      <c r="O6" s="36"/>
      <c r="P6" s="36"/>
      <c r="Q6" s="36"/>
      <c r="R6" s="36"/>
      <c r="S6" s="36"/>
      <c r="T6" s="36"/>
      <c r="U6" s="36"/>
      <c r="V6" s="36"/>
      <c r="W6" s="36"/>
      <c r="X6" s="36"/>
      <c r="Y6" s="36"/>
      <c r="Z6" s="36"/>
      <c r="AA6" s="36"/>
    </row>
    <row r="7" spans="1:27" x14ac:dyDescent="0.3">
      <c r="C7" t="s">
        <v>134</v>
      </c>
      <c r="D7" s="36">
        <v>9</v>
      </c>
      <c r="E7" s="36"/>
      <c r="F7" s="36"/>
      <c r="G7" s="36"/>
      <c r="H7" s="36"/>
      <c r="I7" s="36"/>
      <c r="J7" s="36"/>
      <c r="K7" s="36"/>
      <c r="L7" s="36"/>
      <c r="M7" s="36"/>
      <c r="N7" s="36"/>
      <c r="O7" s="36"/>
      <c r="P7" s="36"/>
      <c r="Q7" s="36"/>
      <c r="R7" s="36"/>
      <c r="S7" s="36"/>
      <c r="T7" s="36"/>
      <c r="U7" s="36"/>
      <c r="V7" s="36"/>
      <c r="W7" s="36"/>
      <c r="X7" s="36"/>
      <c r="Y7" s="36"/>
      <c r="Z7" s="36"/>
      <c r="AA7" s="36"/>
    </row>
    <row r="8" spans="1:27" x14ac:dyDescent="0.3">
      <c r="C8" t="s">
        <v>135</v>
      </c>
      <c r="D8" s="36"/>
      <c r="E8" s="36"/>
      <c r="F8" s="36"/>
      <c r="G8" s="36"/>
      <c r="H8" s="36"/>
      <c r="I8" s="36"/>
      <c r="J8" s="36"/>
      <c r="K8" s="36"/>
      <c r="L8" s="36"/>
      <c r="M8" s="36"/>
      <c r="N8" s="36"/>
      <c r="O8" s="36"/>
      <c r="P8" s="36"/>
      <c r="Q8" s="36"/>
      <c r="R8" s="36"/>
      <c r="S8" s="36"/>
      <c r="T8" s="36"/>
      <c r="U8" s="36"/>
      <c r="V8" s="36"/>
      <c r="W8" s="36"/>
      <c r="X8" s="36"/>
      <c r="Y8" s="36"/>
      <c r="Z8" s="36"/>
      <c r="AA8" s="36"/>
    </row>
    <row r="9" spans="1:27" x14ac:dyDescent="0.3">
      <c r="C9" t="s">
        <v>136</v>
      </c>
      <c r="D9" s="36">
        <v>0</v>
      </c>
      <c r="E9" s="36">
        <v>0</v>
      </c>
      <c r="F9" s="36">
        <v>0</v>
      </c>
      <c r="G9" s="36">
        <v>0</v>
      </c>
      <c r="H9" s="36">
        <v>0</v>
      </c>
      <c r="I9" s="36">
        <v>0</v>
      </c>
      <c r="J9" s="36">
        <v>0</v>
      </c>
      <c r="K9" s="36">
        <v>0</v>
      </c>
      <c r="L9" s="36">
        <v>0</v>
      </c>
      <c r="M9" s="36">
        <v>0</v>
      </c>
      <c r="N9" s="36">
        <v>0</v>
      </c>
      <c r="O9" s="36">
        <v>0</v>
      </c>
      <c r="P9" s="36">
        <v>0</v>
      </c>
      <c r="Q9" s="36">
        <v>0</v>
      </c>
      <c r="R9" s="36">
        <v>0</v>
      </c>
      <c r="S9" s="36">
        <v>0</v>
      </c>
      <c r="T9" s="36">
        <v>0</v>
      </c>
      <c r="U9" s="36">
        <v>0</v>
      </c>
      <c r="V9" s="36">
        <v>0</v>
      </c>
      <c r="W9" s="36">
        <v>0</v>
      </c>
      <c r="X9" s="36">
        <v>0</v>
      </c>
      <c r="Y9" s="36">
        <v>0</v>
      </c>
      <c r="Z9" s="36">
        <v>0</v>
      </c>
      <c r="AA9" s="36">
        <v>0</v>
      </c>
    </row>
    <row r="10" spans="1:27" x14ac:dyDescent="0.3">
      <c r="C10" t="s">
        <v>124</v>
      </c>
      <c r="D10" s="36"/>
      <c r="E10" s="36"/>
      <c r="F10" s="36"/>
      <c r="G10" s="36"/>
      <c r="H10" s="36"/>
      <c r="I10" s="36"/>
      <c r="J10" s="36"/>
      <c r="K10" s="36"/>
      <c r="L10" s="36"/>
      <c r="M10" s="36"/>
      <c r="N10" s="36"/>
      <c r="O10" s="36"/>
      <c r="P10" s="36"/>
      <c r="Q10" s="36"/>
      <c r="R10" s="36"/>
      <c r="S10" s="36"/>
      <c r="T10" s="36"/>
      <c r="U10" s="36"/>
      <c r="V10" s="36"/>
      <c r="W10" s="36"/>
      <c r="X10" s="36"/>
      <c r="Y10" s="36"/>
      <c r="Z10" s="36"/>
      <c r="AA10" s="36"/>
    </row>
    <row r="11" spans="1:27" x14ac:dyDescent="0.3">
      <c r="C11" t="s">
        <v>137</v>
      </c>
      <c r="D11" s="36"/>
      <c r="E11" s="36"/>
      <c r="F11" s="36"/>
      <c r="G11" s="36"/>
      <c r="H11" s="36"/>
      <c r="I11" s="36"/>
      <c r="J11" s="36"/>
      <c r="K11" s="36"/>
      <c r="L11" s="36"/>
      <c r="M11" s="36"/>
      <c r="N11" s="36"/>
      <c r="O11" s="36"/>
      <c r="P11" s="36"/>
      <c r="Q11" s="36"/>
      <c r="R11" s="36"/>
      <c r="S11" s="36"/>
      <c r="T11" s="36"/>
      <c r="U11" s="36"/>
      <c r="V11" s="36"/>
      <c r="W11" s="36"/>
      <c r="X11" s="36"/>
      <c r="Y11" s="36"/>
      <c r="Z11" s="36"/>
      <c r="AA11" s="36"/>
    </row>
    <row r="12" spans="1:27" x14ac:dyDescent="0.3">
      <c r="C12" t="s">
        <v>138</v>
      </c>
      <c r="D12" s="36"/>
      <c r="E12" s="36"/>
      <c r="F12" s="36"/>
      <c r="G12" s="36"/>
      <c r="H12" s="36"/>
      <c r="I12" s="36"/>
      <c r="J12" s="36"/>
      <c r="K12" s="36"/>
      <c r="L12" s="36"/>
      <c r="M12" s="36"/>
      <c r="N12" s="36"/>
      <c r="O12" s="36"/>
      <c r="P12" s="36"/>
      <c r="Q12" s="36"/>
      <c r="R12" s="36"/>
      <c r="S12" s="36"/>
      <c r="T12" s="36"/>
      <c r="U12" s="36"/>
      <c r="V12" s="36"/>
      <c r="W12" s="36"/>
      <c r="X12" s="36"/>
      <c r="Y12" s="36"/>
      <c r="Z12" s="36"/>
      <c r="AA12" s="36"/>
    </row>
    <row r="13" spans="1:27" x14ac:dyDescent="0.3">
      <c r="C13" t="s">
        <v>139</v>
      </c>
      <c r="D13" s="36"/>
      <c r="E13" s="36"/>
      <c r="F13" s="36"/>
      <c r="G13" s="36"/>
      <c r="H13" s="36"/>
      <c r="I13" s="36"/>
      <c r="J13" s="36"/>
      <c r="K13" s="36"/>
      <c r="L13" s="36"/>
      <c r="M13" s="36"/>
      <c r="N13" s="36"/>
      <c r="O13" s="36"/>
      <c r="P13" s="36"/>
      <c r="Q13" s="36"/>
      <c r="R13" s="36"/>
      <c r="S13" s="36"/>
      <c r="T13" s="36"/>
      <c r="U13" s="36"/>
      <c r="V13" s="36"/>
      <c r="W13" s="36"/>
      <c r="X13" s="36"/>
      <c r="Y13" s="36"/>
      <c r="Z13" s="36"/>
      <c r="AA13" s="36"/>
    </row>
    <row r="14" spans="1:27" x14ac:dyDescent="0.3">
      <c r="C14" t="s">
        <v>140</v>
      </c>
      <c r="D14" s="36">
        <v>-3022</v>
      </c>
      <c r="E14" s="36">
        <v>-4837</v>
      </c>
      <c r="F14" s="36">
        <v>-6444</v>
      </c>
      <c r="G14" s="36">
        <v>-7808</v>
      </c>
      <c r="H14" s="36">
        <v>-9639</v>
      </c>
      <c r="I14" s="36">
        <v>-11502</v>
      </c>
      <c r="J14" s="36">
        <v>-13357</v>
      </c>
      <c r="K14" s="36">
        <v>-15210</v>
      </c>
      <c r="L14" s="36">
        <v>-17245</v>
      </c>
      <c r="M14" s="36">
        <v>-19419</v>
      </c>
      <c r="N14" s="36">
        <v>-21590</v>
      </c>
      <c r="O14" s="36">
        <v>-23760</v>
      </c>
      <c r="P14" s="36">
        <v>-25799</v>
      </c>
      <c r="Q14" s="36">
        <v>-27045</v>
      </c>
      <c r="R14" s="36">
        <v>-28291</v>
      </c>
      <c r="S14" s="36">
        <v>-29533</v>
      </c>
      <c r="T14" s="36">
        <v>-30775</v>
      </c>
      <c r="U14" s="36">
        <v>-32308</v>
      </c>
      <c r="V14" s="36">
        <v>-33963</v>
      </c>
      <c r="W14" s="36">
        <v>-35615</v>
      </c>
      <c r="X14" s="36">
        <v>-37268</v>
      </c>
      <c r="Y14" s="36">
        <v>-38778</v>
      </c>
      <c r="Z14" s="36">
        <v>-40235</v>
      </c>
      <c r="AA14" s="36">
        <v>-41693</v>
      </c>
    </row>
    <row r="15" spans="1:27" x14ac:dyDescent="0.3">
      <c r="C15" t="s">
        <v>141</v>
      </c>
      <c r="D15" s="36">
        <v>0</v>
      </c>
      <c r="E15" s="36">
        <v>0</v>
      </c>
      <c r="F15" s="36">
        <v>0</v>
      </c>
      <c r="G15" s="36">
        <v>0</v>
      </c>
      <c r="H15" s="36">
        <v>0</v>
      </c>
      <c r="I15" s="36">
        <v>0</v>
      </c>
      <c r="J15" s="36">
        <v>0</v>
      </c>
      <c r="K15" s="36">
        <v>0</v>
      </c>
      <c r="L15" s="36">
        <v>0</v>
      </c>
      <c r="M15" s="36">
        <v>0</v>
      </c>
      <c r="N15" s="36">
        <v>0</v>
      </c>
      <c r="O15" s="36">
        <v>0</v>
      </c>
      <c r="P15" s="36">
        <v>0</v>
      </c>
      <c r="Q15" s="36">
        <v>0</v>
      </c>
      <c r="R15" s="36">
        <v>0</v>
      </c>
      <c r="S15" s="36">
        <v>0</v>
      </c>
      <c r="T15" s="36">
        <v>0</v>
      </c>
      <c r="U15" s="36">
        <v>0</v>
      </c>
      <c r="V15" s="36">
        <v>0</v>
      </c>
      <c r="W15" s="36">
        <v>0</v>
      </c>
      <c r="X15" s="36">
        <v>0</v>
      </c>
      <c r="Y15" s="36">
        <v>0</v>
      </c>
      <c r="Z15" s="36">
        <v>0</v>
      </c>
      <c r="AA15" s="36">
        <v>0</v>
      </c>
    </row>
    <row r="16" spans="1:27" x14ac:dyDescent="0.3">
      <c r="A16" t="s">
        <v>233</v>
      </c>
      <c r="B16" t="s">
        <v>195</v>
      </c>
      <c r="C16" t="s">
        <v>129</v>
      </c>
      <c r="D16" s="36">
        <v>188</v>
      </c>
      <c r="E16" s="36"/>
      <c r="F16" s="36"/>
      <c r="G16" s="36"/>
      <c r="H16" s="36"/>
      <c r="I16" s="36"/>
      <c r="J16" s="36"/>
      <c r="K16" s="36"/>
      <c r="L16" s="36"/>
      <c r="M16" s="36"/>
      <c r="N16" s="36"/>
      <c r="O16" s="36"/>
      <c r="P16" s="36"/>
      <c r="Q16" s="36"/>
      <c r="R16" s="36"/>
      <c r="S16" s="36"/>
      <c r="T16" s="36"/>
      <c r="U16" s="36"/>
      <c r="V16" s="36"/>
      <c r="W16" s="36"/>
      <c r="X16" s="36"/>
      <c r="Y16" s="36"/>
      <c r="Z16" s="36"/>
      <c r="AA16" s="36"/>
    </row>
    <row r="17" spans="2:27" x14ac:dyDescent="0.3">
      <c r="C17" t="s">
        <v>131</v>
      </c>
      <c r="D17" s="36">
        <v>230</v>
      </c>
      <c r="E17" s="36">
        <v>229</v>
      </c>
      <c r="F17" s="36">
        <v>204</v>
      </c>
      <c r="G17" s="36">
        <v>171</v>
      </c>
      <c r="H17" s="36">
        <v>208</v>
      </c>
      <c r="I17" s="36">
        <v>213</v>
      </c>
      <c r="J17" s="36">
        <v>209</v>
      </c>
      <c r="K17" s="36">
        <v>208</v>
      </c>
      <c r="L17" s="36">
        <v>200</v>
      </c>
      <c r="M17" s="36">
        <v>195</v>
      </c>
      <c r="N17" s="36">
        <v>194</v>
      </c>
      <c r="O17" s="36">
        <v>194</v>
      </c>
      <c r="P17" s="36">
        <v>187</v>
      </c>
      <c r="Q17" s="36">
        <v>147</v>
      </c>
      <c r="R17" s="36">
        <v>143</v>
      </c>
      <c r="S17" s="36">
        <v>142</v>
      </c>
      <c r="T17" s="36">
        <v>141</v>
      </c>
      <c r="U17" s="36">
        <v>160</v>
      </c>
      <c r="V17" s="36">
        <v>169</v>
      </c>
      <c r="W17" s="36">
        <v>170</v>
      </c>
      <c r="X17" s="36">
        <v>169</v>
      </c>
      <c r="Y17" s="36">
        <v>124</v>
      </c>
      <c r="Z17" s="36">
        <v>108</v>
      </c>
      <c r="AA17" s="36">
        <v>108</v>
      </c>
    </row>
    <row r="18" spans="2:27" x14ac:dyDescent="0.3">
      <c r="C18" t="s">
        <v>132</v>
      </c>
      <c r="D18" s="36"/>
      <c r="E18" s="36"/>
      <c r="F18" s="36"/>
      <c r="G18" s="36"/>
      <c r="H18" s="36"/>
      <c r="I18" s="36"/>
      <c r="J18" s="36"/>
      <c r="K18" s="36"/>
      <c r="L18" s="36"/>
      <c r="M18" s="36"/>
      <c r="N18" s="36"/>
      <c r="O18" s="36"/>
      <c r="P18" s="36"/>
      <c r="Q18" s="36"/>
      <c r="R18" s="36"/>
      <c r="S18" s="36"/>
      <c r="T18" s="36"/>
      <c r="U18" s="36"/>
      <c r="V18" s="36"/>
      <c r="W18" s="36"/>
      <c r="X18" s="36"/>
      <c r="Y18" s="36"/>
      <c r="Z18" s="36"/>
      <c r="AA18" s="36"/>
    </row>
    <row r="19" spans="2:27" x14ac:dyDescent="0.3">
      <c r="C19" t="s">
        <v>133</v>
      </c>
      <c r="D19" s="36"/>
      <c r="E19" s="36"/>
      <c r="F19" s="36"/>
      <c r="G19" s="36"/>
      <c r="H19" s="36"/>
      <c r="I19" s="36"/>
      <c r="J19" s="36"/>
      <c r="K19" s="36"/>
      <c r="L19" s="36"/>
      <c r="M19" s="36"/>
      <c r="N19" s="36"/>
      <c r="O19" s="36"/>
      <c r="P19" s="36"/>
      <c r="Q19" s="36"/>
      <c r="R19" s="36"/>
      <c r="S19" s="36"/>
      <c r="T19" s="36"/>
      <c r="U19" s="36"/>
      <c r="V19" s="36"/>
      <c r="W19" s="36"/>
      <c r="X19" s="36"/>
      <c r="Y19" s="36"/>
      <c r="Z19" s="36"/>
      <c r="AA19" s="36"/>
    </row>
    <row r="20" spans="2:27" x14ac:dyDescent="0.3">
      <c r="C20" t="s">
        <v>134</v>
      </c>
      <c r="D20" s="36"/>
      <c r="E20" s="36"/>
      <c r="F20" s="36"/>
      <c r="G20" s="36"/>
      <c r="H20" s="36"/>
      <c r="I20" s="36"/>
      <c r="J20" s="36"/>
      <c r="K20" s="36"/>
      <c r="L20" s="36"/>
      <c r="M20" s="36"/>
      <c r="N20" s="36"/>
      <c r="O20" s="36"/>
      <c r="P20" s="36"/>
      <c r="Q20" s="36"/>
      <c r="R20" s="36"/>
      <c r="S20" s="36"/>
      <c r="T20" s="36"/>
      <c r="U20" s="36"/>
      <c r="V20" s="36"/>
      <c r="W20" s="36"/>
      <c r="X20" s="36"/>
      <c r="Y20" s="36"/>
      <c r="Z20" s="36"/>
      <c r="AA20" s="36"/>
    </row>
    <row r="21" spans="2:27" x14ac:dyDescent="0.3">
      <c r="C21" t="s">
        <v>135</v>
      </c>
      <c r="D21" s="36"/>
      <c r="E21" s="36"/>
      <c r="F21" s="36"/>
      <c r="G21" s="36"/>
      <c r="H21" s="36"/>
      <c r="I21" s="36"/>
      <c r="J21" s="36"/>
      <c r="K21" s="36"/>
      <c r="L21" s="36"/>
      <c r="M21" s="36"/>
      <c r="N21" s="36"/>
      <c r="O21" s="36"/>
      <c r="P21" s="36"/>
      <c r="Q21" s="36"/>
      <c r="R21" s="36"/>
      <c r="S21" s="36"/>
      <c r="T21" s="36"/>
      <c r="U21" s="36"/>
      <c r="V21" s="36"/>
      <c r="W21" s="36"/>
      <c r="X21" s="36"/>
      <c r="Y21" s="36"/>
      <c r="Z21" s="36"/>
      <c r="AA21" s="36"/>
    </row>
    <row r="22" spans="2:27" x14ac:dyDescent="0.3">
      <c r="C22" t="s">
        <v>136</v>
      </c>
      <c r="D22" s="36">
        <v>0</v>
      </c>
      <c r="E22" s="36">
        <v>0</v>
      </c>
      <c r="F22" s="36">
        <v>0</v>
      </c>
      <c r="G22" s="36">
        <v>0</v>
      </c>
      <c r="H22" s="36">
        <v>0</v>
      </c>
      <c r="I22" s="36">
        <v>0</v>
      </c>
      <c r="J22" s="36">
        <v>0</v>
      </c>
      <c r="K22" s="36">
        <v>0</v>
      </c>
      <c r="L22" s="36">
        <v>0</v>
      </c>
      <c r="M22" s="36">
        <v>0</v>
      </c>
      <c r="N22" s="36">
        <v>0</v>
      </c>
      <c r="O22" s="36">
        <v>0</v>
      </c>
      <c r="P22" s="36">
        <v>0</v>
      </c>
      <c r="Q22" s="36">
        <v>0</v>
      </c>
      <c r="R22" s="36">
        <v>0</v>
      </c>
      <c r="S22" s="36">
        <v>0</v>
      </c>
      <c r="T22" s="36">
        <v>0</v>
      </c>
      <c r="U22" s="36">
        <v>0</v>
      </c>
      <c r="V22" s="36">
        <v>0</v>
      </c>
      <c r="W22" s="36">
        <v>0</v>
      </c>
      <c r="X22" s="36">
        <v>0</v>
      </c>
      <c r="Y22" s="36">
        <v>0</v>
      </c>
      <c r="Z22" s="36">
        <v>0</v>
      </c>
      <c r="AA22" s="36">
        <v>0</v>
      </c>
    </row>
    <row r="23" spans="2:27" x14ac:dyDescent="0.3">
      <c r="C23" t="s">
        <v>124</v>
      </c>
      <c r="D23" s="36"/>
      <c r="E23" s="36"/>
      <c r="F23" s="36"/>
      <c r="G23" s="36"/>
      <c r="H23" s="36"/>
      <c r="I23" s="36"/>
      <c r="J23" s="36"/>
      <c r="K23" s="36"/>
      <c r="L23" s="36"/>
      <c r="M23" s="36"/>
      <c r="N23" s="36"/>
      <c r="O23" s="36"/>
      <c r="P23" s="36"/>
      <c r="Q23" s="36"/>
      <c r="R23" s="36"/>
      <c r="S23" s="36"/>
      <c r="T23" s="36"/>
      <c r="U23" s="36"/>
      <c r="V23" s="36"/>
      <c r="W23" s="36"/>
      <c r="X23" s="36"/>
      <c r="Y23" s="36"/>
      <c r="Z23" s="36"/>
      <c r="AA23" s="36"/>
    </row>
    <row r="24" spans="2:27" x14ac:dyDescent="0.3">
      <c r="C24" t="s">
        <v>137</v>
      </c>
      <c r="D24" s="36"/>
      <c r="E24" s="36"/>
      <c r="F24" s="36"/>
      <c r="G24" s="36"/>
      <c r="H24" s="36"/>
      <c r="I24" s="36"/>
      <c r="J24" s="36"/>
      <c r="K24" s="36"/>
      <c r="L24" s="36"/>
      <c r="M24" s="36"/>
      <c r="N24" s="36"/>
      <c r="O24" s="36"/>
      <c r="P24" s="36"/>
      <c r="Q24" s="36"/>
      <c r="R24" s="36"/>
      <c r="S24" s="36"/>
      <c r="T24" s="36"/>
      <c r="U24" s="36"/>
      <c r="V24" s="36"/>
      <c r="W24" s="36"/>
      <c r="X24" s="36"/>
      <c r="Y24" s="36"/>
      <c r="Z24" s="36"/>
      <c r="AA24" s="36"/>
    </row>
    <row r="25" spans="2:27" x14ac:dyDescent="0.3">
      <c r="C25" t="s">
        <v>138</v>
      </c>
      <c r="D25" s="36"/>
      <c r="E25" s="36"/>
      <c r="F25" s="36"/>
      <c r="G25" s="36"/>
      <c r="H25" s="36"/>
      <c r="I25" s="36"/>
      <c r="J25" s="36"/>
      <c r="K25" s="36"/>
      <c r="L25" s="36"/>
      <c r="M25" s="36"/>
      <c r="N25" s="36"/>
      <c r="O25" s="36"/>
      <c r="P25" s="36"/>
      <c r="Q25" s="36"/>
      <c r="R25" s="36"/>
      <c r="S25" s="36"/>
      <c r="T25" s="36"/>
      <c r="U25" s="36"/>
      <c r="V25" s="36"/>
      <c r="W25" s="36"/>
      <c r="X25" s="36"/>
      <c r="Y25" s="36"/>
      <c r="Z25" s="36"/>
      <c r="AA25" s="36"/>
    </row>
    <row r="26" spans="2:27" x14ac:dyDescent="0.3">
      <c r="C26" t="s">
        <v>139</v>
      </c>
      <c r="D26" s="36"/>
      <c r="E26" s="36"/>
      <c r="F26" s="36"/>
      <c r="G26" s="36"/>
      <c r="H26" s="36"/>
      <c r="I26" s="36"/>
      <c r="J26" s="36"/>
      <c r="K26" s="36"/>
      <c r="L26" s="36"/>
      <c r="M26" s="36"/>
      <c r="N26" s="36"/>
      <c r="O26" s="36"/>
      <c r="P26" s="36"/>
      <c r="Q26" s="36"/>
      <c r="R26" s="36"/>
      <c r="S26" s="36"/>
      <c r="T26" s="36"/>
      <c r="U26" s="36"/>
      <c r="V26" s="36"/>
      <c r="W26" s="36"/>
      <c r="X26" s="36"/>
      <c r="Y26" s="36"/>
      <c r="Z26" s="36"/>
      <c r="AA26" s="36"/>
    </row>
    <row r="27" spans="2:27" x14ac:dyDescent="0.3">
      <c r="C27" t="s">
        <v>140</v>
      </c>
      <c r="D27" s="36">
        <v>-418</v>
      </c>
      <c r="E27" s="36">
        <v>-647</v>
      </c>
      <c r="F27" s="36">
        <v>-851</v>
      </c>
      <c r="G27" s="36">
        <v>-1022</v>
      </c>
      <c r="H27" s="36">
        <v>-1230</v>
      </c>
      <c r="I27" s="36">
        <v>-1443</v>
      </c>
      <c r="J27" s="36">
        <v>-1652</v>
      </c>
      <c r="K27" s="36">
        <v>-1860</v>
      </c>
      <c r="L27" s="36">
        <v>-2060</v>
      </c>
      <c r="M27" s="36">
        <v>-2255</v>
      </c>
      <c r="N27" s="36">
        <v>-2449</v>
      </c>
      <c r="O27" s="36">
        <v>-2643</v>
      </c>
      <c r="P27" s="36">
        <v>-2830</v>
      </c>
      <c r="Q27" s="36">
        <v>-2977</v>
      </c>
      <c r="R27" s="36">
        <v>-3120</v>
      </c>
      <c r="S27" s="36">
        <v>-3262</v>
      </c>
      <c r="T27" s="36">
        <v>-3403</v>
      </c>
      <c r="U27" s="36">
        <v>-3563</v>
      </c>
      <c r="V27" s="36">
        <v>-3732</v>
      </c>
      <c r="W27" s="36">
        <v>-3902</v>
      </c>
      <c r="X27" s="36">
        <v>-4071</v>
      </c>
      <c r="Y27" s="36">
        <v>-4195</v>
      </c>
      <c r="Z27" s="36">
        <v>-4303</v>
      </c>
      <c r="AA27" s="36">
        <v>-4411</v>
      </c>
    </row>
    <row r="28" spans="2:27" x14ac:dyDescent="0.3">
      <c r="C28" t="s">
        <v>141</v>
      </c>
      <c r="D28" s="36">
        <v>0</v>
      </c>
      <c r="E28" s="36">
        <v>0</v>
      </c>
      <c r="F28" s="36">
        <v>0</v>
      </c>
      <c r="G28" s="36">
        <v>0</v>
      </c>
      <c r="H28" s="36">
        <v>0</v>
      </c>
      <c r="I28" s="36">
        <v>0</v>
      </c>
      <c r="J28" s="36">
        <v>0</v>
      </c>
      <c r="K28" s="36">
        <v>0</v>
      </c>
      <c r="L28" s="36">
        <v>0</v>
      </c>
      <c r="M28" s="36">
        <v>0</v>
      </c>
      <c r="N28" s="36">
        <v>0</v>
      </c>
      <c r="O28" s="36">
        <v>0</v>
      </c>
      <c r="P28" s="36">
        <v>0</v>
      </c>
      <c r="Q28" s="36">
        <v>0</v>
      </c>
      <c r="R28" s="36">
        <v>0</v>
      </c>
      <c r="S28" s="36">
        <v>0</v>
      </c>
      <c r="T28" s="36">
        <v>0</v>
      </c>
      <c r="U28" s="36">
        <v>0</v>
      </c>
      <c r="V28" s="36">
        <v>0</v>
      </c>
      <c r="W28" s="36">
        <v>0</v>
      </c>
      <c r="X28" s="36">
        <v>0</v>
      </c>
      <c r="Y28" s="36">
        <v>0</v>
      </c>
      <c r="Z28" s="36">
        <v>0</v>
      </c>
      <c r="AA28" s="36">
        <v>0</v>
      </c>
    </row>
    <row r="29" spans="2:27" x14ac:dyDescent="0.3">
      <c r="B29" t="s">
        <v>177</v>
      </c>
      <c r="C29" t="s">
        <v>129</v>
      </c>
      <c r="D29" s="36">
        <v>177719</v>
      </c>
      <c r="E29" s="36"/>
      <c r="F29" s="36"/>
      <c r="G29" s="36"/>
      <c r="H29" s="36"/>
      <c r="I29" s="36"/>
      <c r="J29" s="36"/>
      <c r="K29" s="36"/>
      <c r="L29" s="36"/>
      <c r="M29" s="36"/>
      <c r="N29" s="36"/>
      <c r="O29" s="36"/>
      <c r="P29" s="36"/>
      <c r="Q29" s="36"/>
      <c r="R29" s="36"/>
      <c r="S29" s="36"/>
      <c r="T29" s="36"/>
      <c r="U29" s="36"/>
      <c r="V29" s="36"/>
      <c r="W29" s="36"/>
      <c r="X29" s="36"/>
      <c r="Y29" s="36"/>
      <c r="Z29" s="36"/>
      <c r="AA29" s="36"/>
    </row>
    <row r="30" spans="2:27" x14ac:dyDescent="0.3">
      <c r="C30" t="s">
        <v>131</v>
      </c>
      <c r="D30" s="36">
        <v>29384</v>
      </c>
      <c r="E30" s="36">
        <v>42848</v>
      </c>
      <c r="F30" s="36">
        <v>31463</v>
      </c>
      <c r="G30" s="36">
        <v>31275</v>
      </c>
      <c r="H30" s="36">
        <v>36446</v>
      </c>
      <c r="I30" s="36">
        <v>58293</v>
      </c>
      <c r="J30" s="36">
        <v>40206</v>
      </c>
      <c r="K30" s="36">
        <v>41330</v>
      </c>
      <c r="L30" s="36">
        <v>30967</v>
      </c>
      <c r="M30" s="36">
        <v>48689</v>
      </c>
      <c r="N30" s="36">
        <v>33431</v>
      </c>
      <c r="O30" s="36">
        <v>32305</v>
      </c>
      <c r="P30" s="36">
        <v>28904</v>
      </c>
      <c r="Q30" s="36">
        <v>30416</v>
      </c>
      <c r="R30" s="36">
        <v>26117</v>
      </c>
      <c r="S30" s="36">
        <v>26096</v>
      </c>
      <c r="T30" s="36">
        <v>25949</v>
      </c>
      <c r="U30" s="36">
        <v>32288</v>
      </c>
      <c r="V30" s="36">
        <v>37386</v>
      </c>
      <c r="W30" s="36">
        <v>33198</v>
      </c>
      <c r="X30" s="36">
        <v>33207</v>
      </c>
      <c r="Y30" s="36">
        <v>31512</v>
      </c>
      <c r="Z30" s="36">
        <v>35024</v>
      </c>
      <c r="AA30" s="36">
        <v>30784</v>
      </c>
    </row>
    <row r="31" spans="2:27" x14ac:dyDescent="0.3">
      <c r="C31" t="s">
        <v>132</v>
      </c>
      <c r="D31" s="36">
        <v>138648</v>
      </c>
      <c r="E31" s="36"/>
      <c r="F31" s="36"/>
      <c r="G31" s="36"/>
      <c r="H31" s="36"/>
      <c r="I31" s="36"/>
      <c r="J31" s="36"/>
      <c r="K31" s="36"/>
      <c r="L31" s="36"/>
      <c r="M31" s="36"/>
      <c r="N31" s="36"/>
      <c r="O31" s="36"/>
      <c r="P31" s="36"/>
      <c r="Q31" s="36"/>
      <c r="R31" s="36"/>
      <c r="S31" s="36"/>
      <c r="T31" s="36"/>
      <c r="U31" s="36"/>
      <c r="V31" s="36"/>
      <c r="W31" s="36"/>
      <c r="X31" s="36"/>
      <c r="Y31" s="36"/>
      <c r="Z31" s="36"/>
      <c r="AA31" s="36"/>
    </row>
    <row r="32" spans="2:27" x14ac:dyDescent="0.3">
      <c r="C32" t="s">
        <v>133</v>
      </c>
      <c r="D32" s="36">
        <v>0</v>
      </c>
      <c r="E32" s="36"/>
      <c r="F32" s="36"/>
      <c r="G32" s="36"/>
      <c r="H32" s="36"/>
      <c r="I32" s="36"/>
      <c r="J32" s="36"/>
      <c r="K32" s="36"/>
      <c r="L32" s="36"/>
      <c r="M32" s="36"/>
      <c r="N32" s="36"/>
      <c r="O32" s="36"/>
      <c r="P32" s="36"/>
      <c r="Q32" s="36"/>
      <c r="R32" s="36"/>
      <c r="S32" s="36"/>
      <c r="T32" s="36"/>
      <c r="U32" s="36"/>
      <c r="V32" s="36"/>
      <c r="W32" s="36"/>
      <c r="X32" s="36"/>
      <c r="Y32" s="36"/>
      <c r="Z32" s="36"/>
      <c r="AA32" s="36"/>
    </row>
    <row r="33" spans="1:27" x14ac:dyDescent="0.3">
      <c r="C33" t="s">
        <v>134</v>
      </c>
      <c r="D33" s="36">
        <v>207004</v>
      </c>
      <c r="E33" s="36"/>
      <c r="F33" s="36"/>
      <c r="G33" s="36"/>
      <c r="H33" s="36"/>
      <c r="I33" s="36"/>
      <c r="J33" s="36"/>
      <c r="K33" s="36"/>
      <c r="L33" s="36"/>
      <c r="M33" s="36"/>
      <c r="N33" s="36"/>
      <c r="O33" s="36"/>
      <c r="P33" s="36"/>
      <c r="Q33" s="36"/>
      <c r="R33" s="36"/>
      <c r="S33" s="36"/>
      <c r="T33" s="36"/>
      <c r="U33" s="36"/>
      <c r="V33" s="36"/>
      <c r="W33" s="36"/>
      <c r="X33" s="36"/>
      <c r="Y33" s="36"/>
      <c r="Z33" s="36"/>
      <c r="AA33" s="36"/>
    </row>
    <row r="34" spans="1:27" x14ac:dyDescent="0.3">
      <c r="C34" t="s">
        <v>135</v>
      </c>
      <c r="D34" s="36">
        <v>17280</v>
      </c>
      <c r="E34" s="36"/>
      <c r="F34" s="36"/>
      <c r="G34" s="36"/>
      <c r="H34" s="36"/>
      <c r="I34" s="36"/>
      <c r="J34" s="36"/>
      <c r="K34" s="36"/>
      <c r="L34" s="36"/>
      <c r="M34" s="36"/>
      <c r="N34" s="36"/>
      <c r="O34" s="36"/>
      <c r="P34" s="36"/>
      <c r="Q34" s="36"/>
      <c r="R34" s="36"/>
      <c r="S34" s="36"/>
      <c r="T34" s="36"/>
      <c r="U34" s="36"/>
      <c r="V34" s="36"/>
      <c r="W34" s="36"/>
      <c r="X34" s="36"/>
      <c r="Y34" s="36"/>
      <c r="Z34" s="36"/>
      <c r="AA34" s="36"/>
    </row>
    <row r="35" spans="1:27" x14ac:dyDescent="0.3">
      <c r="C35" t="s">
        <v>136</v>
      </c>
      <c r="D35" s="36">
        <v>0</v>
      </c>
      <c r="E35" s="36">
        <v>42048</v>
      </c>
      <c r="F35" s="36">
        <v>100224</v>
      </c>
      <c r="G35" s="36">
        <v>0</v>
      </c>
      <c r="H35" s="36">
        <v>0</v>
      </c>
      <c r="I35" s="36">
        <v>0</v>
      </c>
      <c r="J35" s="36">
        <v>0</v>
      </c>
      <c r="K35" s="36">
        <v>0</v>
      </c>
      <c r="L35" s="36">
        <v>0</v>
      </c>
      <c r="M35" s="36">
        <v>0</v>
      </c>
      <c r="N35" s="36">
        <v>0</v>
      </c>
      <c r="O35" s="36">
        <v>0</v>
      </c>
      <c r="P35" s="36">
        <v>0</v>
      </c>
      <c r="Q35" s="36">
        <v>0</v>
      </c>
      <c r="R35" s="36">
        <v>0</v>
      </c>
      <c r="S35" s="36">
        <v>0</v>
      </c>
      <c r="T35" s="36">
        <v>0</v>
      </c>
      <c r="U35" s="36">
        <v>0</v>
      </c>
      <c r="V35" s="36">
        <v>0</v>
      </c>
      <c r="W35" s="36">
        <v>0</v>
      </c>
      <c r="X35" s="36">
        <v>0</v>
      </c>
      <c r="Y35" s="36">
        <v>0</v>
      </c>
      <c r="Z35" s="36">
        <v>0</v>
      </c>
      <c r="AA35" s="36">
        <v>0</v>
      </c>
    </row>
    <row r="36" spans="1:27" x14ac:dyDescent="0.3">
      <c r="C36" t="s">
        <v>124</v>
      </c>
      <c r="D36" s="36"/>
      <c r="E36" s="36">
        <v>42048</v>
      </c>
      <c r="F36" s="36">
        <v>100224</v>
      </c>
      <c r="G36" s="36"/>
      <c r="H36" s="36"/>
      <c r="I36" s="36"/>
      <c r="J36" s="36"/>
      <c r="K36" s="36"/>
      <c r="L36" s="36"/>
      <c r="M36" s="36"/>
      <c r="N36" s="36"/>
      <c r="O36" s="36"/>
      <c r="P36" s="36"/>
      <c r="Q36" s="36"/>
      <c r="R36" s="36"/>
      <c r="S36" s="36"/>
      <c r="T36" s="36"/>
      <c r="U36" s="36"/>
      <c r="V36" s="36"/>
      <c r="W36" s="36"/>
      <c r="X36" s="36"/>
      <c r="Y36" s="36"/>
      <c r="Z36" s="36"/>
      <c r="AA36" s="36"/>
    </row>
    <row r="37" spans="1:27" x14ac:dyDescent="0.3">
      <c r="C37" t="s">
        <v>137</v>
      </c>
      <c r="D37" s="36"/>
      <c r="E37" s="36"/>
      <c r="F37" s="36"/>
      <c r="G37" s="36"/>
      <c r="H37" s="36"/>
      <c r="I37" s="36"/>
      <c r="J37" s="36"/>
      <c r="K37" s="36"/>
      <c r="L37" s="36"/>
      <c r="M37" s="36"/>
      <c r="N37" s="36"/>
      <c r="O37" s="36"/>
      <c r="P37" s="36"/>
      <c r="Q37" s="36"/>
      <c r="R37" s="36"/>
      <c r="S37" s="36"/>
      <c r="T37" s="36"/>
      <c r="U37" s="36"/>
      <c r="V37" s="36"/>
      <c r="W37" s="36"/>
      <c r="X37" s="36"/>
      <c r="Y37" s="36"/>
      <c r="Z37" s="36"/>
      <c r="AA37" s="36"/>
    </row>
    <row r="38" spans="1:27" x14ac:dyDescent="0.3">
      <c r="C38" t="s">
        <v>138</v>
      </c>
      <c r="D38" s="36"/>
      <c r="E38" s="36"/>
      <c r="F38" s="36"/>
      <c r="G38" s="36"/>
      <c r="H38" s="36"/>
      <c r="I38" s="36"/>
      <c r="J38" s="36"/>
      <c r="K38" s="36"/>
      <c r="L38" s="36"/>
      <c r="M38" s="36"/>
      <c r="N38" s="36"/>
      <c r="O38" s="36"/>
      <c r="P38" s="36"/>
      <c r="Q38" s="36"/>
      <c r="R38" s="36"/>
      <c r="S38" s="36"/>
      <c r="T38" s="36"/>
      <c r="U38" s="36"/>
      <c r="V38" s="36"/>
      <c r="W38" s="36"/>
      <c r="X38" s="36"/>
      <c r="Y38" s="36"/>
      <c r="Z38" s="36"/>
      <c r="AA38" s="36"/>
    </row>
    <row r="39" spans="1:27" x14ac:dyDescent="0.3">
      <c r="C39" t="s">
        <v>139</v>
      </c>
      <c r="D39" s="36"/>
      <c r="E39" s="36">
        <v>42048</v>
      </c>
      <c r="F39" s="36">
        <v>100224</v>
      </c>
      <c r="G39" s="36"/>
      <c r="H39" s="36"/>
      <c r="I39" s="36"/>
      <c r="J39" s="36"/>
      <c r="K39" s="36"/>
      <c r="L39" s="36"/>
      <c r="M39" s="36"/>
      <c r="N39" s="36"/>
      <c r="O39" s="36"/>
      <c r="P39" s="36"/>
      <c r="Q39" s="36"/>
      <c r="R39" s="36"/>
      <c r="S39" s="36"/>
      <c r="T39" s="36"/>
      <c r="U39" s="36"/>
      <c r="V39" s="36"/>
      <c r="W39" s="36"/>
      <c r="X39" s="36"/>
      <c r="Y39" s="36"/>
      <c r="Z39" s="36"/>
      <c r="AA39" s="36"/>
    </row>
    <row r="40" spans="1:27" x14ac:dyDescent="0.3">
      <c r="C40" t="s">
        <v>140</v>
      </c>
      <c r="D40" s="36">
        <v>155829</v>
      </c>
      <c r="E40" s="36">
        <v>155029</v>
      </c>
      <c r="F40" s="36">
        <v>223790</v>
      </c>
      <c r="G40" s="36">
        <v>192515</v>
      </c>
      <c r="H40" s="36">
        <v>156069</v>
      </c>
      <c r="I40" s="36">
        <v>97776</v>
      </c>
      <c r="J40" s="36">
        <v>57570</v>
      </c>
      <c r="K40" s="36">
        <v>16240</v>
      </c>
      <c r="L40" s="36">
        <v>-14727</v>
      </c>
      <c r="M40" s="36">
        <v>-63416</v>
      </c>
      <c r="N40" s="36">
        <v>-96847</v>
      </c>
      <c r="O40" s="36">
        <v>-129152</v>
      </c>
      <c r="P40" s="36">
        <v>-158056</v>
      </c>
      <c r="Q40" s="36">
        <v>-188472</v>
      </c>
      <c r="R40" s="36">
        <v>-214589</v>
      </c>
      <c r="S40" s="36">
        <v>-240685</v>
      </c>
      <c r="T40" s="36">
        <v>-266634</v>
      </c>
      <c r="U40" s="36">
        <v>-298922</v>
      </c>
      <c r="V40" s="36">
        <v>-336308</v>
      </c>
      <c r="W40" s="36">
        <v>-369506</v>
      </c>
      <c r="X40" s="36">
        <v>-402713</v>
      </c>
      <c r="Y40" s="36">
        <v>-434225</v>
      </c>
      <c r="Z40" s="36">
        <v>-469249</v>
      </c>
      <c r="AA40" s="36">
        <v>-500033</v>
      </c>
    </row>
    <row r="41" spans="1:27" x14ac:dyDescent="0.3">
      <c r="C41" t="s">
        <v>141</v>
      </c>
      <c r="D41" s="36">
        <v>0</v>
      </c>
      <c r="E41" s="36">
        <v>0</v>
      </c>
      <c r="F41" s="36">
        <v>0</v>
      </c>
      <c r="G41" s="36">
        <v>0</v>
      </c>
      <c r="H41" s="36">
        <v>0</v>
      </c>
      <c r="I41" s="36">
        <v>0</v>
      </c>
      <c r="J41" s="36">
        <v>0</v>
      </c>
      <c r="K41" s="36">
        <v>0</v>
      </c>
      <c r="L41" s="36">
        <v>0</v>
      </c>
      <c r="M41" s="36">
        <v>0</v>
      </c>
      <c r="N41" s="36">
        <v>0</v>
      </c>
      <c r="O41" s="36">
        <v>0</v>
      </c>
      <c r="P41" s="36">
        <v>0</v>
      </c>
      <c r="Q41" s="36">
        <v>0</v>
      </c>
      <c r="R41" s="36">
        <v>0</v>
      </c>
      <c r="S41" s="36">
        <v>0</v>
      </c>
      <c r="T41" s="36">
        <v>0</v>
      </c>
      <c r="U41" s="36">
        <v>0</v>
      </c>
      <c r="V41" s="36">
        <v>0</v>
      </c>
      <c r="W41" s="36">
        <v>0</v>
      </c>
      <c r="X41" s="36">
        <v>0</v>
      </c>
      <c r="Y41" s="36">
        <v>0</v>
      </c>
      <c r="Z41" s="36">
        <v>0</v>
      </c>
      <c r="AA41" s="36">
        <v>0</v>
      </c>
    </row>
    <row r="42" spans="1:27" x14ac:dyDescent="0.3">
      <c r="A42" t="s">
        <v>179</v>
      </c>
      <c r="B42" t="s">
        <v>177</v>
      </c>
      <c r="C42" t="s">
        <v>129</v>
      </c>
      <c r="D42" s="36">
        <v>98134</v>
      </c>
      <c r="E42" s="36"/>
      <c r="F42" s="36"/>
      <c r="G42" s="36"/>
      <c r="H42" s="36"/>
      <c r="I42" s="36"/>
      <c r="J42" s="36"/>
      <c r="K42" s="36"/>
      <c r="L42" s="36"/>
      <c r="M42" s="36"/>
      <c r="N42" s="36"/>
      <c r="O42" s="36"/>
      <c r="P42" s="36"/>
      <c r="Q42" s="36"/>
      <c r="R42" s="36"/>
      <c r="S42" s="36"/>
      <c r="T42" s="36"/>
      <c r="U42" s="36"/>
      <c r="V42" s="36"/>
      <c r="W42" s="36"/>
      <c r="X42" s="36"/>
      <c r="Y42" s="36"/>
      <c r="Z42" s="36"/>
      <c r="AA42" s="36"/>
    </row>
    <row r="43" spans="1:27" x14ac:dyDescent="0.3">
      <c r="C43" t="s">
        <v>131</v>
      </c>
      <c r="D43" s="36">
        <v>15150</v>
      </c>
      <c r="E43" s="36">
        <v>15345</v>
      </c>
      <c r="F43" s="36">
        <v>14093.999999999998</v>
      </c>
      <c r="G43" s="36">
        <v>14100.000000000002</v>
      </c>
      <c r="H43" s="36">
        <v>16617</v>
      </c>
      <c r="I43" s="36">
        <v>17709</v>
      </c>
      <c r="J43" s="36">
        <v>17514</v>
      </c>
      <c r="K43" s="36">
        <v>17712</v>
      </c>
      <c r="L43" s="36">
        <v>17842</v>
      </c>
      <c r="M43" s="36">
        <v>16483</v>
      </c>
      <c r="N43" s="36">
        <v>16209.999999999998</v>
      </c>
      <c r="O43" s="36">
        <v>16124</v>
      </c>
      <c r="P43" s="36">
        <v>19066</v>
      </c>
      <c r="Q43" s="36">
        <v>15336</v>
      </c>
      <c r="R43" s="36">
        <v>15061</v>
      </c>
      <c r="S43" s="36">
        <v>15044</v>
      </c>
      <c r="T43" s="36">
        <v>14871</v>
      </c>
      <c r="U43" s="36">
        <v>12646.000000000002</v>
      </c>
      <c r="V43" s="36">
        <v>11839</v>
      </c>
      <c r="W43" s="36">
        <v>11841</v>
      </c>
      <c r="X43" s="36">
        <v>11825</v>
      </c>
      <c r="Y43" s="36">
        <v>11045</v>
      </c>
      <c r="Z43" s="36">
        <v>10740</v>
      </c>
      <c r="AA43" s="36">
        <v>10744</v>
      </c>
    </row>
    <row r="44" spans="1:27" x14ac:dyDescent="0.3">
      <c r="C44" t="s">
        <v>132</v>
      </c>
      <c r="D44" s="36">
        <v>102330</v>
      </c>
      <c r="E44" s="36"/>
      <c r="F44" s="36"/>
      <c r="G44" s="36"/>
      <c r="H44" s="36"/>
      <c r="I44" s="36"/>
      <c r="J44" s="36"/>
      <c r="K44" s="36"/>
      <c r="L44" s="36"/>
      <c r="M44" s="36"/>
      <c r="N44" s="36"/>
      <c r="O44" s="36"/>
      <c r="P44" s="36"/>
      <c r="Q44" s="36"/>
      <c r="R44" s="36"/>
      <c r="S44" s="36"/>
      <c r="T44" s="36"/>
      <c r="U44" s="36"/>
      <c r="V44" s="36"/>
      <c r="W44" s="36"/>
      <c r="X44" s="36"/>
      <c r="Y44" s="36"/>
      <c r="Z44" s="36"/>
      <c r="AA44" s="36"/>
    </row>
    <row r="45" spans="1:27" x14ac:dyDescent="0.3">
      <c r="C45" t="s">
        <v>133</v>
      </c>
      <c r="D45" s="36">
        <v>0</v>
      </c>
      <c r="E45" s="36"/>
      <c r="F45" s="36"/>
      <c r="G45" s="36"/>
      <c r="H45" s="36"/>
      <c r="I45" s="36"/>
      <c r="J45" s="36"/>
      <c r="K45" s="36"/>
      <c r="L45" s="36"/>
      <c r="M45" s="36"/>
      <c r="N45" s="36"/>
      <c r="O45" s="36"/>
      <c r="P45" s="36"/>
      <c r="Q45" s="36"/>
      <c r="R45" s="36"/>
      <c r="S45" s="36"/>
      <c r="T45" s="36"/>
      <c r="U45" s="36"/>
      <c r="V45" s="36"/>
      <c r="W45" s="36"/>
      <c r="X45" s="36"/>
      <c r="Y45" s="36"/>
      <c r="Z45" s="36"/>
      <c r="AA45" s="36"/>
    </row>
    <row r="46" spans="1:27" x14ac:dyDescent="0.3">
      <c r="C46" t="s">
        <v>134</v>
      </c>
      <c r="D46" s="36">
        <v>103577</v>
      </c>
      <c r="E46" s="36"/>
      <c r="F46" s="36"/>
      <c r="G46" s="36"/>
      <c r="H46" s="36"/>
      <c r="I46" s="36"/>
      <c r="J46" s="36"/>
      <c r="K46" s="36"/>
      <c r="L46" s="36"/>
      <c r="M46" s="36"/>
      <c r="N46" s="36"/>
      <c r="O46" s="36"/>
      <c r="P46" s="36"/>
      <c r="Q46" s="36"/>
      <c r="R46" s="36"/>
      <c r="S46" s="36"/>
      <c r="T46" s="36"/>
      <c r="U46" s="36"/>
      <c r="V46" s="36"/>
      <c r="W46" s="36"/>
      <c r="X46" s="36"/>
      <c r="Y46" s="36"/>
      <c r="Z46" s="36"/>
      <c r="AA46" s="36"/>
    </row>
    <row r="47" spans="1:27" x14ac:dyDescent="0.3">
      <c r="C47" t="s">
        <v>135</v>
      </c>
      <c r="D47" s="36">
        <v>73728</v>
      </c>
      <c r="E47" s="36"/>
      <c r="F47" s="36"/>
      <c r="G47" s="36"/>
      <c r="H47" s="36"/>
      <c r="I47" s="36"/>
      <c r="J47" s="36"/>
      <c r="K47" s="36"/>
      <c r="L47" s="36"/>
      <c r="M47" s="36"/>
      <c r="N47" s="36"/>
      <c r="O47" s="36"/>
      <c r="P47" s="36"/>
      <c r="Q47" s="36"/>
      <c r="R47" s="36"/>
      <c r="S47" s="36"/>
      <c r="T47" s="36"/>
      <c r="U47" s="36"/>
      <c r="V47" s="36"/>
      <c r="W47" s="36"/>
      <c r="X47" s="36"/>
      <c r="Y47" s="36"/>
      <c r="Z47" s="36"/>
      <c r="AA47" s="36"/>
    </row>
    <row r="48" spans="1:27" x14ac:dyDescent="0.3">
      <c r="C48" t="s">
        <v>136</v>
      </c>
      <c r="D48" s="36">
        <v>17280</v>
      </c>
      <c r="E48" s="36">
        <v>11520</v>
      </c>
      <c r="F48" s="36">
        <v>10000</v>
      </c>
      <c r="G48" s="36">
        <v>47072</v>
      </c>
      <c r="H48" s="36">
        <v>23040</v>
      </c>
      <c r="I48" s="36">
        <v>20000</v>
      </c>
      <c r="J48" s="36">
        <v>11520</v>
      </c>
      <c r="K48" s="36">
        <v>21520</v>
      </c>
      <c r="L48" s="36">
        <v>31520</v>
      </c>
      <c r="M48" s="36">
        <v>35552</v>
      </c>
      <c r="N48" s="36">
        <v>11520</v>
      </c>
      <c r="O48" s="36">
        <v>27280</v>
      </c>
      <c r="P48" s="36">
        <v>47280</v>
      </c>
      <c r="Q48" s="36">
        <v>34400</v>
      </c>
      <c r="R48" s="36">
        <v>2880</v>
      </c>
      <c r="S48" s="36">
        <v>60000</v>
      </c>
      <c r="T48" s="36">
        <v>0</v>
      </c>
      <c r="U48" s="36">
        <v>0</v>
      </c>
      <c r="V48" s="36">
        <v>0</v>
      </c>
      <c r="W48" s="36">
        <v>0</v>
      </c>
      <c r="X48" s="36">
        <v>0</v>
      </c>
      <c r="Y48" s="36">
        <v>0</v>
      </c>
      <c r="Z48" s="36">
        <v>0</v>
      </c>
      <c r="AA48" s="36">
        <v>0</v>
      </c>
    </row>
    <row r="49" spans="1:27" x14ac:dyDescent="0.3">
      <c r="C49" t="s">
        <v>124</v>
      </c>
      <c r="D49" s="36">
        <v>17280</v>
      </c>
      <c r="E49" s="36">
        <v>11520</v>
      </c>
      <c r="F49" s="36">
        <v>10000</v>
      </c>
      <c r="G49" s="36">
        <v>47072</v>
      </c>
      <c r="H49" s="36">
        <v>23040</v>
      </c>
      <c r="I49" s="36">
        <v>20000</v>
      </c>
      <c r="J49" s="36">
        <v>11520</v>
      </c>
      <c r="K49" s="36">
        <v>21520</v>
      </c>
      <c r="L49" s="36">
        <v>31520</v>
      </c>
      <c r="M49" s="36">
        <v>35552</v>
      </c>
      <c r="N49" s="36">
        <v>11520</v>
      </c>
      <c r="O49" s="36">
        <v>27280</v>
      </c>
      <c r="P49" s="36">
        <v>47280</v>
      </c>
      <c r="Q49" s="36">
        <v>34400</v>
      </c>
      <c r="R49" s="36">
        <v>2880</v>
      </c>
      <c r="S49" s="36">
        <v>60000</v>
      </c>
      <c r="T49" s="36"/>
      <c r="U49" s="36"/>
      <c r="V49" s="36"/>
      <c r="W49" s="36"/>
      <c r="X49" s="36"/>
      <c r="Y49" s="36"/>
      <c r="Z49" s="36"/>
      <c r="AA49" s="36"/>
    </row>
    <row r="50" spans="1:27" x14ac:dyDescent="0.3">
      <c r="C50" t="s">
        <v>137</v>
      </c>
      <c r="D50" s="36"/>
      <c r="E50" s="36"/>
      <c r="F50" s="36"/>
      <c r="G50" s="36"/>
      <c r="H50" s="36"/>
      <c r="I50" s="36"/>
      <c r="J50" s="36"/>
      <c r="K50" s="36"/>
      <c r="L50" s="36"/>
      <c r="M50" s="36"/>
      <c r="N50" s="36"/>
      <c r="O50" s="36"/>
      <c r="P50" s="36"/>
      <c r="Q50" s="36"/>
      <c r="R50" s="36"/>
      <c r="S50" s="36"/>
      <c r="T50" s="36"/>
      <c r="U50" s="36"/>
      <c r="V50" s="36"/>
      <c r="W50" s="36"/>
      <c r="X50" s="36"/>
      <c r="Y50" s="36"/>
      <c r="Z50" s="36"/>
      <c r="AA50" s="36"/>
    </row>
    <row r="51" spans="1:27" x14ac:dyDescent="0.3">
      <c r="C51" t="s">
        <v>138</v>
      </c>
      <c r="D51" s="36"/>
      <c r="E51" s="36"/>
      <c r="F51" s="36"/>
      <c r="G51" s="36"/>
      <c r="H51" s="36"/>
      <c r="I51" s="36"/>
      <c r="J51" s="36"/>
      <c r="K51" s="36"/>
      <c r="L51" s="36"/>
      <c r="M51" s="36"/>
      <c r="N51" s="36"/>
      <c r="O51" s="36"/>
      <c r="P51" s="36"/>
      <c r="Q51" s="36"/>
      <c r="R51" s="36"/>
      <c r="S51" s="36"/>
      <c r="T51" s="36"/>
      <c r="U51" s="36"/>
      <c r="V51" s="36"/>
      <c r="W51" s="36"/>
      <c r="X51" s="36"/>
      <c r="Y51" s="36"/>
      <c r="Z51" s="36"/>
      <c r="AA51" s="36"/>
    </row>
    <row r="52" spans="1:27" x14ac:dyDescent="0.3">
      <c r="C52" t="s">
        <v>139</v>
      </c>
      <c r="D52" s="36">
        <v>17280</v>
      </c>
      <c r="E52" s="36">
        <v>11520</v>
      </c>
      <c r="F52" s="36">
        <v>10000</v>
      </c>
      <c r="G52" s="36">
        <v>47072</v>
      </c>
      <c r="H52" s="36">
        <v>23040</v>
      </c>
      <c r="I52" s="36">
        <v>20000</v>
      </c>
      <c r="J52" s="36">
        <v>11520</v>
      </c>
      <c r="K52" s="36">
        <v>21520</v>
      </c>
      <c r="L52" s="36">
        <v>31520</v>
      </c>
      <c r="M52" s="36">
        <v>35552</v>
      </c>
      <c r="N52" s="36">
        <v>11520</v>
      </c>
      <c r="O52" s="36">
        <v>27280</v>
      </c>
      <c r="P52" s="36">
        <v>47280</v>
      </c>
      <c r="Q52" s="36">
        <v>34400</v>
      </c>
      <c r="R52" s="36">
        <v>2880</v>
      </c>
      <c r="S52" s="36">
        <v>60000</v>
      </c>
      <c r="T52" s="36"/>
      <c r="U52" s="36"/>
      <c r="V52" s="36"/>
      <c r="W52" s="36"/>
      <c r="X52" s="36"/>
      <c r="Y52" s="36"/>
      <c r="Z52" s="36"/>
      <c r="AA52" s="36"/>
    </row>
    <row r="53" spans="1:27" x14ac:dyDescent="0.3">
      <c r="C53" t="s">
        <v>140</v>
      </c>
      <c r="D53" s="36">
        <v>183631</v>
      </c>
      <c r="E53" s="36">
        <v>179806</v>
      </c>
      <c r="F53" s="36">
        <v>175712</v>
      </c>
      <c r="G53" s="36">
        <v>208684</v>
      </c>
      <c r="H53" s="36">
        <v>215107.00000000003</v>
      </c>
      <c r="I53" s="36">
        <v>217398</v>
      </c>
      <c r="J53" s="36">
        <v>211404</v>
      </c>
      <c r="K53" s="36">
        <v>215212.00000000003</v>
      </c>
      <c r="L53" s="36">
        <v>228890</v>
      </c>
      <c r="M53" s="36">
        <v>247959</v>
      </c>
      <c r="N53" s="36">
        <v>243269</v>
      </c>
      <c r="O53" s="36">
        <v>254425</v>
      </c>
      <c r="P53" s="36">
        <v>282639</v>
      </c>
      <c r="Q53" s="36">
        <v>301703</v>
      </c>
      <c r="R53" s="36">
        <v>289522</v>
      </c>
      <c r="S53" s="36">
        <v>334478</v>
      </c>
      <c r="T53" s="36">
        <v>319607</v>
      </c>
      <c r="U53" s="36">
        <v>306961</v>
      </c>
      <c r="V53" s="36">
        <v>295122</v>
      </c>
      <c r="W53" s="36">
        <v>283281</v>
      </c>
      <c r="X53" s="36">
        <v>271456</v>
      </c>
      <c r="Y53" s="36">
        <v>260411</v>
      </c>
      <c r="Z53" s="36">
        <v>249671</v>
      </c>
      <c r="AA53" s="36">
        <v>238927</v>
      </c>
    </row>
    <row r="54" spans="1:27" x14ac:dyDescent="0.3">
      <c r="C54" t="s">
        <v>141</v>
      </c>
      <c r="D54" s="36">
        <v>0</v>
      </c>
      <c r="E54" s="36">
        <v>0</v>
      </c>
      <c r="F54" s="36">
        <v>0</v>
      </c>
      <c r="G54" s="36">
        <v>0</v>
      </c>
      <c r="H54" s="36">
        <v>0</v>
      </c>
      <c r="I54" s="36">
        <v>0</v>
      </c>
      <c r="J54" s="36">
        <v>0</v>
      </c>
      <c r="K54" s="36">
        <v>0</v>
      </c>
      <c r="L54" s="36">
        <v>0</v>
      </c>
      <c r="M54" s="36">
        <v>0</v>
      </c>
      <c r="N54" s="36">
        <v>0</v>
      </c>
      <c r="O54" s="36">
        <v>0</v>
      </c>
      <c r="P54" s="36">
        <v>0</v>
      </c>
      <c r="Q54" s="36">
        <v>0</v>
      </c>
      <c r="R54" s="36">
        <v>0</v>
      </c>
      <c r="S54" s="36">
        <v>0</v>
      </c>
      <c r="T54" s="36">
        <v>0</v>
      </c>
      <c r="U54" s="36">
        <v>0</v>
      </c>
      <c r="V54" s="36">
        <v>0</v>
      </c>
      <c r="W54" s="36">
        <v>0</v>
      </c>
      <c r="X54" s="36">
        <v>0</v>
      </c>
      <c r="Y54" s="36">
        <v>0</v>
      </c>
      <c r="Z54" s="36">
        <v>0</v>
      </c>
      <c r="AA54" s="36">
        <v>0</v>
      </c>
    </row>
    <row r="55" spans="1:27" x14ac:dyDescent="0.3">
      <c r="A55" t="s">
        <v>192</v>
      </c>
      <c r="B55" t="s">
        <v>177</v>
      </c>
      <c r="C55" t="s">
        <v>129</v>
      </c>
      <c r="D55" s="36">
        <v>33</v>
      </c>
      <c r="E55" s="36"/>
      <c r="F55" s="36"/>
      <c r="G55" s="36"/>
      <c r="H55" s="36"/>
      <c r="I55" s="36"/>
      <c r="J55" s="36"/>
      <c r="K55" s="36"/>
      <c r="L55" s="36"/>
      <c r="M55" s="36"/>
      <c r="N55" s="36"/>
      <c r="O55" s="36"/>
      <c r="P55" s="36"/>
      <c r="Q55" s="36"/>
      <c r="R55" s="36"/>
      <c r="S55" s="36"/>
      <c r="T55" s="36"/>
      <c r="U55" s="36"/>
      <c r="V55" s="36"/>
      <c r="W55" s="36"/>
      <c r="X55" s="36"/>
      <c r="Y55" s="36"/>
      <c r="Z55" s="36"/>
      <c r="AA55" s="36"/>
    </row>
    <row r="56" spans="1:27" x14ac:dyDescent="0.3">
      <c r="C56" t="s">
        <v>131</v>
      </c>
      <c r="D56" s="36">
        <v>0</v>
      </c>
      <c r="E56" s="36">
        <v>9</v>
      </c>
      <c r="F56" s="36">
        <v>0</v>
      </c>
      <c r="G56" s="36">
        <v>2</v>
      </c>
      <c r="H56" s="36">
        <v>0</v>
      </c>
      <c r="I56" s="36">
        <v>0</v>
      </c>
      <c r="J56" s="36">
        <v>0</v>
      </c>
      <c r="K56" s="36">
        <v>0</v>
      </c>
      <c r="L56" s="36">
        <v>0</v>
      </c>
      <c r="M56" s="36">
        <v>0</v>
      </c>
      <c r="N56" s="36">
        <v>0</v>
      </c>
      <c r="O56" s="36">
        <v>0</v>
      </c>
      <c r="P56" s="36">
        <v>0</v>
      </c>
      <c r="Q56" s="36">
        <v>0</v>
      </c>
      <c r="R56" s="36">
        <v>0</v>
      </c>
      <c r="S56" s="36">
        <v>0</v>
      </c>
      <c r="T56" s="36">
        <v>0</v>
      </c>
      <c r="U56" s="36">
        <v>0</v>
      </c>
      <c r="V56" s="36">
        <v>0</v>
      </c>
      <c r="W56" s="36">
        <v>0</v>
      </c>
      <c r="X56" s="36">
        <v>0</v>
      </c>
      <c r="Y56" s="36">
        <v>0</v>
      </c>
      <c r="Z56" s="36">
        <v>0</v>
      </c>
      <c r="AA56" s="36">
        <v>0</v>
      </c>
    </row>
    <row r="57" spans="1:27" x14ac:dyDescent="0.3">
      <c r="C57" t="s">
        <v>132</v>
      </c>
      <c r="D57" s="36"/>
      <c r="E57" s="36"/>
      <c r="F57" s="36"/>
      <c r="G57" s="36"/>
      <c r="H57" s="36"/>
      <c r="I57" s="36"/>
      <c r="J57" s="36"/>
      <c r="K57" s="36"/>
      <c r="L57" s="36"/>
      <c r="M57" s="36"/>
      <c r="N57" s="36"/>
      <c r="O57" s="36"/>
      <c r="P57" s="36"/>
      <c r="Q57" s="36"/>
      <c r="R57" s="36"/>
      <c r="S57" s="36"/>
      <c r="T57" s="36"/>
      <c r="U57" s="36"/>
      <c r="V57" s="36"/>
      <c r="W57" s="36"/>
      <c r="X57" s="36"/>
      <c r="Y57" s="36"/>
      <c r="Z57" s="36"/>
      <c r="AA57" s="36"/>
    </row>
    <row r="58" spans="1:27" x14ac:dyDescent="0.3">
      <c r="C58" t="s">
        <v>133</v>
      </c>
      <c r="D58" s="36"/>
      <c r="E58" s="36"/>
      <c r="F58" s="36"/>
      <c r="G58" s="36"/>
      <c r="H58" s="36"/>
      <c r="I58" s="36"/>
      <c r="J58" s="36"/>
      <c r="K58" s="36"/>
      <c r="L58" s="36"/>
      <c r="M58" s="36"/>
      <c r="N58" s="36"/>
      <c r="O58" s="36"/>
      <c r="P58" s="36"/>
      <c r="Q58" s="36"/>
      <c r="R58" s="36"/>
      <c r="S58" s="36"/>
      <c r="T58" s="36"/>
      <c r="U58" s="36"/>
      <c r="V58" s="36"/>
      <c r="W58" s="36"/>
      <c r="X58" s="36"/>
      <c r="Y58" s="36"/>
      <c r="Z58" s="36"/>
      <c r="AA58" s="36"/>
    </row>
    <row r="59" spans="1:27" x14ac:dyDescent="0.3">
      <c r="C59" t="s">
        <v>134</v>
      </c>
      <c r="D59" s="36"/>
      <c r="E59" s="36"/>
      <c r="F59" s="36"/>
      <c r="G59" s="36"/>
      <c r="H59" s="36"/>
      <c r="I59" s="36"/>
      <c r="J59" s="36"/>
      <c r="K59" s="36"/>
      <c r="L59" s="36"/>
      <c r="M59" s="36"/>
      <c r="N59" s="36"/>
      <c r="O59" s="36"/>
      <c r="P59" s="36"/>
      <c r="Q59" s="36"/>
      <c r="R59" s="36"/>
      <c r="S59" s="36"/>
      <c r="T59" s="36"/>
      <c r="U59" s="36"/>
      <c r="V59" s="36"/>
      <c r="W59" s="36"/>
      <c r="X59" s="36"/>
      <c r="Y59" s="36"/>
      <c r="Z59" s="36"/>
      <c r="AA59" s="36"/>
    </row>
    <row r="60" spans="1:27" x14ac:dyDescent="0.3">
      <c r="C60" t="s">
        <v>135</v>
      </c>
      <c r="D60" s="36"/>
      <c r="E60" s="36"/>
      <c r="F60" s="36"/>
      <c r="G60" s="36"/>
      <c r="H60" s="36"/>
      <c r="I60" s="36"/>
      <c r="J60" s="36"/>
      <c r="K60" s="36"/>
      <c r="L60" s="36"/>
      <c r="M60" s="36"/>
      <c r="N60" s="36"/>
      <c r="O60" s="36"/>
      <c r="P60" s="36"/>
      <c r="Q60" s="36"/>
      <c r="R60" s="36"/>
      <c r="S60" s="36"/>
      <c r="T60" s="36"/>
      <c r="U60" s="36"/>
      <c r="V60" s="36"/>
      <c r="W60" s="36"/>
      <c r="X60" s="36"/>
      <c r="Y60" s="36"/>
      <c r="Z60" s="36"/>
      <c r="AA60" s="36"/>
    </row>
    <row r="61" spans="1:27" x14ac:dyDescent="0.3">
      <c r="C61" t="s">
        <v>136</v>
      </c>
      <c r="D61" s="36">
        <v>0</v>
      </c>
      <c r="E61" s="36">
        <v>0</v>
      </c>
      <c r="F61" s="36">
        <v>0</v>
      </c>
      <c r="G61" s="36">
        <v>0</v>
      </c>
      <c r="H61" s="36">
        <v>0</v>
      </c>
      <c r="I61" s="36">
        <v>0</v>
      </c>
      <c r="J61" s="36">
        <v>0</v>
      </c>
      <c r="K61" s="36">
        <v>0</v>
      </c>
      <c r="L61" s="36">
        <v>0</v>
      </c>
      <c r="M61" s="36">
        <v>0</v>
      </c>
      <c r="N61" s="36">
        <v>0</v>
      </c>
      <c r="O61" s="36">
        <v>0</v>
      </c>
      <c r="P61" s="36">
        <v>0</v>
      </c>
      <c r="Q61" s="36">
        <v>0</v>
      </c>
      <c r="R61" s="36">
        <v>0</v>
      </c>
      <c r="S61" s="36">
        <v>0</v>
      </c>
      <c r="T61" s="36">
        <v>0</v>
      </c>
      <c r="U61" s="36">
        <v>0</v>
      </c>
      <c r="V61" s="36">
        <v>0</v>
      </c>
      <c r="W61" s="36">
        <v>0</v>
      </c>
      <c r="X61" s="36">
        <v>0</v>
      </c>
      <c r="Y61" s="36">
        <v>0</v>
      </c>
      <c r="Z61" s="36">
        <v>0</v>
      </c>
      <c r="AA61" s="36">
        <v>0</v>
      </c>
    </row>
    <row r="62" spans="1:27" x14ac:dyDescent="0.3">
      <c r="C62" t="s">
        <v>124</v>
      </c>
      <c r="D62" s="36"/>
      <c r="E62" s="36"/>
      <c r="F62" s="36"/>
      <c r="G62" s="36"/>
      <c r="H62" s="36"/>
      <c r="I62" s="36"/>
      <c r="J62" s="36"/>
      <c r="K62" s="36"/>
      <c r="L62" s="36"/>
      <c r="M62" s="36"/>
      <c r="N62" s="36"/>
      <c r="O62" s="36"/>
      <c r="P62" s="36"/>
      <c r="Q62" s="36"/>
      <c r="R62" s="36"/>
      <c r="S62" s="36"/>
      <c r="T62" s="36"/>
      <c r="U62" s="36"/>
      <c r="V62" s="36"/>
      <c r="W62" s="36"/>
      <c r="X62" s="36"/>
      <c r="Y62" s="36"/>
      <c r="Z62" s="36"/>
      <c r="AA62" s="36"/>
    </row>
    <row r="63" spans="1:27" x14ac:dyDescent="0.3">
      <c r="C63" t="s">
        <v>137</v>
      </c>
      <c r="D63" s="36"/>
      <c r="E63" s="36"/>
      <c r="F63" s="36"/>
      <c r="G63" s="36"/>
      <c r="H63" s="36"/>
      <c r="I63" s="36"/>
      <c r="J63" s="36"/>
      <c r="K63" s="36"/>
      <c r="L63" s="36"/>
      <c r="M63" s="36"/>
      <c r="N63" s="36"/>
      <c r="O63" s="36"/>
      <c r="P63" s="36"/>
      <c r="Q63" s="36"/>
      <c r="R63" s="36"/>
      <c r="S63" s="36"/>
      <c r="T63" s="36"/>
      <c r="U63" s="36"/>
      <c r="V63" s="36"/>
      <c r="W63" s="36"/>
      <c r="X63" s="36"/>
      <c r="Y63" s="36"/>
      <c r="Z63" s="36"/>
      <c r="AA63" s="36"/>
    </row>
    <row r="64" spans="1:27" x14ac:dyDescent="0.3">
      <c r="C64" t="s">
        <v>138</v>
      </c>
      <c r="D64" s="36"/>
      <c r="E64" s="36"/>
      <c r="F64" s="36"/>
      <c r="G64" s="36"/>
      <c r="H64" s="36"/>
      <c r="I64" s="36"/>
      <c r="J64" s="36"/>
      <c r="K64" s="36"/>
      <c r="L64" s="36"/>
      <c r="M64" s="36"/>
      <c r="N64" s="36"/>
      <c r="O64" s="36"/>
      <c r="P64" s="36"/>
      <c r="Q64" s="36"/>
      <c r="R64" s="36"/>
      <c r="S64" s="36"/>
      <c r="T64" s="36"/>
      <c r="U64" s="36"/>
      <c r="V64" s="36"/>
      <c r="W64" s="36"/>
      <c r="X64" s="36"/>
      <c r="Y64" s="36"/>
      <c r="Z64" s="36"/>
      <c r="AA64" s="36"/>
    </row>
    <row r="65" spans="1:27" x14ac:dyDescent="0.3">
      <c r="C65" t="s">
        <v>139</v>
      </c>
      <c r="D65" s="36"/>
      <c r="E65" s="36"/>
      <c r="F65" s="36"/>
      <c r="G65" s="36"/>
      <c r="H65" s="36"/>
      <c r="I65" s="36"/>
      <c r="J65" s="36"/>
      <c r="K65" s="36"/>
      <c r="L65" s="36"/>
      <c r="M65" s="36"/>
      <c r="N65" s="36"/>
      <c r="O65" s="36"/>
      <c r="P65" s="36"/>
      <c r="Q65" s="36"/>
      <c r="R65" s="36"/>
      <c r="S65" s="36"/>
      <c r="T65" s="36"/>
      <c r="U65" s="36"/>
      <c r="V65" s="36"/>
      <c r="W65" s="36"/>
      <c r="X65" s="36"/>
      <c r="Y65" s="36"/>
      <c r="Z65" s="36"/>
      <c r="AA65" s="36"/>
    </row>
    <row r="66" spans="1:27" x14ac:dyDescent="0.3">
      <c r="C66" t="s">
        <v>140</v>
      </c>
      <c r="D66" s="36">
        <v>-33</v>
      </c>
      <c r="E66" s="36">
        <v>-42</v>
      </c>
      <c r="F66" s="36">
        <v>-42</v>
      </c>
      <c r="G66" s="36">
        <v>-44</v>
      </c>
      <c r="H66" s="36">
        <v>-44</v>
      </c>
      <c r="I66" s="36">
        <v>-44</v>
      </c>
      <c r="J66" s="36">
        <v>-44</v>
      </c>
      <c r="K66" s="36">
        <v>-44</v>
      </c>
      <c r="L66" s="36">
        <v>-44</v>
      </c>
      <c r="M66" s="36">
        <v>-44</v>
      </c>
      <c r="N66" s="36">
        <v>-44</v>
      </c>
      <c r="O66" s="36">
        <v>-44</v>
      </c>
      <c r="P66" s="36">
        <v>-44</v>
      </c>
      <c r="Q66" s="36">
        <v>-44</v>
      </c>
      <c r="R66" s="36">
        <v>-44</v>
      </c>
      <c r="S66" s="36">
        <v>-44</v>
      </c>
      <c r="T66" s="36">
        <v>-44</v>
      </c>
      <c r="U66" s="36">
        <v>-44</v>
      </c>
      <c r="V66" s="36">
        <v>-44</v>
      </c>
      <c r="W66" s="36">
        <v>-44</v>
      </c>
      <c r="X66" s="36">
        <v>-44</v>
      </c>
      <c r="Y66" s="36">
        <v>-44</v>
      </c>
      <c r="Z66" s="36">
        <v>-44</v>
      </c>
      <c r="AA66" s="36">
        <v>-44</v>
      </c>
    </row>
    <row r="67" spans="1:27" x14ac:dyDescent="0.3">
      <c r="C67" t="s">
        <v>141</v>
      </c>
      <c r="D67" s="36">
        <v>0</v>
      </c>
      <c r="E67" s="36">
        <v>0</v>
      </c>
      <c r="F67" s="36">
        <v>0</v>
      </c>
      <c r="G67" s="36">
        <v>0</v>
      </c>
      <c r="H67" s="36">
        <v>0</v>
      </c>
      <c r="I67" s="36">
        <v>0</v>
      </c>
      <c r="J67" s="36">
        <v>0</v>
      </c>
      <c r="K67" s="36">
        <v>0</v>
      </c>
      <c r="L67" s="36">
        <v>0</v>
      </c>
      <c r="M67" s="36">
        <v>0</v>
      </c>
      <c r="N67" s="36">
        <v>0</v>
      </c>
      <c r="O67" s="36">
        <v>0</v>
      </c>
      <c r="P67" s="36">
        <v>0</v>
      </c>
      <c r="Q67" s="36">
        <v>0</v>
      </c>
      <c r="R67" s="36">
        <v>0</v>
      </c>
      <c r="S67" s="36">
        <v>0</v>
      </c>
      <c r="T67" s="36">
        <v>0</v>
      </c>
      <c r="U67" s="36">
        <v>0</v>
      </c>
      <c r="V67" s="36">
        <v>0</v>
      </c>
      <c r="W67" s="36">
        <v>0</v>
      </c>
      <c r="X67" s="36">
        <v>0</v>
      </c>
      <c r="Y67" s="36">
        <v>0</v>
      </c>
      <c r="Z67" s="36">
        <v>0</v>
      </c>
      <c r="AA67" s="36">
        <v>0</v>
      </c>
    </row>
    <row r="68" spans="1:27" x14ac:dyDescent="0.3">
      <c r="A68" t="s">
        <v>292</v>
      </c>
      <c r="B68" t="s">
        <v>195</v>
      </c>
      <c r="C68" t="s">
        <v>129</v>
      </c>
      <c r="D68" s="36">
        <v>1072</v>
      </c>
      <c r="E68" s="36"/>
      <c r="F68" s="36"/>
      <c r="G68" s="36"/>
      <c r="H68" s="36"/>
      <c r="I68" s="36"/>
      <c r="J68" s="36"/>
      <c r="K68" s="36"/>
      <c r="L68" s="36"/>
      <c r="M68" s="36"/>
      <c r="N68" s="36"/>
      <c r="O68" s="36"/>
      <c r="P68" s="36"/>
      <c r="Q68" s="36"/>
      <c r="R68" s="36"/>
      <c r="S68" s="36"/>
      <c r="T68" s="36"/>
      <c r="U68" s="36"/>
      <c r="V68" s="36"/>
      <c r="W68" s="36"/>
      <c r="X68" s="36"/>
      <c r="Y68" s="36"/>
      <c r="Z68" s="36"/>
      <c r="AA68" s="36"/>
    </row>
    <row r="69" spans="1:27" x14ac:dyDescent="0.3">
      <c r="C69" t="s">
        <v>131</v>
      </c>
      <c r="D69" s="36">
        <v>268</v>
      </c>
      <c r="E69" s="36">
        <v>406</v>
      </c>
      <c r="F69" s="36">
        <v>291</v>
      </c>
      <c r="G69" s="36">
        <v>484</v>
      </c>
      <c r="H69" s="36">
        <v>461</v>
      </c>
      <c r="I69" s="36">
        <v>437</v>
      </c>
      <c r="J69" s="36">
        <v>357</v>
      </c>
      <c r="K69" s="36">
        <v>670</v>
      </c>
      <c r="L69" s="36">
        <v>559</v>
      </c>
      <c r="M69" s="36">
        <v>619</v>
      </c>
      <c r="N69" s="36">
        <v>512</v>
      </c>
      <c r="O69" s="36">
        <v>428</v>
      </c>
      <c r="P69" s="36">
        <v>496</v>
      </c>
      <c r="Q69" s="36">
        <v>409</v>
      </c>
      <c r="R69" s="36">
        <v>407</v>
      </c>
      <c r="S69" s="36">
        <v>407</v>
      </c>
      <c r="T69" s="36">
        <v>409</v>
      </c>
      <c r="U69" s="36">
        <v>350</v>
      </c>
      <c r="V69" s="36">
        <v>298</v>
      </c>
      <c r="W69" s="36">
        <v>315</v>
      </c>
      <c r="X69" s="36">
        <v>296</v>
      </c>
      <c r="Y69" s="36">
        <v>217</v>
      </c>
      <c r="Z69" s="36">
        <v>189</v>
      </c>
      <c r="AA69" s="36">
        <v>188</v>
      </c>
    </row>
    <row r="70" spans="1:27" x14ac:dyDescent="0.3">
      <c r="C70" t="s">
        <v>132</v>
      </c>
      <c r="D70" s="36">
        <v>0</v>
      </c>
      <c r="E70" s="36"/>
      <c r="F70" s="36"/>
      <c r="G70" s="36"/>
      <c r="H70" s="36"/>
      <c r="I70" s="36"/>
      <c r="J70" s="36"/>
      <c r="K70" s="36"/>
      <c r="L70" s="36"/>
      <c r="M70" s="36"/>
      <c r="N70" s="36"/>
      <c r="O70" s="36"/>
      <c r="P70" s="36"/>
      <c r="Q70" s="36"/>
      <c r="R70" s="36"/>
      <c r="S70" s="36"/>
      <c r="T70" s="36"/>
      <c r="U70" s="36"/>
      <c r="V70" s="36"/>
      <c r="W70" s="36"/>
      <c r="X70" s="36"/>
      <c r="Y70" s="36"/>
      <c r="Z70" s="36"/>
      <c r="AA70" s="36"/>
    </row>
    <row r="71" spans="1:27" x14ac:dyDescent="0.3">
      <c r="C71" t="s">
        <v>133</v>
      </c>
      <c r="D71" s="36">
        <v>0</v>
      </c>
      <c r="E71" s="36"/>
      <c r="F71" s="36"/>
      <c r="G71" s="36"/>
      <c r="H71" s="36"/>
      <c r="I71" s="36"/>
      <c r="J71" s="36"/>
      <c r="K71" s="36"/>
      <c r="L71" s="36"/>
      <c r="M71" s="36"/>
      <c r="N71" s="36"/>
      <c r="O71" s="36"/>
      <c r="P71" s="36"/>
      <c r="Q71" s="36"/>
      <c r="R71" s="36"/>
      <c r="S71" s="36"/>
      <c r="T71" s="36"/>
      <c r="U71" s="36"/>
      <c r="V71" s="36"/>
      <c r="W71" s="36"/>
      <c r="X71" s="36"/>
      <c r="Y71" s="36"/>
      <c r="Z71" s="36"/>
      <c r="AA71" s="36"/>
    </row>
    <row r="72" spans="1:27" x14ac:dyDescent="0.3">
      <c r="C72" t="s">
        <v>134</v>
      </c>
      <c r="D72" s="36">
        <v>0</v>
      </c>
      <c r="E72" s="36"/>
      <c r="F72" s="36"/>
      <c r="G72" s="36"/>
      <c r="H72" s="36"/>
      <c r="I72" s="36"/>
      <c r="J72" s="36"/>
      <c r="K72" s="36"/>
      <c r="L72" s="36"/>
      <c r="M72" s="36"/>
      <c r="N72" s="36"/>
      <c r="O72" s="36"/>
      <c r="P72" s="36"/>
      <c r="Q72" s="36"/>
      <c r="R72" s="36"/>
      <c r="S72" s="36"/>
      <c r="T72" s="36"/>
      <c r="U72" s="36"/>
      <c r="V72" s="36"/>
      <c r="W72" s="36"/>
      <c r="X72" s="36"/>
      <c r="Y72" s="36"/>
      <c r="Z72" s="36"/>
      <c r="AA72" s="36"/>
    </row>
    <row r="73" spans="1:27" x14ac:dyDescent="0.3">
      <c r="C73" t="s">
        <v>135</v>
      </c>
      <c r="D73" s="36"/>
      <c r="E73" s="36"/>
      <c r="F73" s="36"/>
      <c r="G73" s="36"/>
      <c r="H73" s="36"/>
      <c r="I73" s="36"/>
      <c r="J73" s="36"/>
      <c r="K73" s="36"/>
      <c r="L73" s="36"/>
      <c r="M73" s="36"/>
      <c r="N73" s="36"/>
      <c r="O73" s="36"/>
      <c r="P73" s="36"/>
      <c r="Q73" s="36"/>
      <c r="R73" s="36"/>
      <c r="S73" s="36"/>
      <c r="T73" s="36"/>
      <c r="U73" s="36"/>
      <c r="V73" s="36"/>
      <c r="W73" s="36"/>
      <c r="X73" s="36"/>
      <c r="Y73" s="36"/>
      <c r="Z73" s="36"/>
      <c r="AA73" s="36"/>
    </row>
    <row r="74" spans="1:27" x14ac:dyDescent="0.3">
      <c r="C74" t="s">
        <v>136</v>
      </c>
      <c r="D74" s="36">
        <v>0</v>
      </c>
      <c r="E74" s="36">
        <v>0</v>
      </c>
      <c r="F74" s="36">
        <v>0</v>
      </c>
      <c r="G74" s="36">
        <v>0</v>
      </c>
      <c r="H74" s="36">
        <v>0</v>
      </c>
      <c r="I74" s="36">
        <v>0</v>
      </c>
      <c r="J74" s="36">
        <v>0</v>
      </c>
      <c r="K74" s="36">
        <v>0</v>
      </c>
      <c r="L74" s="36">
        <v>0</v>
      </c>
      <c r="M74" s="36">
        <v>0</v>
      </c>
      <c r="N74" s="36">
        <v>0</v>
      </c>
      <c r="O74" s="36">
        <v>0</v>
      </c>
      <c r="P74" s="36">
        <v>0</v>
      </c>
      <c r="Q74" s="36">
        <v>0</v>
      </c>
      <c r="R74" s="36">
        <v>0</v>
      </c>
      <c r="S74" s="36">
        <v>0</v>
      </c>
      <c r="T74" s="36">
        <v>0</v>
      </c>
      <c r="U74" s="36">
        <v>0</v>
      </c>
      <c r="V74" s="36">
        <v>0</v>
      </c>
      <c r="W74" s="36">
        <v>0</v>
      </c>
      <c r="X74" s="36">
        <v>0</v>
      </c>
      <c r="Y74" s="36">
        <v>0</v>
      </c>
      <c r="Z74" s="36">
        <v>0</v>
      </c>
      <c r="AA74" s="36">
        <v>0</v>
      </c>
    </row>
    <row r="75" spans="1:27" x14ac:dyDescent="0.3">
      <c r="C75" t="s">
        <v>124</v>
      </c>
      <c r="D75" s="36"/>
      <c r="E75" s="36"/>
      <c r="F75" s="36"/>
      <c r="G75" s="36"/>
      <c r="H75" s="36"/>
      <c r="I75" s="36"/>
      <c r="J75" s="36"/>
      <c r="K75" s="36"/>
      <c r="L75" s="36"/>
      <c r="M75" s="36"/>
      <c r="N75" s="36"/>
      <c r="O75" s="36"/>
      <c r="P75" s="36"/>
      <c r="Q75" s="36"/>
      <c r="R75" s="36"/>
      <c r="S75" s="36"/>
      <c r="T75" s="36"/>
      <c r="U75" s="36"/>
      <c r="V75" s="36"/>
      <c r="W75" s="36"/>
      <c r="X75" s="36"/>
      <c r="Y75" s="36"/>
      <c r="Z75" s="36"/>
      <c r="AA75" s="36"/>
    </row>
    <row r="76" spans="1:27" x14ac:dyDescent="0.3">
      <c r="C76" t="s">
        <v>137</v>
      </c>
      <c r="D76" s="36"/>
      <c r="E76" s="36"/>
      <c r="F76" s="36"/>
      <c r="G76" s="36"/>
      <c r="H76" s="36"/>
      <c r="I76" s="36"/>
      <c r="J76" s="36"/>
      <c r="K76" s="36"/>
      <c r="L76" s="36"/>
      <c r="M76" s="36"/>
      <c r="N76" s="36"/>
      <c r="O76" s="36"/>
      <c r="P76" s="36"/>
      <c r="Q76" s="36"/>
      <c r="R76" s="36"/>
      <c r="S76" s="36"/>
      <c r="T76" s="36"/>
      <c r="U76" s="36"/>
      <c r="V76" s="36"/>
      <c r="W76" s="36"/>
      <c r="X76" s="36"/>
      <c r="Y76" s="36"/>
      <c r="Z76" s="36"/>
      <c r="AA76" s="36"/>
    </row>
    <row r="77" spans="1:27" x14ac:dyDescent="0.3">
      <c r="C77" t="s">
        <v>138</v>
      </c>
      <c r="D77" s="36"/>
      <c r="E77" s="36"/>
      <c r="F77" s="36"/>
      <c r="G77" s="36"/>
      <c r="H77" s="36"/>
      <c r="I77" s="36"/>
      <c r="J77" s="36"/>
      <c r="K77" s="36"/>
      <c r="L77" s="36"/>
      <c r="M77" s="36"/>
      <c r="N77" s="36"/>
      <c r="O77" s="36"/>
      <c r="P77" s="36"/>
      <c r="Q77" s="36"/>
      <c r="R77" s="36"/>
      <c r="S77" s="36"/>
      <c r="T77" s="36"/>
      <c r="U77" s="36"/>
      <c r="V77" s="36"/>
      <c r="W77" s="36"/>
      <c r="X77" s="36"/>
      <c r="Y77" s="36"/>
      <c r="Z77" s="36"/>
      <c r="AA77" s="36"/>
    </row>
    <row r="78" spans="1:27" x14ac:dyDescent="0.3">
      <c r="C78" t="s">
        <v>139</v>
      </c>
      <c r="D78" s="36"/>
      <c r="E78" s="36"/>
      <c r="F78" s="36"/>
      <c r="G78" s="36"/>
      <c r="H78" s="36"/>
      <c r="I78" s="36"/>
      <c r="J78" s="36"/>
      <c r="K78" s="36"/>
      <c r="L78" s="36"/>
      <c r="M78" s="36"/>
      <c r="N78" s="36"/>
      <c r="O78" s="36"/>
      <c r="P78" s="36"/>
      <c r="Q78" s="36"/>
      <c r="R78" s="36"/>
      <c r="S78" s="36"/>
      <c r="T78" s="36"/>
      <c r="U78" s="36"/>
      <c r="V78" s="36"/>
      <c r="W78" s="36"/>
      <c r="X78" s="36"/>
      <c r="Y78" s="36"/>
      <c r="Z78" s="36"/>
      <c r="AA78" s="36"/>
    </row>
    <row r="79" spans="1:27" x14ac:dyDescent="0.3">
      <c r="C79" t="s">
        <v>140</v>
      </c>
      <c r="D79" s="36">
        <v>-1340</v>
      </c>
      <c r="E79" s="36">
        <v>-1746</v>
      </c>
      <c r="F79" s="36">
        <v>-2037</v>
      </c>
      <c r="G79" s="36">
        <v>-2521</v>
      </c>
      <c r="H79" s="36">
        <v>-2982</v>
      </c>
      <c r="I79" s="36">
        <v>-3419</v>
      </c>
      <c r="J79" s="36">
        <v>-3776</v>
      </c>
      <c r="K79" s="36">
        <v>-4446</v>
      </c>
      <c r="L79" s="36">
        <v>-5005</v>
      </c>
      <c r="M79" s="36">
        <v>-5624</v>
      </c>
      <c r="N79" s="36">
        <v>-6136</v>
      </c>
      <c r="O79" s="36">
        <v>-6564</v>
      </c>
      <c r="P79" s="36">
        <v>-7060</v>
      </c>
      <c r="Q79" s="36">
        <v>-7469</v>
      </c>
      <c r="R79" s="36">
        <v>-7876</v>
      </c>
      <c r="S79" s="36">
        <v>-8283</v>
      </c>
      <c r="T79" s="36">
        <v>-8692</v>
      </c>
      <c r="U79" s="36">
        <v>-9042</v>
      </c>
      <c r="V79" s="36">
        <v>-9340</v>
      </c>
      <c r="W79" s="36">
        <v>-9655</v>
      </c>
      <c r="X79" s="36">
        <v>-9951</v>
      </c>
      <c r="Y79" s="36">
        <v>-10168</v>
      </c>
      <c r="Z79" s="36">
        <v>-10357</v>
      </c>
      <c r="AA79" s="36">
        <v>-10545</v>
      </c>
    </row>
    <row r="80" spans="1:27" x14ac:dyDescent="0.3">
      <c r="C80" t="s">
        <v>141</v>
      </c>
      <c r="D80" s="36">
        <v>0</v>
      </c>
      <c r="E80" s="36">
        <v>0</v>
      </c>
      <c r="F80" s="36">
        <v>0</v>
      </c>
      <c r="G80" s="36">
        <v>0</v>
      </c>
      <c r="H80" s="36">
        <v>0</v>
      </c>
      <c r="I80" s="36">
        <v>0</v>
      </c>
      <c r="J80" s="36">
        <v>0</v>
      </c>
      <c r="K80" s="36">
        <v>0</v>
      </c>
      <c r="L80" s="36">
        <v>0</v>
      </c>
      <c r="M80" s="36">
        <v>0</v>
      </c>
      <c r="N80" s="36">
        <v>0</v>
      </c>
      <c r="O80" s="36">
        <v>0</v>
      </c>
      <c r="P80" s="36">
        <v>0</v>
      </c>
      <c r="Q80" s="36">
        <v>0</v>
      </c>
      <c r="R80" s="36">
        <v>0</v>
      </c>
      <c r="S80" s="36">
        <v>0</v>
      </c>
      <c r="T80" s="36">
        <v>0</v>
      </c>
      <c r="U80" s="36">
        <v>0</v>
      </c>
      <c r="V80" s="36">
        <v>0</v>
      </c>
      <c r="W80" s="36">
        <v>0</v>
      </c>
      <c r="X80" s="36">
        <v>0</v>
      </c>
      <c r="Y80" s="36">
        <v>0</v>
      </c>
      <c r="Z80" s="36">
        <v>0</v>
      </c>
      <c r="AA80" s="36">
        <v>0</v>
      </c>
    </row>
    <row r="81" spans="1:27" x14ac:dyDescent="0.3">
      <c r="A81" t="s">
        <v>264</v>
      </c>
      <c r="B81" t="s">
        <v>177</v>
      </c>
      <c r="C81" t="s">
        <v>129</v>
      </c>
      <c r="D81" s="36">
        <v>15260</v>
      </c>
      <c r="E81" s="36"/>
      <c r="F81" s="36"/>
      <c r="G81" s="36"/>
      <c r="H81" s="36"/>
      <c r="I81" s="36"/>
      <c r="J81" s="36"/>
      <c r="K81" s="36"/>
      <c r="L81" s="36"/>
      <c r="M81" s="36"/>
      <c r="N81" s="36"/>
      <c r="O81" s="36"/>
      <c r="P81" s="36"/>
      <c r="Q81" s="36"/>
      <c r="R81" s="36"/>
      <c r="S81" s="36"/>
      <c r="T81" s="36"/>
      <c r="U81" s="36"/>
      <c r="V81" s="36"/>
      <c r="W81" s="36"/>
      <c r="X81" s="36"/>
      <c r="Y81" s="36"/>
      <c r="Z81" s="36"/>
      <c r="AA81" s="36"/>
    </row>
    <row r="82" spans="1:27" x14ac:dyDescent="0.3">
      <c r="C82" t="s">
        <v>131</v>
      </c>
      <c r="D82" s="36">
        <v>2892</v>
      </c>
      <c r="E82" s="36">
        <v>2451</v>
      </c>
      <c r="F82" s="36">
        <v>3978</v>
      </c>
      <c r="G82" s="36">
        <v>3348</v>
      </c>
      <c r="H82" s="36">
        <v>3617</v>
      </c>
      <c r="I82" s="36">
        <v>3257</v>
      </c>
      <c r="J82" s="36">
        <v>3925</v>
      </c>
      <c r="K82" s="36">
        <v>3313</v>
      </c>
      <c r="L82" s="36">
        <v>3570</v>
      </c>
      <c r="M82" s="36">
        <v>3315</v>
      </c>
      <c r="N82" s="36">
        <v>2631</v>
      </c>
      <c r="O82" s="36">
        <v>2865</v>
      </c>
      <c r="P82" s="36">
        <v>2671</v>
      </c>
      <c r="Q82" s="36">
        <v>2828</v>
      </c>
      <c r="R82" s="36">
        <v>2843</v>
      </c>
      <c r="S82" s="36">
        <v>2043</v>
      </c>
      <c r="T82" s="36">
        <v>2027</v>
      </c>
      <c r="U82" s="36">
        <v>1925</v>
      </c>
      <c r="V82" s="36">
        <v>1885</v>
      </c>
      <c r="W82" s="36">
        <v>1903</v>
      </c>
      <c r="X82" s="36">
        <v>1879</v>
      </c>
      <c r="Y82" s="36">
        <v>1776</v>
      </c>
      <c r="Z82" s="36">
        <v>1741</v>
      </c>
      <c r="AA82" s="36">
        <v>1738</v>
      </c>
    </row>
    <row r="83" spans="1:27" x14ac:dyDescent="0.3">
      <c r="C83" t="s">
        <v>132</v>
      </c>
      <c r="D83" s="36">
        <v>19500</v>
      </c>
      <c r="E83" s="36"/>
      <c r="F83" s="36"/>
      <c r="G83" s="36"/>
      <c r="H83" s="36"/>
      <c r="I83" s="36"/>
      <c r="J83" s="36"/>
      <c r="K83" s="36"/>
      <c r="L83" s="36"/>
      <c r="M83" s="36"/>
      <c r="N83" s="36"/>
      <c r="O83" s="36"/>
      <c r="P83" s="36"/>
      <c r="Q83" s="36"/>
      <c r="R83" s="36"/>
      <c r="S83" s="36"/>
      <c r="T83" s="36"/>
      <c r="U83" s="36"/>
      <c r="V83" s="36"/>
      <c r="W83" s="36"/>
      <c r="X83" s="36"/>
      <c r="Y83" s="36"/>
      <c r="Z83" s="36"/>
      <c r="AA83" s="36"/>
    </row>
    <row r="84" spans="1:27" x14ac:dyDescent="0.3">
      <c r="C84" t="s">
        <v>133</v>
      </c>
      <c r="D84" s="36">
        <v>0</v>
      </c>
      <c r="E84" s="36"/>
      <c r="F84" s="36"/>
      <c r="G84" s="36"/>
      <c r="H84" s="36"/>
      <c r="I84" s="36"/>
      <c r="J84" s="36"/>
      <c r="K84" s="36"/>
      <c r="L84" s="36"/>
      <c r="M84" s="36"/>
      <c r="N84" s="36"/>
      <c r="O84" s="36"/>
      <c r="P84" s="36"/>
      <c r="Q84" s="36"/>
      <c r="R84" s="36"/>
      <c r="S84" s="36"/>
      <c r="T84" s="36"/>
      <c r="U84" s="36"/>
      <c r="V84" s="36"/>
      <c r="W84" s="36"/>
      <c r="X84" s="36"/>
      <c r="Y84" s="36"/>
      <c r="Z84" s="36"/>
      <c r="AA84" s="36"/>
    </row>
    <row r="85" spans="1:27" x14ac:dyDescent="0.3">
      <c r="C85" t="s">
        <v>134</v>
      </c>
      <c r="D85" s="36">
        <v>2129</v>
      </c>
      <c r="E85" s="36"/>
      <c r="F85" s="36"/>
      <c r="G85" s="36"/>
      <c r="H85" s="36"/>
      <c r="I85" s="36"/>
      <c r="J85" s="36"/>
      <c r="K85" s="36"/>
      <c r="L85" s="36"/>
      <c r="M85" s="36"/>
      <c r="N85" s="36"/>
      <c r="O85" s="36"/>
      <c r="P85" s="36"/>
      <c r="Q85" s="36"/>
      <c r="R85" s="36"/>
      <c r="S85" s="36"/>
      <c r="T85" s="36"/>
      <c r="U85" s="36"/>
      <c r="V85" s="36"/>
      <c r="W85" s="36"/>
      <c r="X85" s="36"/>
      <c r="Y85" s="36"/>
      <c r="Z85" s="36"/>
      <c r="AA85" s="36"/>
    </row>
    <row r="86" spans="1:27" x14ac:dyDescent="0.3">
      <c r="C86" t="s">
        <v>135</v>
      </c>
      <c r="D86" s="36"/>
      <c r="E86" s="36"/>
      <c r="F86" s="36"/>
      <c r="G86" s="36"/>
      <c r="H86" s="36"/>
      <c r="I86" s="36"/>
      <c r="J86" s="36"/>
      <c r="K86" s="36"/>
      <c r="L86" s="36"/>
      <c r="M86" s="36"/>
      <c r="N86" s="36"/>
      <c r="O86" s="36"/>
      <c r="P86" s="36"/>
      <c r="Q86" s="36"/>
      <c r="R86" s="36"/>
      <c r="S86" s="36"/>
      <c r="T86" s="36"/>
      <c r="U86" s="36"/>
      <c r="V86" s="36"/>
      <c r="W86" s="36"/>
      <c r="X86" s="36"/>
      <c r="Y86" s="36"/>
      <c r="Z86" s="36"/>
      <c r="AA86" s="36"/>
    </row>
    <row r="87" spans="1:27" x14ac:dyDescent="0.3">
      <c r="C87" t="s">
        <v>136</v>
      </c>
      <c r="D87" s="36">
        <v>5184</v>
      </c>
      <c r="E87" s="36">
        <v>1728</v>
      </c>
      <c r="F87" s="36">
        <v>0</v>
      </c>
      <c r="G87" s="36">
        <v>3456</v>
      </c>
      <c r="H87" s="36">
        <v>2304</v>
      </c>
      <c r="I87" s="36">
        <v>10000</v>
      </c>
      <c r="J87" s="36">
        <v>3456</v>
      </c>
      <c r="K87" s="36">
        <v>0</v>
      </c>
      <c r="L87" s="36">
        <v>7760</v>
      </c>
      <c r="M87" s="36">
        <v>10000</v>
      </c>
      <c r="N87" s="36">
        <v>0</v>
      </c>
      <c r="O87" s="36">
        <v>3456</v>
      </c>
      <c r="P87" s="36">
        <v>10000</v>
      </c>
      <c r="Q87" s="36">
        <v>5000</v>
      </c>
      <c r="R87" s="36">
        <v>0</v>
      </c>
      <c r="S87" s="36">
        <v>0</v>
      </c>
      <c r="T87" s="36">
        <v>0</v>
      </c>
      <c r="U87" s="36">
        <v>0</v>
      </c>
      <c r="V87" s="36">
        <v>0</v>
      </c>
      <c r="W87" s="36">
        <v>0</v>
      </c>
      <c r="X87" s="36">
        <v>0</v>
      </c>
      <c r="Y87" s="36">
        <v>0</v>
      </c>
      <c r="Z87" s="36">
        <v>0</v>
      </c>
      <c r="AA87" s="36">
        <v>0</v>
      </c>
    </row>
    <row r="88" spans="1:27" x14ac:dyDescent="0.3">
      <c r="C88" t="s">
        <v>124</v>
      </c>
      <c r="D88" s="36">
        <v>5184</v>
      </c>
      <c r="E88" s="36">
        <v>1728</v>
      </c>
      <c r="F88" s="36"/>
      <c r="G88" s="36">
        <v>3456</v>
      </c>
      <c r="H88" s="36">
        <v>2304</v>
      </c>
      <c r="I88" s="36">
        <v>10000</v>
      </c>
      <c r="J88" s="36">
        <v>3456</v>
      </c>
      <c r="K88" s="36"/>
      <c r="L88" s="36">
        <v>7760</v>
      </c>
      <c r="M88" s="36">
        <v>10000</v>
      </c>
      <c r="N88" s="36"/>
      <c r="O88" s="36">
        <v>3456</v>
      </c>
      <c r="P88" s="36">
        <v>10000</v>
      </c>
      <c r="Q88" s="36">
        <v>5000</v>
      </c>
      <c r="R88" s="36"/>
      <c r="S88" s="36"/>
      <c r="T88" s="36"/>
      <c r="U88" s="36"/>
      <c r="V88" s="36"/>
      <c r="W88" s="36"/>
      <c r="X88" s="36"/>
      <c r="Y88" s="36"/>
      <c r="Z88" s="36"/>
      <c r="AA88" s="36"/>
    </row>
    <row r="89" spans="1:27" x14ac:dyDescent="0.3">
      <c r="C89" t="s">
        <v>137</v>
      </c>
      <c r="D89" s="36"/>
      <c r="E89" s="36"/>
      <c r="F89" s="36"/>
      <c r="G89" s="36"/>
      <c r="H89" s="36"/>
      <c r="I89" s="36"/>
      <c r="J89" s="36"/>
      <c r="K89" s="36"/>
      <c r="L89" s="36"/>
      <c r="M89" s="36"/>
      <c r="N89" s="36"/>
      <c r="O89" s="36"/>
      <c r="P89" s="36"/>
      <c r="Q89" s="36"/>
      <c r="R89" s="36"/>
      <c r="S89" s="36"/>
      <c r="T89" s="36"/>
      <c r="U89" s="36"/>
      <c r="V89" s="36"/>
      <c r="W89" s="36"/>
      <c r="X89" s="36"/>
      <c r="Y89" s="36"/>
      <c r="Z89" s="36"/>
      <c r="AA89" s="36"/>
    </row>
    <row r="90" spans="1:27" x14ac:dyDescent="0.3">
      <c r="C90" t="s">
        <v>138</v>
      </c>
      <c r="D90" s="36"/>
      <c r="E90" s="36"/>
      <c r="F90" s="36"/>
      <c r="G90" s="36"/>
      <c r="H90" s="36"/>
      <c r="I90" s="36"/>
      <c r="J90" s="36"/>
      <c r="K90" s="36"/>
      <c r="L90" s="36"/>
      <c r="M90" s="36"/>
      <c r="N90" s="36"/>
      <c r="O90" s="36"/>
      <c r="P90" s="36"/>
      <c r="Q90" s="36"/>
      <c r="R90" s="36"/>
      <c r="S90" s="36"/>
      <c r="T90" s="36"/>
      <c r="U90" s="36"/>
      <c r="V90" s="36"/>
      <c r="W90" s="36"/>
      <c r="X90" s="36"/>
      <c r="Y90" s="36"/>
      <c r="Z90" s="36"/>
      <c r="AA90" s="36"/>
    </row>
    <row r="91" spans="1:27" x14ac:dyDescent="0.3">
      <c r="C91" t="s">
        <v>139</v>
      </c>
      <c r="D91" s="36">
        <v>5184</v>
      </c>
      <c r="E91" s="36">
        <v>1728</v>
      </c>
      <c r="F91" s="36"/>
      <c r="G91" s="36">
        <v>3456</v>
      </c>
      <c r="H91" s="36">
        <v>2304</v>
      </c>
      <c r="I91" s="36">
        <v>10000</v>
      </c>
      <c r="J91" s="36">
        <v>3456</v>
      </c>
      <c r="K91" s="36"/>
      <c r="L91" s="36">
        <v>7760</v>
      </c>
      <c r="M91" s="36">
        <v>10000</v>
      </c>
      <c r="N91" s="36"/>
      <c r="O91" s="36">
        <v>3456</v>
      </c>
      <c r="P91" s="36">
        <v>10000</v>
      </c>
      <c r="Q91" s="36">
        <v>5000</v>
      </c>
      <c r="R91" s="36"/>
      <c r="S91" s="36"/>
      <c r="T91" s="36"/>
      <c r="U91" s="36"/>
      <c r="V91" s="36"/>
      <c r="W91" s="36"/>
      <c r="X91" s="36"/>
      <c r="Y91" s="36"/>
      <c r="Z91" s="36"/>
      <c r="AA91" s="36"/>
    </row>
    <row r="92" spans="1:27" x14ac:dyDescent="0.3">
      <c r="C92" t="s">
        <v>140</v>
      </c>
      <c r="D92" s="36">
        <v>8661</v>
      </c>
      <c r="E92" s="36">
        <v>7938</v>
      </c>
      <c r="F92" s="36">
        <v>3960</v>
      </c>
      <c r="G92" s="36">
        <v>4068</v>
      </c>
      <c r="H92" s="36">
        <v>2755</v>
      </c>
      <c r="I92" s="36">
        <v>9498</v>
      </c>
      <c r="J92" s="36">
        <v>9029</v>
      </c>
      <c r="K92" s="36">
        <v>5716</v>
      </c>
      <c r="L92" s="36">
        <v>9906</v>
      </c>
      <c r="M92" s="36">
        <v>16591</v>
      </c>
      <c r="N92" s="36">
        <v>13960</v>
      </c>
      <c r="O92" s="36">
        <v>14551</v>
      </c>
      <c r="P92" s="36">
        <v>21880</v>
      </c>
      <c r="Q92" s="36">
        <v>24052</v>
      </c>
      <c r="R92" s="36">
        <v>21209</v>
      </c>
      <c r="S92" s="36">
        <v>19166</v>
      </c>
      <c r="T92" s="36">
        <v>17139</v>
      </c>
      <c r="U92" s="36">
        <v>15214</v>
      </c>
      <c r="V92" s="36">
        <v>13329</v>
      </c>
      <c r="W92" s="36">
        <v>11426</v>
      </c>
      <c r="X92" s="36">
        <v>9547</v>
      </c>
      <c r="Y92" s="36">
        <v>7771</v>
      </c>
      <c r="Z92" s="36">
        <v>6030</v>
      </c>
      <c r="AA92" s="36">
        <v>4292</v>
      </c>
    </row>
    <row r="93" spans="1:27" x14ac:dyDescent="0.3">
      <c r="C93" t="s">
        <v>141</v>
      </c>
      <c r="D93" s="36">
        <v>0</v>
      </c>
      <c r="E93" s="36">
        <v>0</v>
      </c>
      <c r="F93" s="36">
        <v>0</v>
      </c>
      <c r="G93" s="36">
        <v>0</v>
      </c>
      <c r="H93" s="36">
        <v>0</v>
      </c>
      <c r="I93" s="36">
        <v>0</v>
      </c>
      <c r="J93" s="36">
        <v>0</v>
      </c>
      <c r="K93" s="36">
        <v>0</v>
      </c>
      <c r="L93" s="36">
        <v>0</v>
      </c>
      <c r="M93" s="36">
        <v>0</v>
      </c>
      <c r="N93" s="36">
        <v>0</v>
      </c>
      <c r="O93" s="36">
        <v>0</v>
      </c>
      <c r="P93" s="36">
        <v>0</v>
      </c>
      <c r="Q93" s="36">
        <v>0</v>
      </c>
      <c r="R93" s="36">
        <v>0</v>
      </c>
      <c r="S93" s="36">
        <v>0</v>
      </c>
      <c r="T93" s="36">
        <v>0</v>
      </c>
      <c r="U93" s="36">
        <v>0</v>
      </c>
      <c r="V93" s="36">
        <v>0</v>
      </c>
      <c r="W93" s="36">
        <v>0</v>
      </c>
      <c r="X93" s="36">
        <v>0</v>
      </c>
      <c r="Y93" s="36">
        <v>0</v>
      </c>
      <c r="Z93" s="36">
        <v>0</v>
      </c>
      <c r="AA93" s="36">
        <v>0</v>
      </c>
    </row>
    <row r="94" spans="1:27" x14ac:dyDescent="0.3">
      <c r="A94" t="s">
        <v>246</v>
      </c>
      <c r="B94" t="s">
        <v>195</v>
      </c>
      <c r="C94" t="s">
        <v>129</v>
      </c>
      <c r="D94" s="36">
        <v>13357</v>
      </c>
      <c r="E94" s="36"/>
      <c r="F94" s="36"/>
      <c r="G94" s="36"/>
      <c r="H94" s="36"/>
      <c r="I94" s="36"/>
      <c r="J94" s="36"/>
      <c r="K94" s="36"/>
      <c r="L94" s="36"/>
      <c r="M94" s="36"/>
      <c r="N94" s="36"/>
      <c r="O94" s="36"/>
      <c r="P94" s="36"/>
      <c r="Q94" s="36"/>
      <c r="R94" s="36"/>
      <c r="S94" s="36"/>
      <c r="T94" s="36"/>
      <c r="U94" s="36"/>
      <c r="V94" s="36"/>
      <c r="W94" s="36"/>
      <c r="X94" s="36"/>
      <c r="Y94" s="36"/>
      <c r="Z94" s="36"/>
      <c r="AA94" s="36"/>
    </row>
    <row r="95" spans="1:27" x14ac:dyDescent="0.3">
      <c r="C95" t="s">
        <v>131</v>
      </c>
      <c r="D95" s="36">
        <v>7210</v>
      </c>
      <c r="E95" s="36">
        <v>7498</v>
      </c>
      <c r="F95" s="36">
        <v>5885</v>
      </c>
      <c r="G95" s="36">
        <v>4676</v>
      </c>
      <c r="H95" s="36">
        <v>5338</v>
      </c>
      <c r="I95" s="36">
        <v>4884</v>
      </c>
      <c r="J95" s="36">
        <v>5021</v>
      </c>
      <c r="K95" s="36">
        <v>5353</v>
      </c>
      <c r="L95" s="36">
        <v>4550</v>
      </c>
      <c r="M95" s="36">
        <v>4268</v>
      </c>
      <c r="N95" s="36">
        <v>4239</v>
      </c>
      <c r="O95" s="36">
        <v>4362</v>
      </c>
      <c r="P95" s="36">
        <v>3929</v>
      </c>
      <c r="Q95" s="36">
        <v>3007</v>
      </c>
      <c r="R95" s="36">
        <v>3264</v>
      </c>
      <c r="S95" s="36">
        <v>3009</v>
      </c>
      <c r="T95" s="36">
        <v>3002</v>
      </c>
      <c r="U95" s="36">
        <v>3526</v>
      </c>
      <c r="V95" s="36">
        <v>3396</v>
      </c>
      <c r="W95" s="36">
        <v>3388</v>
      </c>
      <c r="X95" s="36">
        <v>3425</v>
      </c>
      <c r="Y95" s="36">
        <v>2755</v>
      </c>
      <c r="Z95" s="36">
        <v>2519</v>
      </c>
      <c r="AA95" s="36">
        <v>2505</v>
      </c>
    </row>
    <row r="96" spans="1:27" x14ac:dyDescent="0.3">
      <c r="C96" t="s">
        <v>132</v>
      </c>
      <c r="D96" s="36">
        <v>0</v>
      </c>
      <c r="E96" s="36"/>
      <c r="F96" s="36"/>
      <c r="G96" s="36"/>
      <c r="H96" s="36"/>
      <c r="I96" s="36"/>
      <c r="J96" s="36"/>
      <c r="K96" s="36"/>
      <c r="L96" s="36"/>
      <c r="M96" s="36"/>
      <c r="N96" s="36"/>
      <c r="O96" s="36"/>
      <c r="P96" s="36"/>
      <c r="Q96" s="36"/>
      <c r="R96" s="36"/>
      <c r="S96" s="36"/>
      <c r="T96" s="36"/>
      <c r="U96" s="36"/>
      <c r="V96" s="36"/>
      <c r="W96" s="36"/>
      <c r="X96" s="36"/>
      <c r="Y96" s="36"/>
      <c r="Z96" s="36"/>
      <c r="AA96" s="36"/>
    </row>
    <row r="97" spans="2:27" x14ac:dyDescent="0.3">
      <c r="C97" t="s">
        <v>133</v>
      </c>
      <c r="D97" s="36">
        <v>0</v>
      </c>
      <c r="E97" s="36"/>
      <c r="F97" s="36"/>
      <c r="G97" s="36"/>
      <c r="H97" s="36"/>
      <c r="I97" s="36"/>
      <c r="J97" s="36"/>
      <c r="K97" s="36"/>
      <c r="L97" s="36"/>
      <c r="M97" s="36"/>
      <c r="N97" s="36"/>
      <c r="O97" s="36"/>
      <c r="P97" s="36"/>
      <c r="Q97" s="36"/>
      <c r="R97" s="36"/>
      <c r="S97" s="36"/>
      <c r="T97" s="36"/>
      <c r="U97" s="36"/>
      <c r="V97" s="36"/>
      <c r="W97" s="36"/>
      <c r="X97" s="36"/>
      <c r="Y97" s="36"/>
      <c r="Z97" s="36"/>
      <c r="AA97" s="36"/>
    </row>
    <row r="98" spans="2:27" x14ac:dyDescent="0.3">
      <c r="C98" t="s">
        <v>134</v>
      </c>
      <c r="D98" s="36">
        <v>306</v>
      </c>
      <c r="E98" s="36"/>
      <c r="F98" s="36"/>
      <c r="G98" s="36"/>
      <c r="H98" s="36"/>
      <c r="I98" s="36"/>
      <c r="J98" s="36"/>
      <c r="K98" s="36"/>
      <c r="L98" s="36"/>
      <c r="M98" s="36"/>
      <c r="N98" s="36"/>
      <c r="O98" s="36"/>
      <c r="P98" s="36"/>
      <c r="Q98" s="36"/>
      <c r="R98" s="36"/>
      <c r="S98" s="36"/>
      <c r="T98" s="36"/>
      <c r="U98" s="36"/>
      <c r="V98" s="36"/>
      <c r="W98" s="36"/>
      <c r="X98" s="36"/>
      <c r="Y98" s="36"/>
      <c r="Z98" s="36"/>
      <c r="AA98" s="36"/>
    </row>
    <row r="99" spans="2:27" x14ac:dyDescent="0.3">
      <c r="C99" t="s">
        <v>135</v>
      </c>
      <c r="D99" s="36"/>
      <c r="E99" s="36"/>
      <c r="F99" s="36"/>
      <c r="G99" s="36"/>
      <c r="H99" s="36"/>
      <c r="I99" s="36"/>
      <c r="J99" s="36"/>
      <c r="K99" s="36"/>
      <c r="L99" s="36"/>
      <c r="M99" s="36"/>
      <c r="N99" s="36"/>
      <c r="O99" s="36"/>
      <c r="P99" s="36"/>
      <c r="Q99" s="36"/>
      <c r="R99" s="36"/>
      <c r="S99" s="36"/>
      <c r="T99" s="36"/>
      <c r="U99" s="36"/>
      <c r="V99" s="36"/>
      <c r="W99" s="36"/>
      <c r="X99" s="36"/>
      <c r="Y99" s="36"/>
      <c r="Z99" s="36"/>
      <c r="AA99" s="36"/>
    </row>
    <row r="100" spans="2:27" x14ac:dyDescent="0.3">
      <c r="C100" t="s">
        <v>136</v>
      </c>
      <c r="D100" s="36">
        <v>0</v>
      </c>
      <c r="E100" s="36">
        <v>0</v>
      </c>
      <c r="F100" s="36">
        <v>0</v>
      </c>
      <c r="G100" s="36">
        <v>0</v>
      </c>
      <c r="H100" s="36">
        <v>0</v>
      </c>
      <c r="I100" s="36">
        <v>0</v>
      </c>
      <c r="J100" s="36">
        <v>0</v>
      </c>
      <c r="K100" s="36">
        <v>0</v>
      </c>
      <c r="L100" s="36">
        <v>0</v>
      </c>
      <c r="M100" s="36">
        <v>0</v>
      </c>
      <c r="N100" s="36">
        <v>0</v>
      </c>
      <c r="O100" s="36">
        <v>0</v>
      </c>
      <c r="P100" s="36">
        <v>0</v>
      </c>
      <c r="Q100" s="36">
        <v>0</v>
      </c>
      <c r="R100" s="36">
        <v>0</v>
      </c>
      <c r="S100" s="36">
        <v>0</v>
      </c>
      <c r="T100" s="36">
        <v>0</v>
      </c>
      <c r="U100" s="36">
        <v>0</v>
      </c>
      <c r="V100" s="36">
        <v>0</v>
      </c>
      <c r="W100" s="36">
        <v>0</v>
      </c>
      <c r="X100" s="36">
        <v>0</v>
      </c>
      <c r="Y100" s="36">
        <v>0</v>
      </c>
      <c r="Z100" s="36">
        <v>0</v>
      </c>
      <c r="AA100" s="36">
        <v>0</v>
      </c>
    </row>
    <row r="101" spans="2:27" x14ac:dyDescent="0.3">
      <c r="C101" t="s">
        <v>124</v>
      </c>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row>
    <row r="102" spans="2:27" x14ac:dyDescent="0.3">
      <c r="C102" t="s">
        <v>137</v>
      </c>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row>
    <row r="103" spans="2:27" x14ac:dyDescent="0.3">
      <c r="C103" t="s">
        <v>138</v>
      </c>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row>
    <row r="104" spans="2:27" x14ac:dyDescent="0.3">
      <c r="C104" t="s">
        <v>139</v>
      </c>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row>
    <row r="105" spans="2:27" x14ac:dyDescent="0.3">
      <c r="C105" t="s">
        <v>140</v>
      </c>
      <c r="D105" s="36">
        <v>-20261</v>
      </c>
      <c r="E105" s="36">
        <v>-27759</v>
      </c>
      <c r="F105" s="36">
        <v>-33644</v>
      </c>
      <c r="G105" s="36">
        <v>-38320</v>
      </c>
      <c r="H105" s="36">
        <v>-43658</v>
      </c>
      <c r="I105" s="36">
        <v>-48542</v>
      </c>
      <c r="J105" s="36">
        <v>-53563</v>
      </c>
      <c r="K105" s="36">
        <v>-58916</v>
      </c>
      <c r="L105" s="36">
        <v>-63466</v>
      </c>
      <c r="M105" s="36">
        <v>-67734</v>
      </c>
      <c r="N105" s="36">
        <v>-71973</v>
      </c>
      <c r="O105" s="36">
        <v>-76335</v>
      </c>
      <c r="P105" s="36">
        <v>-80264</v>
      </c>
      <c r="Q105" s="36">
        <v>-83271</v>
      </c>
      <c r="R105" s="36">
        <v>-86535</v>
      </c>
      <c r="S105" s="36">
        <v>-89544</v>
      </c>
      <c r="T105" s="36">
        <v>-92546</v>
      </c>
      <c r="U105" s="36">
        <v>-96072</v>
      </c>
      <c r="V105" s="36">
        <v>-99468</v>
      </c>
      <c r="W105" s="36">
        <v>-102856</v>
      </c>
      <c r="X105" s="36">
        <v>-106281</v>
      </c>
      <c r="Y105" s="36">
        <v>-109036</v>
      </c>
      <c r="Z105" s="36">
        <v>-111555</v>
      </c>
      <c r="AA105" s="36">
        <v>-114060</v>
      </c>
    </row>
    <row r="106" spans="2:27" x14ac:dyDescent="0.3">
      <c r="C106" t="s">
        <v>141</v>
      </c>
      <c r="D106" s="36">
        <v>0</v>
      </c>
      <c r="E106" s="36">
        <v>0</v>
      </c>
      <c r="F106" s="36">
        <v>0</v>
      </c>
      <c r="G106" s="36">
        <v>0</v>
      </c>
      <c r="H106" s="36">
        <v>0</v>
      </c>
      <c r="I106" s="36">
        <v>0</v>
      </c>
      <c r="J106" s="36">
        <v>0</v>
      </c>
      <c r="K106" s="36">
        <v>0</v>
      </c>
      <c r="L106" s="36">
        <v>0</v>
      </c>
      <c r="M106" s="36">
        <v>0</v>
      </c>
      <c r="N106" s="36">
        <v>0</v>
      </c>
      <c r="O106" s="36">
        <v>0</v>
      </c>
      <c r="P106" s="36">
        <v>0</v>
      </c>
      <c r="Q106" s="36">
        <v>0</v>
      </c>
      <c r="R106" s="36">
        <v>0</v>
      </c>
      <c r="S106" s="36">
        <v>0</v>
      </c>
      <c r="T106" s="36">
        <v>0</v>
      </c>
      <c r="U106" s="36">
        <v>0</v>
      </c>
      <c r="V106" s="36">
        <v>0</v>
      </c>
      <c r="W106" s="36">
        <v>0</v>
      </c>
      <c r="X106" s="36">
        <v>0</v>
      </c>
      <c r="Y106" s="36">
        <v>0</v>
      </c>
      <c r="Z106" s="36">
        <v>0</v>
      </c>
      <c r="AA106" s="36">
        <v>0</v>
      </c>
    </row>
    <row r="107" spans="2:27" x14ac:dyDescent="0.3">
      <c r="B107" t="s">
        <v>177</v>
      </c>
      <c r="C107" t="s">
        <v>129</v>
      </c>
      <c r="D107" s="36">
        <v>45821</v>
      </c>
      <c r="E107" s="36"/>
      <c r="F107" s="36"/>
      <c r="G107" s="36"/>
      <c r="H107" s="36"/>
      <c r="I107" s="36"/>
      <c r="J107" s="36"/>
      <c r="K107" s="36"/>
      <c r="L107" s="36"/>
      <c r="M107" s="36"/>
      <c r="N107" s="36"/>
      <c r="O107" s="36"/>
      <c r="P107" s="36"/>
      <c r="Q107" s="36"/>
      <c r="R107" s="36"/>
      <c r="S107" s="36"/>
      <c r="T107" s="36"/>
      <c r="U107" s="36"/>
      <c r="V107" s="36"/>
      <c r="W107" s="36"/>
      <c r="X107" s="36"/>
      <c r="Y107" s="36"/>
      <c r="Z107" s="36"/>
      <c r="AA107" s="36"/>
    </row>
    <row r="108" spans="2:27" x14ac:dyDescent="0.3">
      <c r="C108" t="s">
        <v>131</v>
      </c>
      <c r="D108" s="36">
        <v>12727</v>
      </c>
      <c r="E108" s="36">
        <v>13156</v>
      </c>
      <c r="F108" s="36">
        <v>15269</v>
      </c>
      <c r="G108" s="36">
        <v>23220</v>
      </c>
      <c r="H108" s="36">
        <v>13298</v>
      </c>
      <c r="I108" s="36">
        <v>19923</v>
      </c>
      <c r="J108" s="36">
        <v>16758</v>
      </c>
      <c r="K108" s="36">
        <v>12644</v>
      </c>
      <c r="L108" s="36">
        <v>13015</v>
      </c>
      <c r="M108" s="36">
        <v>12551</v>
      </c>
      <c r="N108" s="36">
        <v>12851</v>
      </c>
      <c r="O108" s="36">
        <v>12288</v>
      </c>
      <c r="P108" s="36">
        <v>12102</v>
      </c>
      <c r="Q108" s="36">
        <v>9256</v>
      </c>
      <c r="R108" s="36">
        <v>9529</v>
      </c>
      <c r="S108" s="36">
        <v>9059</v>
      </c>
      <c r="T108" s="36">
        <v>9000</v>
      </c>
      <c r="U108" s="36">
        <v>6073</v>
      </c>
      <c r="V108" s="36">
        <v>5574</v>
      </c>
      <c r="W108" s="36">
        <v>5489</v>
      </c>
      <c r="X108" s="36">
        <v>5172</v>
      </c>
      <c r="Y108" s="36">
        <v>3006</v>
      </c>
      <c r="Z108" s="36">
        <v>1676</v>
      </c>
      <c r="AA108" s="36">
        <v>1676</v>
      </c>
    </row>
    <row r="109" spans="2:27" x14ac:dyDescent="0.3">
      <c r="C109" t="s">
        <v>132</v>
      </c>
      <c r="D109" s="36">
        <v>35584</v>
      </c>
      <c r="E109" s="36"/>
      <c r="F109" s="36"/>
      <c r="G109" s="36"/>
      <c r="H109" s="36"/>
      <c r="I109" s="36"/>
      <c r="J109" s="36"/>
      <c r="K109" s="36"/>
      <c r="L109" s="36"/>
      <c r="M109" s="36"/>
      <c r="N109" s="36"/>
      <c r="O109" s="36"/>
      <c r="P109" s="36"/>
      <c r="Q109" s="36"/>
      <c r="R109" s="36"/>
      <c r="S109" s="36"/>
      <c r="T109" s="36"/>
      <c r="U109" s="36"/>
      <c r="V109" s="36"/>
      <c r="W109" s="36"/>
      <c r="X109" s="36"/>
      <c r="Y109" s="36"/>
      <c r="Z109" s="36"/>
      <c r="AA109" s="36"/>
    </row>
    <row r="110" spans="2:27" x14ac:dyDescent="0.3">
      <c r="C110" t="s">
        <v>133</v>
      </c>
      <c r="D110" s="36">
        <v>0</v>
      </c>
      <c r="E110" s="36"/>
      <c r="F110" s="36"/>
      <c r="G110" s="36"/>
      <c r="H110" s="36"/>
      <c r="I110" s="36"/>
      <c r="J110" s="36"/>
      <c r="K110" s="36"/>
      <c r="L110" s="36"/>
      <c r="M110" s="36"/>
      <c r="N110" s="36"/>
      <c r="O110" s="36"/>
      <c r="P110" s="36"/>
      <c r="Q110" s="36"/>
      <c r="R110" s="36"/>
      <c r="S110" s="36"/>
      <c r="T110" s="36"/>
      <c r="U110" s="36"/>
      <c r="V110" s="36"/>
      <c r="W110" s="36"/>
      <c r="X110" s="36"/>
      <c r="Y110" s="36"/>
      <c r="Z110" s="36"/>
      <c r="AA110" s="36"/>
    </row>
    <row r="111" spans="2:27" x14ac:dyDescent="0.3">
      <c r="C111" t="s">
        <v>134</v>
      </c>
      <c r="D111" s="36">
        <v>2128</v>
      </c>
      <c r="E111" s="36"/>
      <c r="F111" s="36"/>
      <c r="G111" s="36"/>
      <c r="H111" s="36"/>
      <c r="I111" s="36"/>
      <c r="J111" s="36"/>
      <c r="K111" s="36"/>
      <c r="L111" s="36"/>
      <c r="M111" s="36"/>
      <c r="N111" s="36"/>
      <c r="O111" s="36"/>
      <c r="P111" s="36"/>
      <c r="Q111" s="36"/>
      <c r="R111" s="36"/>
      <c r="S111" s="36"/>
      <c r="T111" s="36"/>
      <c r="U111" s="36"/>
      <c r="V111" s="36"/>
      <c r="W111" s="36"/>
      <c r="X111" s="36"/>
      <c r="Y111" s="36"/>
      <c r="Z111" s="36"/>
      <c r="AA111" s="36"/>
    </row>
    <row r="112" spans="2:27" x14ac:dyDescent="0.3">
      <c r="C112" t="s">
        <v>135</v>
      </c>
      <c r="D112" s="36">
        <v>3840</v>
      </c>
      <c r="E112" s="36"/>
      <c r="F112" s="36"/>
      <c r="G112" s="36"/>
      <c r="H112" s="36"/>
      <c r="I112" s="36"/>
      <c r="J112" s="36"/>
      <c r="K112" s="36"/>
      <c r="L112" s="36"/>
      <c r="M112" s="36"/>
      <c r="N112" s="36"/>
      <c r="O112" s="36"/>
      <c r="P112" s="36"/>
      <c r="Q112" s="36"/>
      <c r="R112" s="36"/>
      <c r="S112" s="36"/>
      <c r="T112" s="36"/>
      <c r="U112" s="36"/>
      <c r="V112" s="36"/>
      <c r="W112" s="36"/>
      <c r="X112" s="36"/>
      <c r="Y112" s="36"/>
      <c r="Z112" s="36"/>
      <c r="AA112" s="36"/>
    </row>
    <row r="113" spans="1:27" x14ac:dyDescent="0.3">
      <c r="C113" t="s">
        <v>136</v>
      </c>
      <c r="D113" s="36">
        <v>0</v>
      </c>
      <c r="E113" s="36">
        <v>7680</v>
      </c>
      <c r="F113" s="36">
        <v>7680</v>
      </c>
      <c r="G113" s="36">
        <v>7680</v>
      </c>
      <c r="H113" s="36">
        <v>7680</v>
      </c>
      <c r="I113" s="36">
        <v>7680</v>
      </c>
      <c r="J113" s="36">
        <v>7680</v>
      </c>
      <c r="K113" s="36">
        <v>7680</v>
      </c>
      <c r="L113" s="36">
        <v>7680</v>
      </c>
      <c r="M113" s="36">
        <v>7680</v>
      </c>
      <c r="N113" s="36">
        <v>7680</v>
      </c>
      <c r="O113" s="36">
        <v>7680</v>
      </c>
      <c r="P113" s="36">
        <v>7680</v>
      </c>
      <c r="Q113" s="36">
        <v>3840</v>
      </c>
      <c r="R113" s="36">
        <v>3840</v>
      </c>
      <c r="S113" s="36">
        <v>0</v>
      </c>
      <c r="T113" s="36">
        <v>0</v>
      </c>
      <c r="U113" s="36">
        <v>0</v>
      </c>
      <c r="V113" s="36">
        <v>0</v>
      </c>
      <c r="W113" s="36">
        <v>0</v>
      </c>
      <c r="X113" s="36">
        <v>0</v>
      </c>
      <c r="Y113" s="36">
        <v>0</v>
      </c>
      <c r="Z113" s="36">
        <v>0</v>
      </c>
      <c r="AA113" s="36">
        <v>0</v>
      </c>
    </row>
    <row r="114" spans="1:27" x14ac:dyDescent="0.3">
      <c r="C114" t="s">
        <v>124</v>
      </c>
      <c r="D114" s="36"/>
      <c r="E114" s="36">
        <v>7680</v>
      </c>
      <c r="F114" s="36">
        <v>7680</v>
      </c>
      <c r="G114" s="36">
        <v>7680</v>
      </c>
      <c r="H114" s="36">
        <v>7680</v>
      </c>
      <c r="I114" s="36">
        <v>7680</v>
      </c>
      <c r="J114" s="36">
        <v>7680</v>
      </c>
      <c r="K114" s="36">
        <v>7680</v>
      </c>
      <c r="L114" s="36">
        <v>7680</v>
      </c>
      <c r="M114" s="36">
        <v>7680</v>
      </c>
      <c r="N114" s="36">
        <v>7680</v>
      </c>
      <c r="O114" s="36">
        <v>7680</v>
      </c>
      <c r="P114" s="36">
        <v>7680</v>
      </c>
      <c r="Q114" s="36">
        <v>3840</v>
      </c>
      <c r="R114" s="36">
        <v>3840</v>
      </c>
      <c r="S114" s="36"/>
      <c r="T114" s="36"/>
      <c r="U114" s="36"/>
      <c r="V114" s="36"/>
      <c r="W114" s="36"/>
      <c r="X114" s="36"/>
      <c r="Y114" s="36"/>
      <c r="Z114" s="36"/>
      <c r="AA114" s="36"/>
    </row>
    <row r="115" spans="1:27" x14ac:dyDescent="0.3">
      <c r="C115" t="s">
        <v>137</v>
      </c>
      <c r="D115" s="36"/>
      <c r="E115" s="36"/>
      <c r="F115" s="36"/>
      <c r="G115" s="36"/>
      <c r="H115" s="36"/>
      <c r="I115" s="36"/>
      <c r="J115" s="36"/>
      <c r="K115" s="36"/>
      <c r="L115" s="36"/>
      <c r="M115" s="36"/>
      <c r="N115" s="36"/>
      <c r="O115" s="36"/>
      <c r="P115" s="36"/>
      <c r="Q115" s="36"/>
      <c r="R115" s="36"/>
      <c r="S115" s="36"/>
      <c r="T115" s="36"/>
      <c r="U115" s="36"/>
      <c r="V115" s="36"/>
      <c r="W115" s="36"/>
      <c r="X115" s="36"/>
      <c r="Y115" s="36"/>
      <c r="Z115" s="36"/>
      <c r="AA115" s="36"/>
    </row>
    <row r="116" spans="1:27" x14ac:dyDescent="0.3">
      <c r="C116" t="s">
        <v>138</v>
      </c>
      <c r="D116" s="36"/>
      <c r="E116" s="36"/>
      <c r="F116" s="36"/>
      <c r="G116" s="36"/>
      <c r="H116" s="36"/>
      <c r="I116" s="36"/>
      <c r="J116" s="36"/>
      <c r="K116" s="36"/>
      <c r="L116" s="36"/>
      <c r="M116" s="36"/>
      <c r="N116" s="36"/>
      <c r="O116" s="36"/>
      <c r="P116" s="36"/>
      <c r="Q116" s="36"/>
      <c r="R116" s="36"/>
      <c r="S116" s="36"/>
      <c r="T116" s="36"/>
      <c r="U116" s="36"/>
      <c r="V116" s="36"/>
      <c r="W116" s="36"/>
      <c r="X116" s="36"/>
      <c r="Y116" s="36"/>
      <c r="Z116" s="36"/>
      <c r="AA116" s="36"/>
    </row>
    <row r="117" spans="1:27" x14ac:dyDescent="0.3">
      <c r="C117" t="s">
        <v>139</v>
      </c>
      <c r="D117" s="36"/>
      <c r="E117" s="36">
        <v>7680</v>
      </c>
      <c r="F117" s="36">
        <v>7680</v>
      </c>
      <c r="G117" s="36">
        <v>7680</v>
      </c>
      <c r="H117" s="36">
        <v>7680</v>
      </c>
      <c r="I117" s="36">
        <v>7680</v>
      </c>
      <c r="J117" s="36">
        <v>7680</v>
      </c>
      <c r="K117" s="36">
        <v>7680</v>
      </c>
      <c r="L117" s="36">
        <v>7680</v>
      </c>
      <c r="M117" s="36">
        <v>7680</v>
      </c>
      <c r="N117" s="36">
        <v>7680</v>
      </c>
      <c r="O117" s="36">
        <v>7680</v>
      </c>
      <c r="P117" s="36">
        <v>7680</v>
      </c>
      <c r="Q117" s="36">
        <v>3840</v>
      </c>
      <c r="R117" s="36">
        <v>3840</v>
      </c>
      <c r="S117" s="36"/>
      <c r="T117" s="36"/>
      <c r="U117" s="36"/>
      <c r="V117" s="36"/>
      <c r="W117" s="36"/>
      <c r="X117" s="36"/>
      <c r="Y117" s="36"/>
      <c r="Z117" s="36"/>
      <c r="AA117" s="36"/>
    </row>
    <row r="118" spans="1:27" x14ac:dyDescent="0.3">
      <c r="C118" t="s">
        <v>140</v>
      </c>
      <c r="D118" s="36">
        <v>-16996</v>
      </c>
      <c r="E118" s="36">
        <v>-22472</v>
      </c>
      <c r="F118" s="36">
        <v>-30061</v>
      </c>
      <c r="G118" s="36">
        <v>-45601</v>
      </c>
      <c r="H118" s="36">
        <v>-51219</v>
      </c>
      <c r="I118" s="36">
        <v>-63462</v>
      </c>
      <c r="J118" s="36">
        <v>-72540</v>
      </c>
      <c r="K118" s="36">
        <v>-77504</v>
      </c>
      <c r="L118" s="36">
        <v>-82839</v>
      </c>
      <c r="M118" s="36">
        <v>-87710</v>
      </c>
      <c r="N118" s="36">
        <v>-92881</v>
      </c>
      <c r="O118" s="36">
        <v>-97489</v>
      </c>
      <c r="P118" s="36">
        <v>-101911</v>
      </c>
      <c r="Q118" s="36">
        <v>-107327</v>
      </c>
      <c r="R118" s="36">
        <v>-113016</v>
      </c>
      <c r="S118" s="36">
        <v>-122075</v>
      </c>
      <c r="T118" s="36">
        <v>-131075</v>
      </c>
      <c r="U118" s="36">
        <v>-137148</v>
      </c>
      <c r="V118" s="36">
        <v>-142722</v>
      </c>
      <c r="W118" s="36">
        <v>-148211</v>
      </c>
      <c r="X118" s="36">
        <v>-153383</v>
      </c>
      <c r="Y118" s="36">
        <v>-156389</v>
      </c>
      <c r="Z118" s="36">
        <v>-158065</v>
      </c>
      <c r="AA118" s="36">
        <v>-159741</v>
      </c>
    </row>
    <row r="119" spans="1:27" x14ac:dyDescent="0.3">
      <c r="C119" t="s">
        <v>141</v>
      </c>
      <c r="D119" s="36">
        <v>0</v>
      </c>
      <c r="E119" s="36">
        <v>0</v>
      </c>
      <c r="F119" s="36">
        <v>0</v>
      </c>
      <c r="G119" s="36">
        <v>0</v>
      </c>
      <c r="H119" s="36">
        <v>0</v>
      </c>
      <c r="I119" s="36">
        <v>0</v>
      </c>
      <c r="J119" s="36">
        <v>0</v>
      </c>
      <c r="K119" s="36">
        <v>0</v>
      </c>
      <c r="L119" s="36">
        <v>0</v>
      </c>
      <c r="M119" s="36">
        <v>0</v>
      </c>
      <c r="N119" s="36">
        <v>0</v>
      </c>
      <c r="O119" s="36">
        <v>0</v>
      </c>
      <c r="P119" s="36">
        <v>0</v>
      </c>
      <c r="Q119" s="36">
        <v>0</v>
      </c>
      <c r="R119" s="36">
        <v>0</v>
      </c>
      <c r="S119" s="36">
        <v>0</v>
      </c>
      <c r="T119" s="36">
        <v>0</v>
      </c>
      <c r="U119" s="36">
        <v>0</v>
      </c>
      <c r="V119" s="36">
        <v>0</v>
      </c>
      <c r="W119" s="36">
        <v>0</v>
      </c>
      <c r="X119" s="36">
        <v>0</v>
      </c>
      <c r="Y119" s="36">
        <v>0</v>
      </c>
      <c r="Z119" s="36">
        <v>0</v>
      </c>
      <c r="AA119" s="36">
        <v>0</v>
      </c>
    </row>
    <row r="120" spans="1:27" x14ac:dyDescent="0.3">
      <c r="A120" t="s">
        <v>175</v>
      </c>
      <c r="B120" t="s">
        <v>177</v>
      </c>
      <c r="C120" t="s">
        <v>129</v>
      </c>
      <c r="D120" s="36">
        <v>600</v>
      </c>
      <c r="E120" s="36"/>
      <c r="F120" s="36"/>
      <c r="G120" s="36"/>
      <c r="H120" s="36"/>
      <c r="I120" s="36"/>
      <c r="J120" s="36"/>
      <c r="K120" s="36"/>
      <c r="L120" s="36"/>
      <c r="M120" s="36"/>
      <c r="N120" s="36"/>
      <c r="O120" s="36"/>
      <c r="P120" s="36"/>
      <c r="Q120" s="36"/>
      <c r="R120" s="36"/>
      <c r="S120" s="36"/>
      <c r="T120" s="36"/>
      <c r="U120" s="36"/>
      <c r="V120" s="36"/>
      <c r="W120" s="36"/>
      <c r="X120" s="36"/>
      <c r="Y120" s="36"/>
      <c r="Z120" s="36"/>
      <c r="AA120" s="36"/>
    </row>
    <row r="121" spans="1:27" x14ac:dyDescent="0.3">
      <c r="C121" t="s">
        <v>131</v>
      </c>
      <c r="D121" s="36">
        <v>1681</v>
      </c>
      <c r="E121" s="36">
        <v>1482</v>
      </c>
      <c r="F121" s="36">
        <v>1409</v>
      </c>
      <c r="G121" s="36">
        <v>1401</v>
      </c>
      <c r="H121" s="36">
        <v>741</v>
      </c>
      <c r="I121" s="36">
        <v>629</v>
      </c>
      <c r="J121" s="36">
        <v>645</v>
      </c>
      <c r="K121" s="36">
        <v>657</v>
      </c>
      <c r="L121" s="36">
        <v>574</v>
      </c>
      <c r="M121" s="36">
        <v>481</v>
      </c>
      <c r="N121" s="36">
        <v>479</v>
      </c>
      <c r="O121" s="36">
        <v>465</v>
      </c>
      <c r="P121" s="36">
        <v>463</v>
      </c>
      <c r="Q121" s="36">
        <v>398</v>
      </c>
      <c r="R121" s="36">
        <v>396</v>
      </c>
      <c r="S121" s="36">
        <v>385</v>
      </c>
      <c r="T121" s="36">
        <v>385</v>
      </c>
      <c r="U121" s="36">
        <v>733</v>
      </c>
      <c r="V121" s="36">
        <v>877</v>
      </c>
      <c r="W121" s="36">
        <v>843</v>
      </c>
      <c r="X121" s="36">
        <v>827</v>
      </c>
      <c r="Y121" s="36">
        <v>628</v>
      </c>
      <c r="Z121" s="36">
        <v>542</v>
      </c>
      <c r="AA121" s="36">
        <v>550</v>
      </c>
    </row>
    <row r="122" spans="1:27" x14ac:dyDescent="0.3">
      <c r="C122" t="s">
        <v>132</v>
      </c>
      <c r="D122" s="36">
        <v>0</v>
      </c>
      <c r="E122" s="36"/>
      <c r="F122" s="36"/>
      <c r="G122" s="36"/>
      <c r="H122" s="36"/>
      <c r="I122" s="36"/>
      <c r="J122" s="36"/>
      <c r="K122" s="36"/>
      <c r="L122" s="36"/>
      <c r="M122" s="36"/>
      <c r="N122" s="36"/>
      <c r="O122" s="36"/>
      <c r="P122" s="36"/>
      <c r="Q122" s="36"/>
      <c r="R122" s="36"/>
      <c r="S122" s="36"/>
      <c r="T122" s="36"/>
      <c r="U122" s="36"/>
      <c r="V122" s="36"/>
      <c r="W122" s="36"/>
      <c r="X122" s="36"/>
      <c r="Y122" s="36"/>
      <c r="Z122" s="36"/>
      <c r="AA122" s="36"/>
    </row>
    <row r="123" spans="1:27" x14ac:dyDescent="0.3">
      <c r="C123" t="s">
        <v>133</v>
      </c>
      <c r="D123" s="36">
        <v>0</v>
      </c>
      <c r="E123" s="36"/>
      <c r="F123" s="36"/>
      <c r="G123" s="36"/>
      <c r="H123" s="36"/>
      <c r="I123" s="36"/>
      <c r="J123" s="36"/>
      <c r="K123" s="36"/>
      <c r="L123" s="36"/>
      <c r="M123" s="36"/>
      <c r="N123" s="36"/>
      <c r="O123" s="36"/>
      <c r="P123" s="36"/>
      <c r="Q123" s="36"/>
      <c r="R123" s="36"/>
      <c r="S123" s="36"/>
      <c r="T123" s="36"/>
      <c r="U123" s="36"/>
      <c r="V123" s="36"/>
      <c r="W123" s="36"/>
      <c r="X123" s="36"/>
      <c r="Y123" s="36"/>
      <c r="Z123" s="36"/>
      <c r="AA123" s="36"/>
    </row>
    <row r="124" spans="1:27" x14ac:dyDescent="0.3">
      <c r="C124" t="s">
        <v>134</v>
      </c>
      <c r="D124" s="36">
        <v>0</v>
      </c>
      <c r="E124" s="36"/>
      <c r="F124" s="36"/>
      <c r="G124" s="36"/>
      <c r="H124" s="36"/>
      <c r="I124" s="36"/>
      <c r="J124" s="36"/>
      <c r="K124" s="36"/>
      <c r="L124" s="36"/>
      <c r="M124" s="36"/>
      <c r="N124" s="36"/>
      <c r="O124" s="36"/>
      <c r="P124" s="36"/>
      <c r="Q124" s="36"/>
      <c r="R124" s="36"/>
      <c r="S124" s="36"/>
      <c r="T124" s="36"/>
      <c r="U124" s="36"/>
      <c r="V124" s="36"/>
      <c r="W124" s="36"/>
      <c r="X124" s="36"/>
      <c r="Y124" s="36"/>
      <c r="Z124" s="36"/>
      <c r="AA124" s="36"/>
    </row>
    <row r="125" spans="1:27" x14ac:dyDescent="0.3">
      <c r="C125" t="s">
        <v>135</v>
      </c>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row>
    <row r="126" spans="1:27" x14ac:dyDescent="0.3">
      <c r="C126" t="s">
        <v>136</v>
      </c>
      <c r="D126" s="36">
        <v>0</v>
      </c>
      <c r="E126" s="36">
        <v>0</v>
      </c>
      <c r="F126" s="36">
        <v>0</v>
      </c>
      <c r="G126" s="36">
        <v>0</v>
      </c>
      <c r="H126" s="36">
        <v>0</v>
      </c>
      <c r="I126" s="36">
        <v>0</v>
      </c>
      <c r="J126" s="36">
        <v>0</v>
      </c>
      <c r="K126" s="36">
        <v>0</v>
      </c>
      <c r="L126" s="36">
        <v>0</v>
      </c>
      <c r="M126" s="36">
        <v>0</v>
      </c>
      <c r="N126" s="36">
        <v>0</v>
      </c>
      <c r="O126" s="36">
        <v>0</v>
      </c>
      <c r="P126" s="36">
        <v>0</v>
      </c>
      <c r="Q126" s="36">
        <v>0</v>
      </c>
      <c r="R126" s="36">
        <v>0</v>
      </c>
      <c r="S126" s="36">
        <v>0</v>
      </c>
      <c r="T126" s="36">
        <v>0</v>
      </c>
      <c r="U126" s="36">
        <v>0</v>
      </c>
      <c r="V126" s="36">
        <v>0</v>
      </c>
      <c r="W126" s="36">
        <v>0</v>
      </c>
      <c r="X126" s="36">
        <v>0</v>
      </c>
      <c r="Y126" s="36">
        <v>0</v>
      </c>
      <c r="Z126" s="36">
        <v>0</v>
      </c>
      <c r="AA126" s="36">
        <v>0</v>
      </c>
    </row>
    <row r="127" spans="1:27" x14ac:dyDescent="0.3">
      <c r="C127" t="s">
        <v>124</v>
      </c>
      <c r="D127" s="36"/>
      <c r="E127" s="36"/>
      <c r="F127" s="36"/>
      <c r="G127" s="36"/>
      <c r="H127" s="36"/>
      <c r="I127" s="36"/>
      <c r="J127" s="36"/>
      <c r="K127" s="36"/>
      <c r="L127" s="36"/>
      <c r="M127" s="36"/>
      <c r="N127" s="36"/>
      <c r="O127" s="36"/>
      <c r="P127" s="36"/>
      <c r="Q127" s="36"/>
      <c r="R127" s="36"/>
      <c r="S127" s="36"/>
      <c r="T127" s="36"/>
      <c r="U127" s="36"/>
      <c r="V127" s="36"/>
      <c r="W127" s="36"/>
      <c r="X127" s="36"/>
      <c r="Y127" s="36"/>
      <c r="Z127" s="36"/>
      <c r="AA127" s="36"/>
    </row>
    <row r="128" spans="1:27" x14ac:dyDescent="0.3">
      <c r="C128" t="s">
        <v>137</v>
      </c>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row>
    <row r="129" spans="1:27" x14ac:dyDescent="0.3">
      <c r="C129" t="s">
        <v>138</v>
      </c>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row>
    <row r="130" spans="1:27" x14ac:dyDescent="0.3">
      <c r="C130" t="s">
        <v>139</v>
      </c>
      <c r="D130" s="36"/>
      <c r="E130" s="36"/>
      <c r="F130" s="36"/>
      <c r="G130" s="36"/>
      <c r="H130" s="36"/>
      <c r="I130" s="36"/>
      <c r="J130" s="36"/>
      <c r="K130" s="36"/>
      <c r="L130" s="36"/>
      <c r="M130" s="36"/>
      <c r="N130" s="36"/>
      <c r="O130" s="36"/>
      <c r="P130" s="36"/>
      <c r="Q130" s="36"/>
      <c r="R130" s="36"/>
      <c r="S130" s="36"/>
      <c r="T130" s="36"/>
      <c r="U130" s="36"/>
      <c r="V130" s="36"/>
      <c r="W130" s="36"/>
      <c r="X130" s="36"/>
      <c r="Y130" s="36"/>
      <c r="Z130" s="36"/>
      <c r="AA130" s="36"/>
    </row>
    <row r="131" spans="1:27" x14ac:dyDescent="0.3">
      <c r="C131" t="s">
        <v>140</v>
      </c>
      <c r="D131" s="36">
        <v>-2281</v>
      </c>
      <c r="E131" s="36">
        <v>-3763</v>
      </c>
      <c r="F131" s="36">
        <v>-5172</v>
      </c>
      <c r="G131" s="36">
        <v>-6573</v>
      </c>
      <c r="H131" s="36">
        <v>-7314</v>
      </c>
      <c r="I131" s="36">
        <v>-7943</v>
      </c>
      <c r="J131" s="36">
        <v>-8588</v>
      </c>
      <c r="K131" s="36">
        <v>-9245</v>
      </c>
      <c r="L131" s="36">
        <v>-9819</v>
      </c>
      <c r="M131" s="36">
        <v>-10300</v>
      </c>
      <c r="N131" s="36">
        <v>-10779</v>
      </c>
      <c r="O131" s="36">
        <v>-11244</v>
      </c>
      <c r="P131" s="36">
        <v>-11707</v>
      </c>
      <c r="Q131" s="36">
        <v>-12105</v>
      </c>
      <c r="R131" s="36">
        <v>-12501</v>
      </c>
      <c r="S131" s="36">
        <v>-12886</v>
      </c>
      <c r="T131" s="36">
        <v>-13271</v>
      </c>
      <c r="U131" s="36">
        <v>-14004</v>
      </c>
      <c r="V131" s="36">
        <v>-14881</v>
      </c>
      <c r="W131" s="36">
        <v>-15724</v>
      </c>
      <c r="X131" s="36">
        <v>-16551</v>
      </c>
      <c r="Y131" s="36">
        <v>-17179</v>
      </c>
      <c r="Z131" s="36">
        <v>-17721</v>
      </c>
      <c r="AA131" s="36">
        <v>-18271</v>
      </c>
    </row>
    <row r="132" spans="1:27" x14ac:dyDescent="0.3">
      <c r="C132" t="s">
        <v>141</v>
      </c>
      <c r="D132" s="36">
        <v>0</v>
      </c>
      <c r="E132" s="36">
        <v>0</v>
      </c>
      <c r="F132" s="36">
        <v>0</v>
      </c>
      <c r="G132" s="36">
        <v>0</v>
      </c>
      <c r="H132" s="36">
        <v>0</v>
      </c>
      <c r="I132" s="36">
        <v>0</v>
      </c>
      <c r="J132" s="36">
        <v>0</v>
      </c>
      <c r="K132" s="36">
        <v>0</v>
      </c>
      <c r="L132" s="36">
        <v>0</v>
      </c>
      <c r="M132" s="36">
        <v>0</v>
      </c>
      <c r="N132" s="36">
        <v>0</v>
      </c>
      <c r="O132" s="36">
        <v>0</v>
      </c>
      <c r="P132" s="36">
        <v>0</v>
      </c>
      <c r="Q132" s="36">
        <v>0</v>
      </c>
      <c r="R132" s="36">
        <v>0</v>
      </c>
      <c r="S132" s="36">
        <v>0</v>
      </c>
      <c r="T132" s="36">
        <v>0</v>
      </c>
      <c r="U132" s="36">
        <v>0</v>
      </c>
      <c r="V132" s="36">
        <v>0</v>
      </c>
      <c r="W132" s="36">
        <v>0</v>
      </c>
      <c r="X132" s="36">
        <v>0</v>
      </c>
      <c r="Y132" s="36">
        <v>0</v>
      </c>
      <c r="Z132" s="36">
        <v>0</v>
      </c>
      <c r="AA132" s="36">
        <v>0</v>
      </c>
    </row>
    <row r="133" spans="1:27" x14ac:dyDescent="0.3">
      <c r="A133" t="s">
        <v>251</v>
      </c>
      <c r="B133" t="s">
        <v>177</v>
      </c>
      <c r="C133" t="s">
        <v>129</v>
      </c>
      <c r="D133" s="36">
        <v>4223</v>
      </c>
      <c r="E133" s="36"/>
      <c r="F133" s="36"/>
      <c r="G133" s="36"/>
      <c r="H133" s="36"/>
      <c r="I133" s="36"/>
      <c r="J133" s="36"/>
      <c r="K133" s="36"/>
      <c r="L133" s="36"/>
      <c r="M133" s="36"/>
      <c r="N133" s="36"/>
      <c r="O133" s="36"/>
      <c r="P133" s="36"/>
      <c r="Q133" s="36"/>
      <c r="R133" s="36"/>
      <c r="S133" s="36"/>
      <c r="T133" s="36"/>
      <c r="U133" s="36"/>
      <c r="V133" s="36"/>
      <c r="W133" s="36"/>
      <c r="X133" s="36"/>
      <c r="Y133" s="36"/>
      <c r="Z133" s="36"/>
      <c r="AA133" s="36"/>
    </row>
    <row r="134" spans="1:27" x14ac:dyDescent="0.3">
      <c r="C134" t="s">
        <v>131</v>
      </c>
      <c r="D134" s="36">
        <v>1215</v>
      </c>
      <c r="E134" s="36">
        <v>1184</v>
      </c>
      <c r="F134" s="36">
        <v>1136</v>
      </c>
      <c r="G134" s="36">
        <v>1022</v>
      </c>
      <c r="H134" s="36">
        <v>1276</v>
      </c>
      <c r="I134" s="36">
        <v>1338</v>
      </c>
      <c r="J134" s="36">
        <v>1337</v>
      </c>
      <c r="K134" s="36">
        <v>1374</v>
      </c>
      <c r="L134" s="36">
        <v>1254</v>
      </c>
      <c r="M134" s="36">
        <v>1144</v>
      </c>
      <c r="N134" s="36">
        <v>1140</v>
      </c>
      <c r="O134" s="36">
        <v>1128</v>
      </c>
      <c r="P134" s="36">
        <v>1085</v>
      </c>
      <c r="Q134" s="36">
        <v>1161</v>
      </c>
      <c r="R134" s="36">
        <v>1161</v>
      </c>
      <c r="S134" s="36">
        <v>1158</v>
      </c>
      <c r="T134" s="36">
        <v>1157</v>
      </c>
      <c r="U134" s="36">
        <v>1041</v>
      </c>
      <c r="V134" s="36">
        <v>1000</v>
      </c>
      <c r="W134" s="36">
        <v>1001</v>
      </c>
      <c r="X134" s="36">
        <v>998</v>
      </c>
      <c r="Y134" s="36">
        <v>985</v>
      </c>
      <c r="Z134" s="36">
        <v>985</v>
      </c>
      <c r="AA134" s="36">
        <v>983</v>
      </c>
    </row>
    <row r="135" spans="1:27" x14ac:dyDescent="0.3">
      <c r="C135" t="s">
        <v>132</v>
      </c>
      <c r="D135" s="36">
        <v>9103</v>
      </c>
      <c r="E135" s="36"/>
      <c r="F135" s="36"/>
      <c r="G135" s="36"/>
      <c r="H135" s="36"/>
      <c r="I135" s="36"/>
      <c r="J135" s="36"/>
      <c r="K135" s="36"/>
      <c r="L135" s="36"/>
      <c r="M135" s="36"/>
      <c r="N135" s="36"/>
      <c r="O135" s="36"/>
      <c r="P135" s="36"/>
      <c r="Q135" s="36"/>
      <c r="R135" s="36"/>
      <c r="S135" s="36"/>
      <c r="T135" s="36"/>
      <c r="U135" s="36"/>
      <c r="V135" s="36"/>
      <c r="W135" s="36"/>
      <c r="X135" s="36"/>
      <c r="Y135" s="36"/>
      <c r="Z135" s="36"/>
      <c r="AA135" s="36"/>
    </row>
    <row r="136" spans="1:27" x14ac:dyDescent="0.3">
      <c r="C136" t="s">
        <v>133</v>
      </c>
      <c r="D136" s="36">
        <v>0</v>
      </c>
      <c r="E136" s="36"/>
      <c r="F136" s="36"/>
      <c r="G136" s="36"/>
      <c r="H136" s="36"/>
      <c r="I136" s="36"/>
      <c r="J136" s="36"/>
      <c r="K136" s="36"/>
      <c r="L136" s="36"/>
      <c r="M136" s="36"/>
      <c r="N136" s="36"/>
      <c r="O136" s="36"/>
      <c r="P136" s="36"/>
      <c r="Q136" s="36"/>
      <c r="R136" s="36"/>
      <c r="S136" s="36"/>
      <c r="T136" s="36"/>
      <c r="U136" s="36"/>
      <c r="V136" s="36"/>
      <c r="W136" s="36"/>
      <c r="X136" s="36"/>
      <c r="Y136" s="36"/>
      <c r="Z136" s="36"/>
      <c r="AA136" s="36"/>
    </row>
    <row r="137" spans="1:27" x14ac:dyDescent="0.3">
      <c r="C137" t="s">
        <v>134</v>
      </c>
      <c r="D137" s="36">
        <v>416</v>
      </c>
      <c r="E137" s="36"/>
      <c r="F137" s="36"/>
      <c r="G137" s="36"/>
      <c r="H137" s="36"/>
      <c r="I137" s="36"/>
      <c r="J137" s="36"/>
      <c r="K137" s="36"/>
      <c r="L137" s="36"/>
      <c r="M137" s="36"/>
      <c r="N137" s="36"/>
      <c r="O137" s="36"/>
      <c r="P137" s="36"/>
      <c r="Q137" s="36"/>
      <c r="R137" s="36"/>
      <c r="S137" s="36"/>
      <c r="T137" s="36"/>
      <c r="U137" s="36"/>
      <c r="V137" s="36"/>
      <c r="W137" s="36"/>
      <c r="X137" s="36"/>
      <c r="Y137" s="36"/>
      <c r="Z137" s="36"/>
      <c r="AA137" s="36"/>
    </row>
    <row r="138" spans="1:27" x14ac:dyDescent="0.3">
      <c r="C138" t="s">
        <v>135</v>
      </c>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row>
    <row r="139" spans="1:27" x14ac:dyDescent="0.3">
      <c r="C139" t="s">
        <v>136</v>
      </c>
      <c r="D139" s="36">
        <v>0</v>
      </c>
      <c r="E139" s="36">
        <v>0</v>
      </c>
      <c r="F139" s="36">
        <v>4320</v>
      </c>
      <c r="G139" s="36">
        <v>14400</v>
      </c>
      <c r="H139" s="36">
        <v>14400</v>
      </c>
      <c r="I139" s="36">
        <v>4320</v>
      </c>
      <c r="J139" s="36">
        <v>21600</v>
      </c>
      <c r="K139" s="36">
        <v>4320</v>
      </c>
      <c r="L139" s="36">
        <v>21600</v>
      </c>
      <c r="M139" s="36">
        <v>5760</v>
      </c>
      <c r="N139" s="36">
        <v>10800</v>
      </c>
      <c r="O139" s="36">
        <v>7920</v>
      </c>
      <c r="P139" s="36">
        <v>7920</v>
      </c>
      <c r="Q139" s="36">
        <v>6480</v>
      </c>
      <c r="R139" s="36">
        <v>4320</v>
      </c>
      <c r="S139" s="36">
        <v>0</v>
      </c>
      <c r="T139" s="36">
        <v>0</v>
      </c>
      <c r="U139" s="36">
        <v>0</v>
      </c>
      <c r="V139" s="36">
        <v>0</v>
      </c>
      <c r="W139" s="36">
        <v>0</v>
      </c>
      <c r="X139" s="36">
        <v>0</v>
      </c>
      <c r="Y139" s="36">
        <v>0</v>
      </c>
      <c r="Z139" s="36">
        <v>0</v>
      </c>
      <c r="AA139" s="36">
        <v>0</v>
      </c>
    </row>
    <row r="140" spans="1:27" x14ac:dyDescent="0.3">
      <c r="C140" t="s">
        <v>124</v>
      </c>
      <c r="D140" s="36"/>
      <c r="E140" s="36"/>
      <c r="F140" s="36">
        <v>4320</v>
      </c>
      <c r="G140" s="36">
        <v>14400</v>
      </c>
      <c r="H140" s="36">
        <v>14400</v>
      </c>
      <c r="I140" s="36">
        <v>4320</v>
      </c>
      <c r="J140" s="36">
        <v>21600</v>
      </c>
      <c r="K140" s="36">
        <v>4320</v>
      </c>
      <c r="L140" s="36">
        <v>21600</v>
      </c>
      <c r="M140" s="36">
        <v>5760</v>
      </c>
      <c r="N140" s="36">
        <v>10800</v>
      </c>
      <c r="O140" s="36">
        <v>7920</v>
      </c>
      <c r="P140" s="36">
        <v>7920</v>
      </c>
      <c r="Q140" s="36">
        <v>6480</v>
      </c>
      <c r="R140" s="36">
        <v>4320</v>
      </c>
      <c r="S140" s="36"/>
      <c r="T140" s="36"/>
      <c r="U140" s="36"/>
      <c r="V140" s="36"/>
      <c r="W140" s="36"/>
      <c r="X140" s="36"/>
      <c r="Y140" s="36"/>
      <c r="Z140" s="36"/>
      <c r="AA140" s="36"/>
    </row>
    <row r="141" spans="1:27" x14ac:dyDescent="0.3">
      <c r="C141" t="s">
        <v>137</v>
      </c>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row>
    <row r="142" spans="1:27" x14ac:dyDescent="0.3">
      <c r="C142" t="s">
        <v>138</v>
      </c>
      <c r="D142" s="36"/>
      <c r="E142" s="36"/>
      <c r="F142" s="36"/>
      <c r="G142" s="36"/>
      <c r="H142" s="36"/>
      <c r="I142" s="36"/>
      <c r="J142" s="36"/>
      <c r="K142" s="36"/>
      <c r="L142" s="36"/>
      <c r="M142" s="36"/>
      <c r="N142" s="36"/>
      <c r="O142" s="36"/>
      <c r="P142" s="36"/>
      <c r="Q142" s="36"/>
      <c r="R142" s="36"/>
      <c r="S142" s="36"/>
      <c r="T142" s="36"/>
      <c r="U142" s="36"/>
      <c r="V142" s="36"/>
      <c r="W142" s="36"/>
      <c r="X142" s="36"/>
      <c r="Y142" s="36"/>
      <c r="Z142" s="36"/>
      <c r="AA142" s="36"/>
    </row>
    <row r="143" spans="1:27" x14ac:dyDescent="0.3">
      <c r="C143" t="s">
        <v>139</v>
      </c>
      <c r="D143" s="36"/>
      <c r="E143" s="36"/>
      <c r="F143" s="36">
        <v>4320</v>
      </c>
      <c r="G143" s="36">
        <v>14400</v>
      </c>
      <c r="H143" s="36">
        <v>14400</v>
      </c>
      <c r="I143" s="36">
        <v>4320</v>
      </c>
      <c r="J143" s="36">
        <v>21600</v>
      </c>
      <c r="K143" s="36">
        <v>4320</v>
      </c>
      <c r="L143" s="36">
        <v>21600</v>
      </c>
      <c r="M143" s="36">
        <v>5760</v>
      </c>
      <c r="N143" s="36">
        <v>10800</v>
      </c>
      <c r="O143" s="36">
        <v>7920</v>
      </c>
      <c r="P143" s="36">
        <v>7920</v>
      </c>
      <c r="Q143" s="36">
        <v>6480</v>
      </c>
      <c r="R143" s="36">
        <v>4320</v>
      </c>
      <c r="S143" s="36"/>
      <c r="T143" s="36"/>
      <c r="U143" s="36"/>
      <c r="V143" s="36"/>
      <c r="W143" s="36"/>
      <c r="X143" s="36"/>
      <c r="Y143" s="36"/>
      <c r="Z143" s="36"/>
      <c r="AA143" s="36"/>
    </row>
    <row r="144" spans="1:27" x14ac:dyDescent="0.3">
      <c r="C144" t="s">
        <v>140</v>
      </c>
      <c r="D144" s="36">
        <v>4081</v>
      </c>
      <c r="E144" s="36">
        <v>2897</v>
      </c>
      <c r="F144" s="36">
        <v>6081</v>
      </c>
      <c r="G144" s="36">
        <v>19459</v>
      </c>
      <c r="H144" s="36">
        <v>32583</v>
      </c>
      <c r="I144" s="36">
        <v>35565</v>
      </c>
      <c r="J144" s="36">
        <v>55828</v>
      </c>
      <c r="K144" s="36">
        <v>58774</v>
      </c>
      <c r="L144" s="36">
        <v>79120</v>
      </c>
      <c r="M144" s="36">
        <v>83736</v>
      </c>
      <c r="N144" s="36">
        <v>93396</v>
      </c>
      <c r="O144" s="36">
        <v>100188</v>
      </c>
      <c r="P144" s="36">
        <v>107023</v>
      </c>
      <c r="Q144" s="36">
        <v>112342</v>
      </c>
      <c r="R144" s="36">
        <v>115501</v>
      </c>
      <c r="S144" s="36">
        <v>114343</v>
      </c>
      <c r="T144" s="36">
        <v>113186</v>
      </c>
      <c r="U144" s="36">
        <v>112145</v>
      </c>
      <c r="V144" s="36">
        <v>111145</v>
      </c>
      <c r="W144" s="36">
        <v>110144</v>
      </c>
      <c r="X144" s="36">
        <v>109146</v>
      </c>
      <c r="Y144" s="36">
        <v>108161</v>
      </c>
      <c r="Z144" s="36">
        <v>107176</v>
      </c>
      <c r="AA144" s="36">
        <v>106193</v>
      </c>
    </row>
    <row r="145" spans="1:27" x14ac:dyDescent="0.3">
      <c r="C145" t="s">
        <v>141</v>
      </c>
      <c r="D145" s="36">
        <v>0</v>
      </c>
      <c r="E145" s="36">
        <v>0</v>
      </c>
      <c r="F145" s="36">
        <v>0</v>
      </c>
      <c r="G145" s="36">
        <v>0</v>
      </c>
      <c r="H145" s="36">
        <v>0</v>
      </c>
      <c r="I145" s="36">
        <v>0</v>
      </c>
      <c r="J145" s="36">
        <v>0</v>
      </c>
      <c r="K145" s="36">
        <v>0</v>
      </c>
      <c r="L145" s="36">
        <v>0</v>
      </c>
      <c r="M145" s="36">
        <v>0</v>
      </c>
      <c r="N145" s="36">
        <v>0</v>
      </c>
      <c r="O145" s="36">
        <v>0</v>
      </c>
      <c r="P145" s="36">
        <v>0</v>
      </c>
      <c r="Q145" s="36">
        <v>0</v>
      </c>
      <c r="R145" s="36">
        <v>0</v>
      </c>
      <c r="S145" s="36">
        <v>0</v>
      </c>
      <c r="T145" s="36">
        <v>0</v>
      </c>
      <c r="U145" s="36">
        <v>0</v>
      </c>
      <c r="V145" s="36">
        <v>0</v>
      </c>
      <c r="W145" s="36">
        <v>0</v>
      </c>
      <c r="X145" s="36">
        <v>0</v>
      </c>
      <c r="Y145" s="36">
        <v>0</v>
      </c>
      <c r="Z145" s="36">
        <v>0</v>
      </c>
      <c r="AA145" s="36">
        <v>0</v>
      </c>
    </row>
    <row r="146" spans="1:27" x14ac:dyDescent="0.3">
      <c r="A146" t="s">
        <v>272</v>
      </c>
      <c r="B146" t="s">
        <v>195</v>
      </c>
      <c r="C146" t="s">
        <v>129</v>
      </c>
      <c r="D146" s="36">
        <v>4076</v>
      </c>
      <c r="E146" s="36"/>
      <c r="F146" s="36"/>
      <c r="G146" s="36"/>
      <c r="H146" s="36"/>
      <c r="I146" s="36"/>
      <c r="J146" s="36"/>
      <c r="K146" s="36"/>
      <c r="L146" s="36"/>
      <c r="M146" s="36"/>
      <c r="N146" s="36"/>
      <c r="O146" s="36"/>
      <c r="P146" s="36"/>
      <c r="Q146" s="36"/>
      <c r="R146" s="36"/>
      <c r="S146" s="36"/>
      <c r="T146" s="36"/>
      <c r="U146" s="36"/>
      <c r="V146" s="36"/>
      <c r="W146" s="36"/>
      <c r="X146" s="36"/>
      <c r="Y146" s="36"/>
      <c r="Z146" s="36"/>
      <c r="AA146" s="36"/>
    </row>
    <row r="147" spans="1:27" x14ac:dyDescent="0.3">
      <c r="C147" t="s">
        <v>131</v>
      </c>
      <c r="D147" s="36">
        <v>1092</v>
      </c>
      <c r="E147" s="36">
        <v>874</v>
      </c>
      <c r="F147" s="36">
        <v>950</v>
      </c>
      <c r="G147" s="36">
        <v>833</v>
      </c>
      <c r="H147" s="36">
        <v>2751</v>
      </c>
      <c r="I147" s="36">
        <v>694</v>
      </c>
      <c r="J147" s="36">
        <v>694</v>
      </c>
      <c r="K147" s="36">
        <v>818</v>
      </c>
      <c r="L147" s="36">
        <v>749</v>
      </c>
      <c r="M147" s="36">
        <v>662</v>
      </c>
      <c r="N147" s="36">
        <v>671</v>
      </c>
      <c r="O147" s="36">
        <v>617</v>
      </c>
      <c r="P147" s="36">
        <v>676</v>
      </c>
      <c r="Q147" s="36">
        <v>744</v>
      </c>
      <c r="R147" s="36">
        <v>716</v>
      </c>
      <c r="S147" s="36">
        <v>716</v>
      </c>
      <c r="T147" s="36">
        <v>721</v>
      </c>
      <c r="U147" s="36">
        <v>489</v>
      </c>
      <c r="V147" s="36">
        <v>445</v>
      </c>
      <c r="W147" s="36">
        <v>394</v>
      </c>
      <c r="X147" s="36">
        <v>356</v>
      </c>
      <c r="Y147" s="36">
        <v>282</v>
      </c>
      <c r="Z147" s="36">
        <v>322</v>
      </c>
      <c r="AA147" s="36">
        <v>309</v>
      </c>
    </row>
    <row r="148" spans="1:27" x14ac:dyDescent="0.3">
      <c r="C148" t="s">
        <v>132</v>
      </c>
      <c r="D148" s="36">
        <v>6504</v>
      </c>
      <c r="E148" s="36"/>
      <c r="F148" s="36"/>
      <c r="G148" s="36"/>
      <c r="H148" s="36"/>
      <c r="I148" s="36"/>
      <c r="J148" s="36"/>
      <c r="K148" s="36"/>
      <c r="L148" s="36"/>
      <c r="M148" s="36"/>
      <c r="N148" s="36"/>
      <c r="O148" s="36"/>
      <c r="P148" s="36"/>
      <c r="Q148" s="36"/>
      <c r="R148" s="36"/>
      <c r="S148" s="36"/>
      <c r="T148" s="36"/>
      <c r="U148" s="36"/>
      <c r="V148" s="36"/>
      <c r="W148" s="36"/>
      <c r="X148" s="36"/>
      <c r="Y148" s="36"/>
      <c r="Z148" s="36"/>
      <c r="AA148" s="36"/>
    </row>
    <row r="149" spans="1:27" x14ac:dyDescent="0.3">
      <c r="C149" t="s">
        <v>133</v>
      </c>
      <c r="D149" s="36">
        <v>0</v>
      </c>
      <c r="E149" s="36"/>
      <c r="F149" s="36"/>
      <c r="G149" s="36"/>
      <c r="H149" s="36"/>
      <c r="I149" s="36"/>
      <c r="J149" s="36"/>
      <c r="K149" s="36"/>
      <c r="L149" s="36"/>
      <c r="M149" s="36"/>
      <c r="N149" s="36"/>
      <c r="O149" s="36"/>
      <c r="P149" s="36"/>
      <c r="Q149" s="36"/>
      <c r="R149" s="36"/>
      <c r="S149" s="36"/>
      <c r="T149" s="36"/>
      <c r="U149" s="36"/>
      <c r="V149" s="36"/>
      <c r="W149" s="36"/>
      <c r="X149" s="36"/>
      <c r="Y149" s="36"/>
      <c r="Z149" s="36"/>
      <c r="AA149" s="36"/>
    </row>
    <row r="150" spans="1:27" x14ac:dyDescent="0.3">
      <c r="C150" t="s">
        <v>134</v>
      </c>
      <c r="D150" s="36">
        <v>1981</v>
      </c>
      <c r="E150" s="36"/>
      <c r="F150" s="36"/>
      <c r="G150" s="36"/>
      <c r="H150" s="36"/>
      <c r="I150" s="36"/>
      <c r="J150" s="36"/>
      <c r="K150" s="36"/>
      <c r="L150" s="36"/>
      <c r="M150" s="36"/>
      <c r="N150" s="36"/>
      <c r="O150" s="36"/>
      <c r="P150" s="36"/>
      <c r="Q150" s="36"/>
      <c r="R150" s="36"/>
      <c r="S150" s="36"/>
      <c r="T150" s="36"/>
      <c r="U150" s="36"/>
      <c r="V150" s="36"/>
      <c r="W150" s="36"/>
      <c r="X150" s="36"/>
      <c r="Y150" s="36"/>
      <c r="Z150" s="36"/>
      <c r="AA150" s="36"/>
    </row>
    <row r="151" spans="1:27" x14ac:dyDescent="0.3">
      <c r="C151" t="s">
        <v>135</v>
      </c>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row>
    <row r="152" spans="1:27" x14ac:dyDescent="0.3">
      <c r="C152" t="s">
        <v>136</v>
      </c>
      <c r="D152" s="36">
        <v>0</v>
      </c>
      <c r="E152" s="36">
        <v>0</v>
      </c>
      <c r="F152" s="36">
        <v>0</v>
      </c>
      <c r="G152" s="36">
        <v>0</v>
      </c>
      <c r="H152" s="36">
        <v>0</v>
      </c>
      <c r="I152" s="36">
        <v>0</v>
      </c>
      <c r="J152" s="36">
        <v>0</v>
      </c>
      <c r="K152" s="36">
        <v>0</v>
      </c>
      <c r="L152" s="36">
        <v>0</v>
      </c>
      <c r="M152" s="36">
        <v>0</v>
      </c>
      <c r="N152" s="36">
        <v>0</v>
      </c>
      <c r="O152" s="36">
        <v>0</v>
      </c>
      <c r="P152" s="36">
        <v>0</v>
      </c>
      <c r="Q152" s="36">
        <v>0</v>
      </c>
      <c r="R152" s="36">
        <v>0</v>
      </c>
      <c r="S152" s="36">
        <v>0</v>
      </c>
      <c r="T152" s="36">
        <v>0</v>
      </c>
      <c r="U152" s="36">
        <v>0</v>
      </c>
      <c r="V152" s="36">
        <v>0</v>
      </c>
      <c r="W152" s="36">
        <v>0</v>
      </c>
      <c r="X152" s="36">
        <v>0</v>
      </c>
      <c r="Y152" s="36">
        <v>0</v>
      </c>
      <c r="Z152" s="36">
        <v>0</v>
      </c>
      <c r="AA152" s="36">
        <v>0</v>
      </c>
    </row>
    <row r="153" spans="1:27" x14ac:dyDescent="0.3">
      <c r="C153" t="s">
        <v>124</v>
      </c>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row>
    <row r="154" spans="1:27" x14ac:dyDescent="0.3">
      <c r="C154" t="s">
        <v>137</v>
      </c>
      <c r="D154" s="36"/>
      <c r="E154" s="36"/>
      <c r="F154" s="36"/>
      <c r="G154" s="36"/>
      <c r="H154" s="36"/>
      <c r="I154" s="36"/>
      <c r="J154" s="36"/>
      <c r="K154" s="36"/>
      <c r="L154" s="36"/>
      <c r="M154" s="36"/>
      <c r="N154" s="36"/>
      <c r="O154" s="36"/>
      <c r="P154" s="36"/>
      <c r="Q154" s="36"/>
      <c r="R154" s="36"/>
      <c r="S154" s="36"/>
      <c r="T154" s="36"/>
      <c r="U154" s="36"/>
      <c r="V154" s="36"/>
      <c r="W154" s="36"/>
      <c r="X154" s="36"/>
      <c r="Y154" s="36"/>
      <c r="Z154" s="36"/>
      <c r="AA154" s="36"/>
    </row>
    <row r="155" spans="1:27" x14ac:dyDescent="0.3">
      <c r="C155" t="s">
        <v>138</v>
      </c>
      <c r="D155" s="36"/>
      <c r="E155" s="36"/>
      <c r="F155" s="36"/>
      <c r="G155" s="36"/>
      <c r="H155" s="36"/>
      <c r="I155" s="36"/>
      <c r="J155" s="36"/>
      <c r="K155" s="36"/>
      <c r="L155" s="36"/>
      <c r="M155" s="36"/>
      <c r="N155" s="36"/>
      <c r="O155" s="36"/>
      <c r="P155" s="36"/>
      <c r="Q155" s="36"/>
      <c r="R155" s="36"/>
      <c r="S155" s="36"/>
      <c r="T155" s="36"/>
      <c r="U155" s="36"/>
      <c r="V155" s="36"/>
      <c r="W155" s="36"/>
      <c r="X155" s="36"/>
      <c r="Y155" s="36"/>
      <c r="Z155" s="36"/>
      <c r="AA155" s="36"/>
    </row>
    <row r="156" spans="1:27" x14ac:dyDescent="0.3">
      <c r="C156" t="s">
        <v>139</v>
      </c>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row>
    <row r="157" spans="1:27" x14ac:dyDescent="0.3">
      <c r="C157" t="s">
        <v>140</v>
      </c>
      <c r="D157" s="36">
        <v>3317</v>
      </c>
      <c r="E157" s="36">
        <v>2443</v>
      </c>
      <c r="F157" s="36">
        <v>1493</v>
      </c>
      <c r="G157" s="36">
        <v>660</v>
      </c>
      <c r="H157" s="36">
        <v>-2091</v>
      </c>
      <c r="I157" s="36">
        <v>-2785</v>
      </c>
      <c r="J157" s="36">
        <v>-3479</v>
      </c>
      <c r="K157" s="36">
        <v>-4297</v>
      </c>
      <c r="L157" s="36">
        <v>-5046</v>
      </c>
      <c r="M157" s="36">
        <v>-5708</v>
      </c>
      <c r="N157" s="36">
        <v>-6379</v>
      </c>
      <c r="O157" s="36">
        <v>-6996</v>
      </c>
      <c r="P157" s="36">
        <v>-7672</v>
      </c>
      <c r="Q157" s="36">
        <v>-8416</v>
      </c>
      <c r="R157" s="36">
        <v>-9132</v>
      </c>
      <c r="S157" s="36">
        <v>-9848</v>
      </c>
      <c r="T157" s="36">
        <v>-10569</v>
      </c>
      <c r="U157" s="36">
        <v>-11058</v>
      </c>
      <c r="V157" s="36">
        <v>-11503</v>
      </c>
      <c r="W157" s="36">
        <v>-11897</v>
      </c>
      <c r="X157" s="36">
        <v>-12253</v>
      </c>
      <c r="Y157" s="36">
        <v>-12535</v>
      </c>
      <c r="Z157" s="36">
        <v>-12857</v>
      </c>
      <c r="AA157" s="36">
        <v>-13166</v>
      </c>
    </row>
    <row r="158" spans="1:27" x14ac:dyDescent="0.3">
      <c r="C158" t="s">
        <v>141</v>
      </c>
      <c r="D158" s="36">
        <v>0</v>
      </c>
      <c r="E158" s="36">
        <v>0</v>
      </c>
      <c r="F158" s="36">
        <v>0</v>
      </c>
      <c r="G158" s="36">
        <v>0</v>
      </c>
      <c r="H158" s="36">
        <v>0</v>
      </c>
      <c r="I158" s="36">
        <v>0</v>
      </c>
      <c r="J158" s="36">
        <v>0</v>
      </c>
      <c r="K158" s="36">
        <v>0</v>
      </c>
      <c r="L158" s="36">
        <v>0</v>
      </c>
      <c r="M158" s="36">
        <v>0</v>
      </c>
      <c r="N158" s="36">
        <v>0</v>
      </c>
      <c r="O158" s="36">
        <v>0</v>
      </c>
      <c r="P158" s="36">
        <v>0</v>
      </c>
      <c r="Q158" s="36">
        <v>0</v>
      </c>
      <c r="R158" s="36">
        <v>0</v>
      </c>
      <c r="S158" s="36">
        <v>0</v>
      </c>
      <c r="T158" s="36">
        <v>0</v>
      </c>
      <c r="U158" s="36">
        <v>0</v>
      </c>
      <c r="V158" s="36">
        <v>0</v>
      </c>
      <c r="W158" s="36">
        <v>0</v>
      </c>
      <c r="X158" s="36">
        <v>0</v>
      </c>
      <c r="Y158" s="36">
        <v>0</v>
      </c>
      <c r="Z158" s="36">
        <v>0</v>
      </c>
      <c r="AA158" s="36">
        <v>0</v>
      </c>
    </row>
    <row r="159" spans="1:27" x14ac:dyDescent="0.3">
      <c r="B159" t="s">
        <v>177</v>
      </c>
      <c r="C159" t="s">
        <v>129</v>
      </c>
      <c r="D159" s="36">
        <v>41030</v>
      </c>
      <c r="E159" s="36"/>
      <c r="F159" s="36"/>
      <c r="G159" s="36"/>
      <c r="H159" s="36"/>
      <c r="I159" s="36"/>
      <c r="J159" s="36"/>
      <c r="K159" s="36"/>
      <c r="L159" s="36"/>
      <c r="M159" s="36"/>
      <c r="N159" s="36"/>
      <c r="O159" s="36"/>
      <c r="P159" s="36"/>
      <c r="Q159" s="36"/>
      <c r="R159" s="36"/>
      <c r="S159" s="36"/>
      <c r="T159" s="36"/>
      <c r="U159" s="36"/>
      <c r="V159" s="36"/>
      <c r="W159" s="36"/>
      <c r="X159" s="36"/>
      <c r="Y159" s="36"/>
      <c r="Z159" s="36"/>
      <c r="AA159" s="36"/>
    </row>
    <row r="160" spans="1:27" x14ac:dyDescent="0.3">
      <c r="C160" t="s">
        <v>131</v>
      </c>
      <c r="D160" s="36">
        <v>59367</v>
      </c>
      <c r="E160" s="36">
        <v>16619</v>
      </c>
      <c r="F160" s="36">
        <v>16256</v>
      </c>
      <c r="G160" s="36">
        <v>20955</v>
      </c>
      <c r="H160" s="36">
        <v>15522</v>
      </c>
      <c r="I160" s="36">
        <v>54096</v>
      </c>
      <c r="J160" s="36">
        <v>14525</v>
      </c>
      <c r="K160" s="36">
        <v>11974</v>
      </c>
      <c r="L160" s="36">
        <v>14967</v>
      </c>
      <c r="M160" s="36">
        <v>17503</v>
      </c>
      <c r="N160" s="36">
        <v>16689</v>
      </c>
      <c r="O160" s="36">
        <v>16631</v>
      </c>
      <c r="P160" s="36">
        <v>16236</v>
      </c>
      <c r="Q160" s="36">
        <v>11253</v>
      </c>
      <c r="R160" s="36">
        <v>10985</v>
      </c>
      <c r="S160" s="36">
        <v>11320</v>
      </c>
      <c r="T160" s="36">
        <v>11005</v>
      </c>
      <c r="U160" s="36">
        <v>4212</v>
      </c>
      <c r="V160" s="36">
        <v>1442</v>
      </c>
      <c r="W160" s="36">
        <v>1412</v>
      </c>
      <c r="X160" s="36">
        <v>1333</v>
      </c>
      <c r="Y160" s="36">
        <v>992</v>
      </c>
      <c r="Z160" s="36">
        <v>886</v>
      </c>
      <c r="AA160" s="36">
        <v>856</v>
      </c>
    </row>
    <row r="161" spans="1:27" x14ac:dyDescent="0.3">
      <c r="C161" t="s">
        <v>132</v>
      </c>
      <c r="D161" s="36">
        <v>23712</v>
      </c>
      <c r="E161" s="36"/>
      <c r="F161" s="36"/>
      <c r="G161" s="36"/>
      <c r="H161" s="36"/>
      <c r="I161" s="36"/>
      <c r="J161" s="36"/>
      <c r="K161" s="36"/>
      <c r="L161" s="36"/>
      <c r="M161" s="36"/>
      <c r="N161" s="36"/>
      <c r="O161" s="36"/>
      <c r="P161" s="36"/>
      <c r="Q161" s="36"/>
      <c r="R161" s="36"/>
      <c r="S161" s="36"/>
      <c r="T161" s="36"/>
      <c r="U161" s="36"/>
      <c r="V161" s="36"/>
      <c r="W161" s="36"/>
      <c r="X161" s="36"/>
      <c r="Y161" s="36"/>
      <c r="Z161" s="36"/>
      <c r="AA161" s="36"/>
    </row>
    <row r="162" spans="1:27" x14ac:dyDescent="0.3">
      <c r="C162" t="s">
        <v>133</v>
      </c>
      <c r="D162" s="36">
        <v>0</v>
      </c>
      <c r="E162" s="36"/>
      <c r="F162" s="36"/>
      <c r="G162" s="36"/>
      <c r="H162" s="36"/>
      <c r="I162" s="36"/>
      <c r="J162" s="36"/>
      <c r="K162" s="36"/>
      <c r="L162" s="36"/>
      <c r="M162" s="36"/>
      <c r="N162" s="36"/>
      <c r="O162" s="36"/>
      <c r="P162" s="36"/>
      <c r="Q162" s="36"/>
      <c r="R162" s="36"/>
      <c r="S162" s="36"/>
      <c r="T162" s="36"/>
      <c r="U162" s="36"/>
      <c r="V162" s="36"/>
      <c r="W162" s="36"/>
      <c r="X162" s="36"/>
      <c r="Y162" s="36"/>
      <c r="Z162" s="36"/>
      <c r="AA162" s="36"/>
    </row>
    <row r="163" spans="1:27" x14ac:dyDescent="0.3">
      <c r="C163" t="s">
        <v>134</v>
      </c>
      <c r="D163" s="36">
        <v>2139</v>
      </c>
      <c r="E163" s="36"/>
      <c r="F163" s="36"/>
      <c r="G163" s="36"/>
      <c r="H163" s="36"/>
      <c r="I163" s="36"/>
      <c r="J163" s="36"/>
      <c r="K163" s="36"/>
      <c r="L163" s="36"/>
      <c r="M163" s="36"/>
      <c r="N163" s="36"/>
      <c r="O163" s="36"/>
      <c r="P163" s="36"/>
      <c r="Q163" s="36"/>
      <c r="R163" s="36"/>
      <c r="S163" s="36"/>
      <c r="T163" s="36"/>
      <c r="U163" s="36"/>
      <c r="V163" s="36"/>
      <c r="W163" s="36"/>
      <c r="X163" s="36"/>
      <c r="Y163" s="36"/>
      <c r="Z163" s="36"/>
      <c r="AA163" s="36"/>
    </row>
    <row r="164" spans="1:27" x14ac:dyDescent="0.3">
      <c r="C164" t="s">
        <v>135</v>
      </c>
      <c r="D164" s="36"/>
      <c r="E164" s="36"/>
      <c r="F164" s="36"/>
      <c r="G164" s="36"/>
      <c r="H164" s="36"/>
      <c r="I164" s="36"/>
      <c r="J164" s="36"/>
      <c r="K164" s="36"/>
      <c r="L164" s="36"/>
      <c r="M164" s="36"/>
      <c r="N164" s="36"/>
      <c r="O164" s="36"/>
      <c r="P164" s="36"/>
      <c r="Q164" s="36"/>
      <c r="R164" s="36"/>
      <c r="S164" s="36"/>
      <c r="T164" s="36"/>
      <c r="U164" s="36"/>
      <c r="V164" s="36"/>
      <c r="W164" s="36"/>
      <c r="X164" s="36"/>
      <c r="Y164" s="36"/>
      <c r="Z164" s="36"/>
      <c r="AA164" s="36"/>
    </row>
    <row r="165" spans="1:27" x14ac:dyDescent="0.3">
      <c r="C165" t="s">
        <v>136</v>
      </c>
      <c r="D165" s="36">
        <v>20160</v>
      </c>
      <c r="E165" s="36">
        <v>0</v>
      </c>
      <c r="F165" s="36">
        <v>20160</v>
      </c>
      <c r="G165" s="36">
        <v>20160</v>
      </c>
      <c r="H165" s="36">
        <v>20160</v>
      </c>
      <c r="I165" s="36">
        <v>0</v>
      </c>
      <c r="J165" s="36">
        <v>20160</v>
      </c>
      <c r="K165" s="36">
        <v>20160</v>
      </c>
      <c r="L165" s="36">
        <v>20160</v>
      </c>
      <c r="M165" s="36">
        <v>0</v>
      </c>
      <c r="N165" s="36">
        <v>20160</v>
      </c>
      <c r="O165" s="36">
        <v>20160</v>
      </c>
      <c r="P165" s="36">
        <v>20160</v>
      </c>
      <c r="Q165" s="36">
        <v>20160</v>
      </c>
      <c r="R165" s="36">
        <v>0</v>
      </c>
      <c r="S165" s="36">
        <v>0</v>
      </c>
      <c r="T165" s="36">
        <v>0</v>
      </c>
      <c r="U165" s="36">
        <v>0</v>
      </c>
      <c r="V165" s="36">
        <v>0</v>
      </c>
      <c r="W165" s="36">
        <v>0</v>
      </c>
      <c r="X165" s="36">
        <v>0</v>
      </c>
      <c r="Y165" s="36">
        <v>0</v>
      </c>
      <c r="Z165" s="36">
        <v>0</v>
      </c>
      <c r="AA165" s="36">
        <v>0</v>
      </c>
    </row>
    <row r="166" spans="1:27" x14ac:dyDescent="0.3">
      <c r="C166" t="s">
        <v>124</v>
      </c>
      <c r="D166" s="36">
        <v>20160</v>
      </c>
      <c r="E166" s="36"/>
      <c r="F166" s="36">
        <v>20160</v>
      </c>
      <c r="G166" s="36">
        <v>20160</v>
      </c>
      <c r="H166" s="36">
        <v>20160</v>
      </c>
      <c r="I166" s="36"/>
      <c r="J166" s="36">
        <v>20160</v>
      </c>
      <c r="K166" s="36">
        <v>20160</v>
      </c>
      <c r="L166" s="36">
        <v>20160</v>
      </c>
      <c r="M166" s="36"/>
      <c r="N166" s="36">
        <v>20160</v>
      </c>
      <c r="O166" s="36">
        <v>20160</v>
      </c>
      <c r="P166" s="36">
        <v>20160</v>
      </c>
      <c r="Q166" s="36">
        <v>20160</v>
      </c>
      <c r="R166" s="36"/>
      <c r="S166" s="36"/>
      <c r="T166" s="36"/>
      <c r="U166" s="36"/>
      <c r="V166" s="36"/>
      <c r="W166" s="36"/>
      <c r="X166" s="36"/>
      <c r="Y166" s="36"/>
      <c r="Z166" s="36"/>
      <c r="AA166" s="36"/>
    </row>
    <row r="167" spans="1:27" x14ac:dyDescent="0.3">
      <c r="C167" t="s">
        <v>137</v>
      </c>
      <c r="D167" s="36"/>
      <c r="E167" s="36"/>
      <c r="F167" s="36"/>
      <c r="G167" s="36"/>
      <c r="H167" s="36"/>
      <c r="I167" s="36"/>
      <c r="J167" s="36"/>
      <c r="K167" s="36"/>
      <c r="L167" s="36"/>
      <c r="M167" s="36"/>
      <c r="N167" s="36"/>
      <c r="O167" s="36"/>
      <c r="P167" s="36"/>
      <c r="Q167" s="36"/>
      <c r="R167" s="36"/>
      <c r="S167" s="36"/>
      <c r="T167" s="36"/>
      <c r="U167" s="36"/>
      <c r="V167" s="36"/>
      <c r="W167" s="36"/>
      <c r="X167" s="36"/>
      <c r="Y167" s="36"/>
      <c r="Z167" s="36"/>
      <c r="AA167" s="36"/>
    </row>
    <row r="168" spans="1:27" x14ac:dyDescent="0.3">
      <c r="C168" t="s">
        <v>138</v>
      </c>
      <c r="D168" s="36"/>
      <c r="E168" s="36"/>
      <c r="F168" s="36"/>
      <c r="G168" s="36"/>
      <c r="H168" s="36"/>
      <c r="I168" s="36"/>
      <c r="J168" s="36"/>
      <c r="K168" s="36"/>
      <c r="L168" s="36"/>
      <c r="M168" s="36"/>
      <c r="N168" s="36"/>
      <c r="O168" s="36"/>
      <c r="P168" s="36"/>
      <c r="Q168" s="36"/>
      <c r="R168" s="36"/>
      <c r="S168" s="36"/>
      <c r="T168" s="36"/>
      <c r="U168" s="36"/>
      <c r="V168" s="36"/>
      <c r="W168" s="36"/>
      <c r="X168" s="36"/>
      <c r="Y168" s="36"/>
      <c r="Z168" s="36"/>
      <c r="AA168" s="36"/>
    </row>
    <row r="169" spans="1:27" x14ac:dyDescent="0.3">
      <c r="C169" t="s">
        <v>139</v>
      </c>
      <c r="D169" s="36">
        <v>20160</v>
      </c>
      <c r="E169" s="36"/>
      <c r="F169" s="36">
        <v>20160</v>
      </c>
      <c r="G169" s="36">
        <v>20160</v>
      </c>
      <c r="H169" s="36">
        <v>20160</v>
      </c>
      <c r="I169" s="36"/>
      <c r="J169" s="36">
        <v>20160</v>
      </c>
      <c r="K169" s="36">
        <v>20160</v>
      </c>
      <c r="L169" s="36">
        <v>20160</v>
      </c>
      <c r="M169" s="36"/>
      <c r="N169" s="36">
        <v>20160</v>
      </c>
      <c r="O169" s="36">
        <v>20160</v>
      </c>
      <c r="P169" s="36">
        <v>20160</v>
      </c>
      <c r="Q169" s="36">
        <v>20160</v>
      </c>
      <c r="R169" s="36"/>
      <c r="S169" s="36"/>
      <c r="T169" s="36"/>
      <c r="U169" s="36"/>
      <c r="V169" s="36"/>
      <c r="W169" s="36"/>
      <c r="X169" s="36"/>
      <c r="Y169" s="36"/>
      <c r="Z169" s="36"/>
      <c r="AA169" s="36"/>
    </row>
    <row r="170" spans="1:27" x14ac:dyDescent="0.3">
      <c r="C170" t="s">
        <v>140</v>
      </c>
      <c r="D170" s="36">
        <v>-54386</v>
      </c>
      <c r="E170" s="36">
        <v>-71005</v>
      </c>
      <c r="F170" s="36">
        <v>-67101</v>
      </c>
      <c r="G170" s="36">
        <v>-67896</v>
      </c>
      <c r="H170" s="36">
        <v>-63258</v>
      </c>
      <c r="I170" s="36">
        <v>-117354</v>
      </c>
      <c r="J170" s="36">
        <v>-111719</v>
      </c>
      <c r="K170" s="36">
        <v>-103533</v>
      </c>
      <c r="L170" s="36">
        <v>-98340</v>
      </c>
      <c r="M170" s="36">
        <v>-115843</v>
      </c>
      <c r="N170" s="36">
        <v>-112372</v>
      </c>
      <c r="O170" s="36">
        <v>-108843</v>
      </c>
      <c r="P170" s="36">
        <v>-104919</v>
      </c>
      <c r="Q170" s="36">
        <v>-96012</v>
      </c>
      <c r="R170" s="36">
        <v>-106997</v>
      </c>
      <c r="S170" s="36">
        <v>-118317</v>
      </c>
      <c r="T170" s="36">
        <v>-129322</v>
      </c>
      <c r="U170" s="36">
        <v>-133534</v>
      </c>
      <c r="V170" s="36">
        <v>-134976</v>
      </c>
      <c r="W170" s="36">
        <v>-136388</v>
      </c>
      <c r="X170" s="36">
        <v>-137721</v>
      </c>
      <c r="Y170" s="36">
        <v>-138713</v>
      </c>
      <c r="Z170" s="36">
        <v>-139599</v>
      </c>
      <c r="AA170" s="36">
        <v>-140455</v>
      </c>
    </row>
    <row r="171" spans="1:27" x14ac:dyDescent="0.3">
      <c r="C171" t="s">
        <v>141</v>
      </c>
      <c r="D171" s="36">
        <v>0</v>
      </c>
      <c r="E171" s="36">
        <v>0</v>
      </c>
      <c r="F171" s="36">
        <v>0</v>
      </c>
      <c r="G171" s="36">
        <v>0</v>
      </c>
      <c r="H171" s="36">
        <v>0</v>
      </c>
      <c r="I171" s="36">
        <v>0</v>
      </c>
      <c r="J171" s="36">
        <v>0</v>
      </c>
      <c r="K171" s="36">
        <v>0</v>
      </c>
      <c r="L171" s="36">
        <v>0</v>
      </c>
      <c r="M171" s="36">
        <v>0</v>
      </c>
      <c r="N171" s="36">
        <v>0</v>
      </c>
      <c r="O171" s="36">
        <v>0</v>
      </c>
      <c r="P171" s="36">
        <v>0</v>
      </c>
      <c r="Q171" s="36">
        <v>0</v>
      </c>
      <c r="R171" s="36">
        <v>0</v>
      </c>
      <c r="S171" s="36">
        <v>0</v>
      </c>
      <c r="T171" s="36">
        <v>0</v>
      </c>
      <c r="U171" s="36">
        <v>0</v>
      </c>
      <c r="V171" s="36">
        <v>0</v>
      </c>
      <c r="W171" s="36">
        <v>0</v>
      </c>
      <c r="X171" s="36">
        <v>0</v>
      </c>
      <c r="Y171" s="36">
        <v>0</v>
      </c>
      <c r="Z171" s="36">
        <v>0</v>
      </c>
      <c r="AA171" s="36">
        <v>0</v>
      </c>
    </row>
    <row r="172" spans="1:27" x14ac:dyDescent="0.3">
      <c r="A172" t="s">
        <v>301</v>
      </c>
      <c r="B172" t="s">
        <v>177</v>
      </c>
      <c r="C172" t="s">
        <v>129</v>
      </c>
      <c r="D172" s="36">
        <v>506</v>
      </c>
      <c r="E172" s="36"/>
      <c r="F172" s="36"/>
      <c r="G172" s="36"/>
      <c r="H172" s="36"/>
      <c r="I172" s="36"/>
      <c r="J172" s="36"/>
      <c r="K172" s="36"/>
      <c r="L172" s="36"/>
      <c r="M172" s="36"/>
      <c r="N172" s="36"/>
      <c r="O172" s="36"/>
      <c r="P172" s="36"/>
      <c r="Q172" s="36"/>
      <c r="R172" s="36"/>
      <c r="S172" s="36"/>
      <c r="T172" s="36"/>
      <c r="U172" s="36"/>
      <c r="V172" s="36"/>
      <c r="W172" s="36"/>
      <c r="X172" s="36"/>
      <c r="Y172" s="36"/>
      <c r="Z172" s="36"/>
      <c r="AA172" s="36"/>
    </row>
    <row r="173" spans="1:27" x14ac:dyDescent="0.3">
      <c r="C173" t="s">
        <v>131</v>
      </c>
      <c r="D173" s="36">
        <v>734</v>
      </c>
      <c r="E173" s="36">
        <v>671</v>
      </c>
      <c r="F173" s="36">
        <v>670</v>
      </c>
      <c r="G173" s="36">
        <v>669</v>
      </c>
      <c r="H173" s="36">
        <v>625</v>
      </c>
      <c r="I173" s="36">
        <v>477</v>
      </c>
      <c r="J173" s="36">
        <v>509</v>
      </c>
      <c r="K173" s="36">
        <v>528</v>
      </c>
      <c r="L173" s="36">
        <v>1017</v>
      </c>
      <c r="M173" s="36">
        <v>736</v>
      </c>
      <c r="N173" s="36">
        <v>463</v>
      </c>
      <c r="O173" s="36">
        <v>473</v>
      </c>
      <c r="P173" s="36">
        <v>431</v>
      </c>
      <c r="Q173" s="36">
        <v>430</v>
      </c>
      <c r="R173" s="36">
        <v>285</v>
      </c>
      <c r="S173" s="36">
        <v>279</v>
      </c>
      <c r="T173" s="36">
        <v>283</v>
      </c>
      <c r="U173" s="36">
        <v>220</v>
      </c>
      <c r="V173" s="36">
        <v>215</v>
      </c>
      <c r="W173" s="36">
        <v>213</v>
      </c>
      <c r="X173" s="36">
        <v>213</v>
      </c>
      <c r="Y173" s="36">
        <v>214</v>
      </c>
      <c r="Z173" s="36">
        <v>210</v>
      </c>
      <c r="AA173" s="36">
        <v>212</v>
      </c>
    </row>
    <row r="174" spans="1:27" x14ac:dyDescent="0.3">
      <c r="C174" t="s">
        <v>132</v>
      </c>
      <c r="D174" s="36">
        <v>0</v>
      </c>
      <c r="E174" s="36"/>
      <c r="F174" s="36"/>
      <c r="G174" s="36"/>
      <c r="H174" s="36"/>
      <c r="I174" s="36"/>
      <c r="J174" s="36"/>
      <c r="K174" s="36"/>
      <c r="L174" s="36"/>
      <c r="M174" s="36"/>
      <c r="N174" s="36"/>
      <c r="O174" s="36"/>
      <c r="P174" s="36"/>
      <c r="Q174" s="36"/>
      <c r="R174" s="36"/>
      <c r="S174" s="36"/>
      <c r="T174" s="36"/>
      <c r="U174" s="36"/>
      <c r="V174" s="36"/>
      <c r="W174" s="36"/>
      <c r="X174" s="36"/>
      <c r="Y174" s="36"/>
      <c r="Z174" s="36"/>
      <c r="AA174" s="36"/>
    </row>
    <row r="175" spans="1:27" x14ac:dyDescent="0.3">
      <c r="C175" t="s">
        <v>133</v>
      </c>
      <c r="D175" s="36">
        <v>0</v>
      </c>
      <c r="E175" s="36"/>
      <c r="F175" s="36"/>
      <c r="G175" s="36"/>
      <c r="H175" s="36"/>
      <c r="I175" s="36"/>
      <c r="J175" s="36"/>
      <c r="K175" s="36"/>
      <c r="L175" s="36"/>
      <c r="M175" s="36"/>
      <c r="N175" s="36"/>
      <c r="O175" s="36"/>
      <c r="P175" s="36"/>
      <c r="Q175" s="36"/>
      <c r="R175" s="36"/>
      <c r="S175" s="36"/>
      <c r="T175" s="36"/>
      <c r="U175" s="36"/>
      <c r="V175" s="36"/>
      <c r="W175" s="36"/>
      <c r="X175" s="36"/>
      <c r="Y175" s="36"/>
      <c r="Z175" s="36"/>
      <c r="AA175" s="36"/>
    </row>
    <row r="176" spans="1:27" x14ac:dyDescent="0.3">
      <c r="C176" t="s">
        <v>134</v>
      </c>
      <c r="D176" s="36">
        <v>28</v>
      </c>
      <c r="E176" s="36"/>
      <c r="F176" s="36"/>
      <c r="G176" s="36"/>
      <c r="H176" s="36"/>
      <c r="I176" s="36"/>
      <c r="J176" s="36"/>
      <c r="K176" s="36"/>
      <c r="L176" s="36"/>
      <c r="M176" s="36"/>
      <c r="N176" s="36"/>
      <c r="O176" s="36"/>
      <c r="P176" s="36"/>
      <c r="Q176" s="36"/>
      <c r="R176" s="36"/>
      <c r="S176" s="36"/>
      <c r="T176" s="36"/>
      <c r="U176" s="36"/>
      <c r="V176" s="36"/>
      <c r="W176" s="36"/>
      <c r="X176" s="36"/>
      <c r="Y176" s="36"/>
      <c r="Z176" s="36"/>
      <c r="AA176" s="36"/>
    </row>
    <row r="177" spans="1:27" x14ac:dyDescent="0.3">
      <c r="C177" t="s">
        <v>135</v>
      </c>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row>
    <row r="178" spans="1:27" x14ac:dyDescent="0.3">
      <c r="C178" t="s">
        <v>136</v>
      </c>
      <c r="D178" s="36">
        <v>0</v>
      </c>
      <c r="E178" s="36">
        <v>0</v>
      </c>
      <c r="F178" s="36">
        <v>0</v>
      </c>
      <c r="G178" s="36">
        <v>0</v>
      </c>
      <c r="H178" s="36">
        <v>0</v>
      </c>
      <c r="I178" s="36">
        <v>0</v>
      </c>
      <c r="J178" s="36">
        <v>0</v>
      </c>
      <c r="K178" s="36">
        <v>0</v>
      </c>
      <c r="L178" s="36">
        <v>0</v>
      </c>
      <c r="M178" s="36">
        <v>0</v>
      </c>
      <c r="N178" s="36">
        <v>0</v>
      </c>
      <c r="O178" s="36">
        <v>0</v>
      </c>
      <c r="P178" s="36">
        <v>0</v>
      </c>
      <c r="Q178" s="36">
        <v>0</v>
      </c>
      <c r="R178" s="36">
        <v>0</v>
      </c>
      <c r="S178" s="36">
        <v>0</v>
      </c>
      <c r="T178" s="36">
        <v>0</v>
      </c>
      <c r="U178" s="36">
        <v>0</v>
      </c>
      <c r="V178" s="36">
        <v>0</v>
      </c>
      <c r="W178" s="36">
        <v>0</v>
      </c>
      <c r="X178" s="36">
        <v>0</v>
      </c>
      <c r="Y178" s="36">
        <v>0</v>
      </c>
      <c r="Z178" s="36">
        <v>0</v>
      </c>
      <c r="AA178" s="36">
        <v>0</v>
      </c>
    </row>
    <row r="179" spans="1:27" x14ac:dyDescent="0.3">
      <c r="C179" t="s">
        <v>124</v>
      </c>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row>
    <row r="180" spans="1:27" x14ac:dyDescent="0.3">
      <c r="C180" t="s">
        <v>137</v>
      </c>
      <c r="D180" s="36"/>
      <c r="E180" s="36"/>
      <c r="F180" s="36"/>
      <c r="G180" s="36"/>
      <c r="H180" s="36"/>
      <c r="I180" s="36"/>
      <c r="J180" s="36"/>
      <c r="K180" s="36"/>
      <c r="L180" s="36"/>
      <c r="M180" s="36"/>
      <c r="N180" s="36"/>
      <c r="O180" s="36"/>
      <c r="P180" s="36"/>
      <c r="Q180" s="36"/>
      <c r="R180" s="36"/>
      <c r="S180" s="36"/>
      <c r="T180" s="36"/>
      <c r="U180" s="36"/>
      <c r="V180" s="36"/>
      <c r="W180" s="36"/>
      <c r="X180" s="36"/>
      <c r="Y180" s="36"/>
      <c r="Z180" s="36"/>
      <c r="AA180" s="36"/>
    </row>
    <row r="181" spans="1:27" x14ac:dyDescent="0.3">
      <c r="C181" t="s">
        <v>138</v>
      </c>
      <c r="D181" s="36"/>
      <c r="E181" s="36"/>
      <c r="F181" s="36"/>
      <c r="G181" s="36"/>
      <c r="H181" s="36"/>
      <c r="I181" s="36"/>
      <c r="J181" s="36"/>
      <c r="K181" s="36"/>
      <c r="L181" s="36"/>
      <c r="M181" s="36"/>
      <c r="N181" s="36"/>
      <c r="O181" s="36"/>
      <c r="P181" s="36"/>
      <c r="Q181" s="36"/>
      <c r="R181" s="36"/>
      <c r="S181" s="36"/>
      <c r="T181" s="36"/>
      <c r="U181" s="36"/>
      <c r="V181" s="36"/>
      <c r="W181" s="36"/>
      <c r="X181" s="36"/>
      <c r="Y181" s="36"/>
      <c r="Z181" s="36"/>
      <c r="AA181" s="36"/>
    </row>
    <row r="182" spans="1:27" x14ac:dyDescent="0.3">
      <c r="C182" t="s">
        <v>139</v>
      </c>
      <c r="D182" s="36"/>
      <c r="E182" s="36"/>
      <c r="F182" s="36"/>
      <c r="G182" s="36"/>
      <c r="H182" s="36"/>
      <c r="I182" s="36"/>
      <c r="J182" s="36"/>
      <c r="K182" s="36"/>
      <c r="L182" s="36"/>
      <c r="M182" s="36"/>
      <c r="N182" s="36"/>
      <c r="O182" s="36"/>
      <c r="P182" s="36"/>
      <c r="Q182" s="36"/>
      <c r="R182" s="36"/>
      <c r="S182" s="36"/>
      <c r="T182" s="36"/>
      <c r="U182" s="36"/>
      <c r="V182" s="36"/>
      <c r="W182" s="36"/>
      <c r="X182" s="36"/>
      <c r="Y182" s="36"/>
      <c r="Z182" s="36"/>
      <c r="AA182" s="36"/>
    </row>
    <row r="183" spans="1:27" x14ac:dyDescent="0.3">
      <c r="C183" t="s">
        <v>140</v>
      </c>
      <c r="D183" s="36">
        <v>-1212</v>
      </c>
      <c r="E183" s="36">
        <v>-1883</v>
      </c>
      <c r="F183" s="36">
        <v>-2553</v>
      </c>
      <c r="G183" s="36">
        <v>-3222</v>
      </c>
      <c r="H183" s="36">
        <v>-3847</v>
      </c>
      <c r="I183" s="36">
        <v>-4324</v>
      </c>
      <c r="J183" s="36">
        <v>-4833</v>
      </c>
      <c r="K183" s="36">
        <v>-5361</v>
      </c>
      <c r="L183" s="36">
        <v>-6378</v>
      </c>
      <c r="M183" s="36">
        <v>-7114</v>
      </c>
      <c r="N183" s="36">
        <v>-7577</v>
      </c>
      <c r="O183" s="36">
        <v>-8050</v>
      </c>
      <c r="P183" s="36">
        <v>-8481</v>
      </c>
      <c r="Q183" s="36">
        <v>-8911</v>
      </c>
      <c r="R183" s="36">
        <v>-9196</v>
      </c>
      <c r="S183" s="36">
        <v>-9475</v>
      </c>
      <c r="T183" s="36">
        <v>-9758</v>
      </c>
      <c r="U183" s="36">
        <v>-9978</v>
      </c>
      <c r="V183" s="36">
        <v>-10193</v>
      </c>
      <c r="W183" s="36">
        <v>-10406</v>
      </c>
      <c r="X183" s="36">
        <v>-10619</v>
      </c>
      <c r="Y183" s="36">
        <v>-10833</v>
      </c>
      <c r="Z183" s="36">
        <v>-11043</v>
      </c>
      <c r="AA183" s="36">
        <v>-11255</v>
      </c>
    </row>
    <row r="184" spans="1:27" x14ac:dyDescent="0.3">
      <c r="C184" t="s">
        <v>141</v>
      </c>
      <c r="D184" s="36">
        <v>0</v>
      </c>
      <c r="E184" s="36">
        <v>0</v>
      </c>
      <c r="F184" s="36">
        <v>0</v>
      </c>
      <c r="G184" s="36">
        <v>0</v>
      </c>
      <c r="H184" s="36">
        <v>0</v>
      </c>
      <c r="I184" s="36">
        <v>0</v>
      </c>
      <c r="J184" s="36">
        <v>0</v>
      </c>
      <c r="K184" s="36">
        <v>0</v>
      </c>
      <c r="L184" s="36">
        <v>0</v>
      </c>
      <c r="M184" s="36">
        <v>0</v>
      </c>
      <c r="N184" s="36">
        <v>0</v>
      </c>
      <c r="O184" s="36">
        <v>0</v>
      </c>
      <c r="P184" s="36">
        <v>0</v>
      </c>
      <c r="Q184" s="36">
        <v>0</v>
      </c>
      <c r="R184" s="36">
        <v>0</v>
      </c>
      <c r="S184" s="36">
        <v>0</v>
      </c>
      <c r="T184" s="36">
        <v>0</v>
      </c>
      <c r="U184" s="36">
        <v>0</v>
      </c>
      <c r="V184" s="36">
        <v>0</v>
      </c>
      <c r="W184" s="36">
        <v>0</v>
      </c>
      <c r="X184" s="36">
        <v>0</v>
      </c>
      <c r="Y184" s="36">
        <v>0</v>
      </c>
      <c r="Z184" s="36">
        <v>0</v>
      </c>
      <c r="AA184" s="36">
        <v>0</v>
      </c>
    </row>
    <row r="185" spans="1:27" x14ac:dyDescent="0.3">
      <c r="A185" t="s">
        <v>267</v>
      </c>
      <c r="B185" t="s">
        <v>195</v>
      </c>
      <c r="C185" t="s">
        <v>129</v>
      </c>
      <c r="D185" s="36">
        <v>7751</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row>
    <row r="186" spans="1:27" x14ac:dyDescent="0.3">
      <c r="C186" t="s">
        <v>131</v>
      </c>
      <c r="D186" s="36">
        <v>3491</v>
      </c>
      <c r="E186" s="36">
        <v>3394</v>
      </c>
      <c r="F186" s="36">
        <v>3054</v>
      </c>
      <c r="G186" s="36">
        <v>2558</v>
      </c>
      <c r="H186" s="36">
        <v>2668</v>
      </c>
      <c r="I186" s="36">
        <v>2670</v>
      </c>
      <c r="J186" s="36">
        <v>2667</v>
      </c>
      <c r="K186" s="36">
        <v>2692</v>
      </c>
      <c r="L186" s="36">
        <v>2629</v>
      </c>
      <c r="M186" s="36">
        <v>2489</v>
      </c>
      <c r="N186" s="36">
        <v>2448</v>
      </c>
      <c r="O186" s="36">
        <v>2420</v>
      </c>
      <c r="P186" s="36">
        <v>2268</v>
      </c>
      <c r="Q186" s="36">
        <v>1678</v>
      </c>
      <c r="R186" s="36">
        <v>1694</v>
      </c>
      <c r="S186" s="36">
        <v>1673</v>
      </c>
      <c r="T186" s="36">
        <v>1672</v>
      </c>
      <c r="U186" s="36">
        <v>1879</v>
      </c>
      <c r="V186" s="36">
        <v>1966</v>
      </c>
      <c r="W186" s="36">
        <v>1965</v>
      </c>
      <c r="X186" s="36">
        <v>1965</v>
      </c>
      <c r="Y186" s="36">
        <v>1436</v>
      </c>
      <c r="Z186" s="36">
        <v>1255</v>
      </c>
      <c r="AA186" s="36">
        <v>1226</v>
      </c>
    </row>
    <row r="187" spans="1:27" x14ac:dyDescent="0.3">
      <c r="C187" t="s">
        <v>132</v>
      </c>
      <c r="D187" s="36">
        <v>0</v>
      </c>
      <c r="E187" s="36"/>
      <c r="F187" s="36"/>
      <c r="G187" s="36"/>
      <c r="H187" s="36"/>
      <c r="I187" s="36"/>
      <c r="J187" s="36"/>
      <c r="K187" s="36"/>
      <c r="L187" s="36"/>
      <c r="M187" s="36"/>
      <c r="N187" s="36"/>
      <c r="O187" s="36"/>
      <c r="P187" s="36"/>
      <c r="Q187" s="36"/>
      <c r="R187" s="36"/>
      <c r="S187" s="36"/>
      <c r="T187" s="36"/>
      <c r="U187" s="36"/>
      <c r="V187" s="36"/>
      <c r="W187" s="36"/>
      <c r="X187" s="36"/>
      <c r="Y187" s="36"/>
      <c r="Z187" s="36"/>
      <c r="AA187" s="36"/>
    </row>
    <row r="188" spans="1:27" x14ac:dyDescent="0.3">
      <c r="C188" t="s">
        <v>133</v>
      </c>
      <c r="D188" s="36">
        <v>0</v>
      </c>
      <c r="E188" s="36"/>
      <c r="F188" s="36"/>
      <c r="G188" s="36"/>
      <c r="H188" s="36"/>
      <c r="I188" s="36"/>
      <c r="J188" s="36"/>
      <c r="K188" s="36"/>
      <c r="L188" s="36"/>
      <c r="M188" s="36"/>
      <c r="N188" s="36"/>
      <c r="O188" s="36"/>
      <c r="P188" s="36"/>
      <c r="Q188" s="36"/>
      <c r="R188" s="36"/>
      <c r="S188" s="36"/>
      <c r="T188" s="36"/>
      <c r="U188" s="36"/>
      <c r="V188" s="36"/>
      <c r="W188" s="36"/>
      <c r="X188" s="36"/>
      <c r="Y188" s="36"/>
      <c r="Z188" s="36"/>
      <c r="AA188" s="36"/>
    </row>
    <row r="189" spans="1:27" x14ac:dyDescent="0.3">
      <c r="C189" t="s">
        <v>134</v>
      </c>
      <c r="D189" s="36">
        <v>0</v>
      </c>
      <c r="E189" s="36"/>
      <c r="F189" s="36"/>
      <c r="G189" s="36"/>
      <c r="H189" s="36"/>
      <c r="I189" s="36"/>
      <c r="J189" s="36"/>
      <c r="K189" s="36"/>
      <c r="L189" s="36"/>
      <c r="M189" s="36"/>
      <c r="N189" s="36"/>
      <c r="O189" s="36"/>
      <c r="P189" s="36"/>
      <c r="Q189" s="36"/>
      <c r="R189" s="36"/>
      <c r="S189" s="36"/>
      <c r="T189" s="36"/>
      <c r="U189" s="36"/>
      <c r="V189" s="36"/>
      <c r="W189" s="36"/>
      <c r="X189" s="36"/>
      <c r="Y189" s="36"/>
      <c r="Z189" s="36"/>
      <c r="AA189" s="36"/>
    </row>
    <row r="190" spans="1:27" x14ac:dyDescent="0.3">
      <c r="C190" t="s">
        <v>135</v>
      </c>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row>
    <row r="191" spans="1:27" x14ac:dyDescent="0.3">
      <c r="C191" t="s">
        <v>136</v>
      </c>
      <c r="D191" s="36">
        <v>0</v>
      </c>
      <c r="E191" s="36">
        <v>0</v>
      </c>
      <c r="F191" s="36">
        <v>0</v>
      </c>
      <c r="G191" s="36">
        <v>0</v>
      </c>
      <c r="H191" s="36">
        <v>0</v>
      </c>
      <c r="I191" s="36">
        <v>0</v>
      </c>
      <c r="J191" s="36">
        <v>0</v>
      </c>
      <c r="K191" s="36">
        <v>0</v>
      </c>
      <c r="L191" s="36">
        <v>0</v>
      </c>
      <c r="M191" s="36">
        <v>0</v>
      </c>
      <c r="N191" s="36">
        <v>0</v>
      </c>
      <c r="O191" s="36">
        <v>0</v>
      </c>
      <c r="P191" s="36">
        <v>0</v>
      </c>
      <c r="Q191" s="36">
        <v>0</v>
      </c>
      <c r="R191" s="36">
        <v>0</v>
      </c>
      <c r="S191" s="36">
        <v>0</v>
      </c>
      <c r="T191" s="36">
        <v>0</v>
      </c>
      <c r="U191" s="36">
        <v>0</v>
      </c>
      <c r="V191" s="36">
        <v>0</v>
      </c>
      <c r="W191" s="36">
        <v>0</v>
      </c>
      <c r="X191" s="36">
        <v>0</v>
      </c>
      <c r="Y191" s="36">
        <v>0</v>
      </c>
      <c r="Z191" s="36">
        <v>0</v>
      </c>
      <c r="AA191" s="36">
        <v>0</v>
      </c>
    </row>
    <row r="192" spans="1:27" x14ac:dyDescent="0.3">
      <c r="C192" t="s">
        <v>124</v>
      </c>
      <c r="D192" s="36"/>
      <c r="E192" s="36"/>
      <c r="F192" s="36"/>
      <c r="G192" s="36"/>
      <c r="H192" s="36"/>
      <c r="I192" s="36"/>
      <c r="J192" s="36"/>
      <c r="K192" s="36"/>
      <c r="L192" s="36"/>
      <c r="M192" s="36"/>
      <c r="N192" s="36"/>
      <c r="O192" s="36"/>
      <c r="P192" s="36"/>
      <c r="Q192" s="36"/>
      <c r="R192" s="36"/>
      <c r="S192" s="36"/>
      <c r="T192" s="36"/>
      <c r="U192" s="36"/>
      <c r="V192" s="36"/>
      <c r="W192" s="36"/>
      <c r="X192" s="36"/>
      <c r="Y192" s="36"/>
      <c r="Z192" s="36"/>
      <c r="AA192" s="36"/>
    </row>
    <row r="193" spans="2:27" x14ac:dyDescent="0.3">
      <c r="C193" t="s">
        <v>137</v>
      </c>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row>
    <row r="194" spans="2:27" x14ac:dyDescent="0.3">
      <c r="C194" t="s">
        <v>138</v>
      </c>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row>
    <row r="195" spans="2:27" x14ac:dyDescent="0.3">
      <c r="C195" t="s">
        <v>139</v>
      </c>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row>
    <row r="196" spans="2:27" x14ac:dyDescent="0.3">
      <c r="C196" t="s">
        <v>140</v>
      </c>
      <c r="D196" s="36">
        <v>-11242</v>
      </c>
      <c r="E196" s="36">
        <v>-14636</v>
      </c>
      <c r="F196" s="36">
        <v>-17690</v>
      </c>
      <c r="G196" s="36">
        <v>-20248</v>
      </c>
      <c r="H196" s="36">
        <v>-22916</v>
      </c>
      <c r="I196" s="36">
        <v>-25586</v>
      </c>
      <c r="J196" s="36">
        <v>-28253</v>
      </c>
      <c r="K196" s="36">
        <v>-30945</v>
      </c>
      <c r="L196" s="36">
        <v>-33574</v>
      </c>
      <c r="M196" s="36">
        <v>-36063</v>
      </c>
      <c r="N196" s="36">
        <v>-38511</v>
      </c>
      <c r="O196" s="36">
        <v>-40931</v>
      </c>
      <c r="P196" s="36">
        <v>-43199</v>
      </c>
      <c r="Q196" s="36">
        <v>-44877</v>
      </c>
      <c r="R196" s="36">
        <v>-46571</v>
      </c>
      <c r="S196" s="36">
        <v>-48244</v>
      </c>
      <c r="T196" s="36">
        <v>-49916</v>
      </c>
      <c r="U196" s="36">
        <v>-51795</v>
      </c>
      <c r="V196" s="36">
        <v>-53761</v>
      </c>
      <c r="W196" s="36">
        <v>-55726</v>
      </c>
      <c r="X196" s="36">
        <v>-57691</v>
      </c>
      <c r="Y196" s="36">
        <v>-59127</v>
      </c>
      <c r="Z196" s="36">
        <v>-60382</v>
      </c>
      <c r="AA196" s="36">
        <v>-61608</v>
      </c>
    </row>
    <row r="197" spans="2:27" x14ac:dyDescent="0.3">
      <c r="C197" t="s">
        <v>141</v>
      </c>
      <c r="D197" s="36">
        <v>0</v>
      </c>
      <c r="E197" s="36">
        <v>0</v>
      </c>
      <c r="F197" s="36">
        <v>0</v>
      </c>
      <c r="G197" s="36">
        <v>0</v>
      </c>
      <c r="H197" s="36">
        <v>0</v>
      </c>
      <c r="I197" s="36">
        <v>0</v>
      </c>
      <c r="J197" s="36">
        <v>0</v>
      </c>
      <c r="K197" s="36">
        <v>0</v>
      </c>
      <c r="L197" s="36">
        <v>0</v>
      </c>
      <c r="M197" s="36">
        <v>0</v>
      </c>
      <c r="N197" s="36">
        <v>0</v>
      </c>
      <c r="O197" s="36">
        <v>0</v>
      </c>
      <c r="P197" s="36">
        <v>0</v>
      </c>
      <c r="Q197" s="36">
        <v>0</v>
      </c>
      <c r="R197" s="36">
        <v>0</v>
      </c>
      <c r="S197" s="36">
        <v>0</v>
      </c>
      <c r="T197" s="36">
        <v>0</v>
      </c>
      <c r="U197" s="36">
        <v>0</v>
      </c>
      <c r="V197" s="36">
        <v>0</v>
      </c>
      <c r="W197" s="36">
        <v>0</v>
      </c>
      <c r="X197" s="36">
        <v>0</v>
      </c>
      <c r="Y197" s="36">
        <v>0</v>
      </c>
      <c r="Z197" s="36">
        <v>0</v>
      </c>
      <c r="AA197" s="36">
        <v>0</v>
      </c>
    </row>
    <row r="198" spans="2:27" x14ac:dyDescent="0.3">
      <c r="B198" t="s">
        <v>177</v>
      </c>
      <c r="C198" t="s">
        <v>129</v>
      </c>
      <c r="D198" s="36">
        <v>2337</v>
      </c>
      <c r="E198" s="36"/>
      <c r="F198" s="36"/>
      <c r="G198" s="36"/>
      <c r="H198" s="36"/>
      <c r="I198" s="36"/>
      <c r="J198" s="36"/>
      <c r="K198" s="36"/>
      <c r="L198" s="36"/>
      <c r="M198" s="36"/>
      <c r="N198" s="36"/>
      <c r="O198" s="36"/>
      <c r="P198" s="36"/>
      <c r="Q198" s="36"/>
      <c r="R198" s="36"/>
      <c r="S198" s="36"/>
      <c r="T198" s="36"/>
      <c r="U198" s="36"/>
      <c r="V198" s="36"/>
      <c r="W198" s="36"/>
      <c r="X198" s="36"/>
      <c r="Y198" s="36"/>
      <c r="Z198" s="36"/>
      <c r="AA198" s="36"/>
    </row>
    <row r="199" spans="2:27" x14ac:dyDescent="0.3">
      <c r="C199" t="s">
        <v>131</v>
      </c>
      <c r="D199" s="36">
        <v>1906</v>
      </c>
      <c r="E199" s="36">
        <v>1843</v>
      </c>
      <c r="F199" s="36">
        <v>1640</v>
      </c>
      <c r="G199" s="36">
        <v>1390</v>
      </c>
      <c r="H199" s="36">
        <v>1958</v>
      </c>
      <c r="I199" s="36">
        <v>2019</v>
      </c>
      <c r="J199" s="36">
        <v>2021</v>
      </c>
      <c r="K199" s="36">
        <v>2030</v>
      </c>
      <c r="L199" s="36">
        <v>2025</v>
      </c>
      <c r="M199" s="36">
        <v>2016</v>
      </c>
      <c r="N199" s="36">
        <v>2014</v>
      </c>
      <c r="O199" s="36">
        <v>2008</v>
      </c>
      <c r="P199" s="36">
        <v>1908</v>
      </c>
      <c r="Q199" s="36">
        <v>1391</v>
      </c>
      <c r="R199" s="36">
        <v>1390</v>
      </c>
      <c r="S199" s="36">
        <v>1410</v>
      </c>
      <c r="T199" s="36">
        <v>1416</v>
      </c>
      <c r="U199" s="36">
        <v>1741</v>
      </c>
      <c r="V199" s="36">
        <v>1872</v>
      </c>
      <c r="W199" s="36">
        <v>1811</v>
      </c>
      <c r="X199" s="36">
        <v>1791</v>
      </c>
      <c r="Y199" s="36">
        <v>1110</v>
      </c>
      <c r="Z199" s="36">
        <v>837</v>
      </c>
      <c r="AA199" s="36">
        <v>837</v>
      </c>
    </row>
    <row r="200" spans="2:27" x14ac:dyDescent="0.3">
      <c r="C200" t="s">
        <v>132</v>
      </c>
      <c r="D200" s="36">
        <v>1872</v>
      </c>
      <c r="E200" s="36"/>
      <c r="F200" s="36"/>
      <c r="G200" s="36"/>
      <c r="H200" s="36"/>
      <c r="I200" s="36"/>
      <c r="J200" s="36"/>
      <c r="K200" s="36"/>
      <c r="L200" s="36"/>
      <c r="M200" s="36"/>
      <c r="N200" s="36"/>
      <c r="O200" s="36"/>
      <c r="P200" s="36"/>
      <c r="Q200" s="36"/>
      <c r="R200" s="36"/>
      <c r="S200" s="36"/>
      <c r="T200" s="36"/>
      <c r="U200" s="36"/>
      <c r="V200" s="36"/>
      <c r="W200" s="36"/>
      <c r="X200" s="36"/>
      <c r="Y200" s="36"/>
      <c r="Z200" s="36"/>
      <c r="AA200" s="36"/>
    </row>
    <row r="201" spans="2:27" x14ac:dyDescent="0.3">
      <c r="C201" t="s">
        <v>133</v>
      </c>
      <c r="D201" s="36">
        <v>0</v>
      </c>
      <c r="E201" s="36"/>
      <c r="F201" s="36"/>
      <c r="G201" s="36"/>
      <c r="H201" s="36"/>
      <c r="I201" s="36"/>
      <c r="J201" s="36"/>
      <c r="K201" s="36"/>
      <c r="L201" s="36"/>
      <c r="M201" s="36"/>
      <c r="N201" s="36"/>
      <c r="O201" s="36"/>
      <c r="P201" s="36"/>
      <c r="Q201" s="36"/>
      <c r="R201" s="36"/>
      <c r="S201" s="36"/>
      <c r="T201" s="36"/>
      <c r="U201" s="36"/>
      <c r="V201" s="36"/>
      <c r="W201" s="36"/>
      <c r="X201" s="36"/>
      <c r="Y201" s="36"/>
      <c r="Z201" s="36"/>
      <c r="AA201" s="36"/>
    </row>
    <row r="202" spans="2:27" x14ac:dyDescent="0.3">
      <c r="C202" t="s">
        <v>134</v>
      </c>
      <c r="D202" s="36">
        <v>518</v>
      </c>
      <c r="E202" s="36"/>
      <c r="F202" s="36"/>
      <c r="G202" s="36"/>
      <c r="H202" s="36"/>
      <c r="I202" s="36"/>
      <c r="J202" s="36"/>
      <c r="K202" s="36"/>
      <c r="L202" s="36"/>
      <c r="M202" s="36"/>
      <c r="N202" s="36"/>
      <c r="O202" s="36"/>
      <c r="P202" s="36"/>
      <c r="Q202" s="36"/>
      <c r="R202" s="36"/>
      <c r="S202" s="36"/>
      <c r="T202" s="36"/>
      <c r="U202" s="36"/>
      <c r="V202" s="36"/>
      <c r="W202" s="36"/>
      <c r="X202" s="36"/>
      <c r="Y202" s="36"/>
      <c r="Z202" s="36"/>
      <c r="AA202" s="36"/>
    </row>
    <row r="203" spans="2:27" x14ac:dyDescent="0.3">
      <c r="C203" t="s">
        <v>135</v>
      </c>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row>
    <row r="204" spans="2:27" x14ac:dyDescent="0.3">
      <c r="C204" t="s">
        <v>136</v>
      </c>
      <c r="D204" s="36">
        <v>0</v>
      </c>
      <c r="E204" s="36">
        <v>0</v>
      </c>
      <c r="F204" s="36">
        <v>0</v>
      </c>
      <c r="G204" s="36">
        <v>1152</v>
      </c>
      <c r="H204" s="36">
        <v>1152</v>
      </c>
      <c r="I204" s="36">
        <v>1152</v>
      </c>
      <c r="J204" s="36">
        <v>576</v>
      </c>
      <c r="K204" s="36">
        <v>576</v>
      </c>
      <c r="L204" s="36">
        <v>576</v>
      </c>
      <c r="M204" s="36">
        <v>1152</v>
      </c>
      <c r="N204" s="36">
        <v>1152</v>
      </c>
      <c r="O204" s="36">
        <v>1152</v>
      </c>
      <c r="P204" s="36">
        <v>576</v>
      </c>
      <c r="Q204" s="36">
        <v>576</v>
      </c>
      <c r="R204" s="36">
        <v>1152</v>
      </c>
      <c r="S204" s="36">
        <v>0</v>
      </c>
      <c r="T204" s="36">
        <v>0</v>
      </c>
      <c r="U204" s="36">
        <v>0</v>
      </c>
      <c r="V204" s="36">
        <v>0</v>
      </c>
      <c r="W204" s="36">
        <v>0</v>
      </c>
      <c r="X204" s="36">
        <v>0</v>
      </c>
      <c r="Y204" s="36">
        <v>0</v>
      </c>
      <c r="Z204" s="36">
        <v>0</v>
      </c>
      <c r="AA204" s="36">
        <v>0</v>
      </c>
    </row>
    <row r="205" spans="2:27" x14ac:dyDescent="0.3">
      <c r="C205" t="s">
        <v>124</v>
      </c>
      <c r="D205" s="36"/>
      <c r="E205" s="36"/>
      <c r="F205" s="36"/>
      <c r="G205" s="36">
        <v>1152</v>
      </c>
      <c r="H205" s="36">
        <v>1152</v>
      </c>
      <c r="I205" s="36">
        <v>1152</v>
      </c>
      <c r="J205" s="36">
        <v>576</v>
      </c>
      <c r="K205" s="36">
        <v>576</v>
      </c>
      <c r="L205" s="36">
        <v>576</v>
      </c>
      <c r="M205" s="36">
        <v>1152</v>
      </c>
      <c r="N205" s="36">
        <v>1152</v>
      </c>
      <c r="O205" s="36">
        <v>1152</v>
      </c>
      <c r="P205" s="36">
        <v>576</v>
      </c>
      <c r="Q205" s="36">
        <v>576</v>
      </c>
      <c r="R205" s="36">
        <v>1152</v>
      </c>
      <c r="S205" s="36"/>
      <c r="T205" s="36"/>
      <c r="U205" s="36"/>
      <c r="V205" s="36"/>
      <c r="W205" s="36"/>
      <c r="X205" s="36"/>
      <c r="Y205" s="36"/>
      <c r="Z205" s="36"/>
      <c r="AA205" s="36"/>
    </row>
    <row r="206" spans="2:27" x14ac:dyDescent="0.3">
      <c r="C206" t="s">
        <v>137</v>
      </c>
      <c r="D206" s="36"/>
      <c r="E206" s="36"/>
      <c r="F206" s="36"/>
      <c r="G206" s="36"/>
      <c r="H206" s="36"/>
      <c r="I206" s="36"/>
      <c r="J206" s="36"/>
      <c r="K206" s="36"/>
      <c r="L206" s="36"/>
      <c r="M206" s="36"/>
      <c r="N206" s="36"/>
      <c r="O206" s="36"/>
      <c r="P206" s="36"/>
      <c r="Q206" s="36"/>
      <c r="R206" s="36"/>
      <c r="S206" s="36"/>
      <c r="T206" s="36"/>
      <c r="U206" s="36"/>
      <c r="V206" s="36"/>
      <c r="W206" s="36"/>
      <c r="X206" s="36"/>
      <c r="Y206" s="36"/>
      <c r="Z206" s="36"/>
      <c r="AA206" s="36"/>
    </row>
    <row r="207" spans="2:27" x14ac:dyDescent="0.3">
      <c r="C207" t="s">
        <v>138</v>
      </c>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row>
    <row r="208" spans="2:27" x14ac:dyDescent="0.3">
      <c r="C208" t="s">
        <v>139</v>
      </c>
      <c r="D208" s="36"/>
      <c r="E208" s="36"/>
      <c r="F208" s="36"/>
      <c r="G208" s="36">
        <v>1152</v>
      </c>
      <c r="H208" s="36">
        <v>1152</v>
      </c>
      <c r="I208" s="36">
        <v>1152</v>
      </c>
      <c r="J208" s="36">
        <v>576</v>
      </c>
      <c r="K208" s="36">
        <v>576</v>
      </c>
      <c r="L208" s="36">
        <v>576</v>
      </c>
      <c r="M208" s="36">
        <v>1152</v>
      </c>
      <c r="N208" s="36">
        <v>1152</v>
      </c>
      <c r="O208" s="36">
        <v>1152</v>
      </c>
      <c r="P208" s="36">
        <v>576</v>
      </c>
      <c r="Q208" s="36">
        <v>576</v>
      </c>
      <c r="R208" s="36">
        <v>1152</v>
      </c>
      <c r="S208" s="36"/>
      <c r="T208" s="36"/>
      <c r="U208" s="36"/>
      <c r="V208" s="36"/>
      <c r="W208" s="36"/>
      <c r="X208" s="36"/>
      <c r="Y208" s="36"/>
      <c r="Z208" s="36"/>
      <c r="AA208" s="36"/>
    </row>
    <row r="209" spans="1:27" x14ac:dyDescent="0.3">
      <c r="C209" t="s">
        <v>140</v>
      </c>
      <c r="D209" s="36">
        <v>-1853</v>
      </c>
      <c r="E209" s="36">
        <v>-3696</v>
      </c>
      <c r="F209" s="36">
        <v>-5336</v>
      </c>
      <c r="G209" s="36">
        <v>-5574</v>
      </c>
      <c r="H209" s="36">
        <v>-6380</v>
      </c>
      <c r="I209" s="36">
        <v>-7247</v>
      </c>
      <c r="J209" s="36">
        <v>-8692</v>
      </c>
      <c r="K209" s="36">
        <v>-10146</v>
      </c>
      <c r="L209" s="36">
        <v>-11595</v>
      </c>
      <c r="M209" s="36">
        <v>-12459</v>
      </c>
      <c r="N209" s="36">
        <v>-13321</v>
      </c>
      <c r="O209" s="36">
        <v>-14177</v>
      </c>
      <c r="P209" s="36">
        <v>-15509</v>
      </c>
      <c r="Q209" s="36">
        <v>-16324</v>
      </c>
      <c r="R209" s="36">
        <v>-16562</v>
      </c>
      <c r="S209" s="36">
        <v>-17972</v>
      </c>
      <c r="T209" s="36">
        <v>-19388</v>
      </c>
      <c r="U209" s="36">
        <v>-21129</v>
      </c>
      <c r="V209" s="36">
        <v>-23001</v>
      </c>
      <c r="W209" s="36">
        <v>-24812</v>
      </c>
      <c r="X209" s="36">
        <v>-26603</v>
      </c>
      <c r="Y209" s="36">
        <v>-27713</v>
      </c>
      <c r="Z209" s="36">
        <v>-28550</v>
      </c>
      <c r="AA209" s="36">
        <v>-29387</v>
      </c>
    </row>
    <row r="210" spans="1:27" x14ac:dyDescent="0.3">
      <c r="C210" t="s">
        <v>141</v>
      </c>
      <c r="D210" s="36">
        <v>0</v>
      </c>
      <c r="E210" s="36">
        <v>0</v>
      </c>
      <c r="F210" s="36">
        <v>0</v>
      </c>
      <c r="G210" s="36">
        <v>0</v>
      </c>
      <c r="H210" s="36">
        <v>0</v>
      </c>
      <c r="I210" s="36">
        <v>0</v>
      </c>
      <c r="J210" s="36">
        <v>0</v>
      </c>
      <c r="K210" s="36">
        <v>0</v>
      </c>
      <c r="L210" s="36">
        <v>0</v>
      </c>
      <c r="M210" s="36">
        <v>0</v>
      </c>
      <c r="N210" s="36">
        <v>0</v>
      </c>
      <c r="O210" s="36">
        <v>0</v>
      </c>
      <c r="P210" s="36">
        <v>0</v>
      </c>
      <c r="Q210" s="36">
        <v>0</v>
      </c>
      <c r="R210" s="36">
        <v>0</v>
      </c>
      <c r="S210" s="36">
        <v>0</v>
      </c>
      <c r="T210" s="36">
        <v>0</v>
      </c>
      <c r="U210" s="36">
        <v>0</v>
      </c>
      <c r="V210" s="36">
        <v>0</v>
      </c>
      <c r="W210" s="36">
        <v>0</v>
      </c>
      <c r="X210" s="36">
        <v>0</v>
      </c>
      <c r="Y210" s="36">
        <v>0</v>
      </c>
      <c r="Z210" s="36">
        <v>0</v>
      </c>
      <c r="AA210" s="36">
        <v>0</v>
      </c>
    </row>
    <row r="211" spans="1:27" x14ac:dyDescent="0.3">
      <c r="A211" t="s">
        <v>269</v>
      </c>
      <c r="B211" t="s">
        <v>177</v>
      </c>
      <c r="C211" t="s">
        <v>129</v>
      </c>
      <c r="D211" s="36">
        <v>1075</v>
      </c>
      <c r="E211" s="36"/>
      <c r="F211" s="36"/>
      <c r="G211" s="36"/>
      <c r="H211" s="36"/>
      <c r="I211" s="36"/>
      <c r="J211" s="36"/>
      <c r="K211" s="36"/>
      <c r="L211" s="36"/>
      <c r="M211" s="36"/>
      <c r="N211" s="36"/>
      <c r="O211" s="36"/>
      <c r="P211" s="36"/>
      <c r="Q211" s="36"/>
      <c r="R211" s="36"/>
      <c r="S211" s="36"/>
      <c r="T211" s="36"/>
      <c r="U211" s="36"/>
      <c r="V211" s="36"/>
      <c r="W211" s="36"/>
      <c r="X211" s="36"/>
      <c r="Y211" s="36"/>
      <c r="Z211" s="36"/>
      <c r="AA211" s="36"/>
    </row>
    <row r="212" spans="1:27" x14ac:dyDescent="0.3">
      <c r="C212" t="s">
        <v>131</v>
      </c>
      <c r="D212" s="36">
        <v>534</v>
      </c>
      <c r="E212" s="36">
        <v>509</v>
      </c>
      <c r="F212" s="36">
        <v>557</v>
      </c>
      <c r="G212" s="36">
        <v>766</v>
      </c>
      <c r="H212" s="36">
        <v>552</v>
      </c>
      <c r="I212" s="36">
        <v>426</v>
      </c>
      <c r="J212" s="36">
        <v>415</v>
      </c>
      <c r="K212" s="36">
        <v>766</v>
      </c>
      <c r="L212" s="36">
        <v>431</v>
      </c>
      <c r="M212" s="36">
        <v>451</v>
      </c>
      <c r="N212" s="36">
        <v>519</v>
      </c>
      <c r="O212" s="36">
        <v>447</v>
      </c>
      <c r="P212" s="36">
        <v>1091</v>
      </c>
      <c r="Q212" s="36">
        <v>412</v>
      </c>
      <c r="R212" s="36">
        <v>409</v>
      </c>
      <c r="S212" s="36">
        <v>412</v>
      </c>
      <c r="T212" s="36">
        <v>812</v>
      </c>
      <c r="U212" s="36">
        <v>384</v>
      </c>
      <c r="V212" s="36">
        <v>375</v>
      </c>
      <c r="W212" s="36">
        <v>371</v>
      </c>
      <c r="X212" s="36">
        <v>720</v>
      </c>
      <c r="Y212" s="36">
        <v>364</v>
      </c>
      <c r="Z212" s="36">
        <v>357</v>
      </c>
      <c r="AA212" s="36">
        <v>358</v>
      </c>
    </row>
    <row r="213" spans="1:27" x14ac:dyDescent="0.3">
      <c r="C213" t="s">
        <v>132</v>
      </c>
      <c r="D213" s="36">
        <v>4304</v>
      </c>
      <c r="E213" s="36"/>
      <c r="F213" s="36"/>
      <c r="G213" s="36"/>
      <c r="H213" s="36"/>
      <c r="I213" s="36"/>
      <c r="J213" s="36"/>
      <c r="K213" s="36"/>
      <c r="L213" s="36"/>
      <c r="M213" s="36"/>
      <c r="N213" s="36"/>
      <c r="O213" s="36"/>
      <c r="P213" s="36"/>
      <c r="Q213" s="36"/>
      <c r="R213" s="36"/>
      <c r="S213" s="36"/>
      <c r="T213" s="36"/>
      <c r="U213" s="36"/>
      <c r="V213" s="36"/>
      <c r="W213" s="36"/>
      <c r="X213" s="36"/>
      <c r="Y213" s="36"/>
      <c r="Z213" s="36"/>
      <c r="AA213" s="36"/>
    </row>
    <row r="214" spans="1:27" x14ac:dyDescent="0.3">
      <c r="C214" t="s">
        <v>133</v>
      </c>
      <c r="D214" s="36">
        <v>0</v>
      </c>
      <c r="E214" s="36"/>
      <c r="F214" s="36"/>
      <c r="G214" s="36"/>
      <c r="H214" s="36"/>
      <c r="I214" s="36"/>
      <c r="J214" s="36"/>
      <c r="K214" s="36"/>
      <c r="L214" s="36"/>
      <c r="M214" s="36"/>
      <c r="N214" s="36"/>
      <c r="O214" s="36"/>
      <c r="P214" s="36"/>
      <c r="Q214" s="36"/>
      <c r="R214" s="36"/>
      <c r="S214" s="36"/>
      <c r="T214" s="36"/>
      <c r="U214" s="36"/>
      <c r="V214" s="36"/>
      <c r="W214" s="36"/>
      <c r="X214" s="36"/>
      <c r="Y214" s="36"/>
      <c r="Z214" s="36"/>
      <c r="AA214" s="36"/>
    </row>
    <row r="215" spans="1:27" x14ac:dyDescent="0.3">
      <c r="C215" t="s">
        <v>134</v>
      </c>
      <c r="D215" s="36">
        <v>7</v>
      </c>
      <c r="E215" s="36"/>
      <c r="F215" s="36"/>
      <c r="G215" s="36"/>
      <c r="H215" s="36"/>
      <c r="I215" s="36"/>
      <c r="J215" s="36"/>
      <c r="K215" s="36"/>
      <c r="L215" s="36"/>
      <c r="M215" s="36"/>
      <c r="N215" s="36"/>
      <c r="O215" s="36"/>
      <c r="P215" s="36"/>
      <c r="Q215" s="36"/>
      <c r="R215" s="36"/>
      <c r="S215" s="36"/>
      <c r="T215" s="36"/>
      <c r="U215" s="36"/>
      <c r="V215" s="36"/>
      <c r="W215" s="36"/>
      <c r="X215" s="36"/>
      <c r="Y215" s="36"/>
      <c r="Z215" s="36"/>
      <c r="AA215" s="36"/>
    </row>
    <row r="216" spans="1:27" x14ac:dyDescent="0.3">
      <c r="C216" t="s">
        <v>135</v>
      </c>
      <c r="D216" s="36"/>
      <c r="E216" s="36"/>
      <c r="F216" s="36"/>
      <c r="G216" s="36"/>
      <c r="H216" s="36"/>
      <c r="I216" s="36"/>
      <c r="J216" s="36"/>
      <c r="K216" s="36"/>
      <c r="L216" s="36"/>
      <c r="M216" s="36"/>
      <c r="N216" s="36"/>
      <c r="O216" s="36"/>
      <c r="P216" s="36"/>
      <c r="Q216" s="36"/>
      <c r="R216" s="36"/>
      <c r="S216" s="36"/>
      <c r="T216" s="36"/>
      <c r="U216" s="36"/>
      <c r="V216" s="36"/>
      <c r="W216" s="36"/>
      <c r="X216" s="36"/>
      <c r="Y216" s="36"/>
      <c r="Z216" s="36"/>
      <c r="AA216" s="36"/>
    </row>
    <row r="217" spans="1:27" x14ac:dyDescent="0.3">
      <c r="C217" t="s">
        <v>136</v>
      </c>
      <c r="D217" s="36">
        <v>0</v>
      </c>
      <c r="E217" s="36">
        <v>0</v>
      </c>
      <c r="F217" s="36">
        <v>0</v>
      </c>
      <c r="G217" s="36">
        <v>4224</v>
      </c>
      <c r="H217" s="36">
        <v>0</v>
      </c>
      <c r="I217" s="36">
        <v>0</v>
      </c>
      <c r="J217" s="36">
        <v>0</v>
      </c>
      <c r="K217" s="36">
        <v>0</v>
      </c>
      <c r="L217" s="36">
        <v>0</v>
      </c>
      <c r="M217" s="36">
        <v>0</v>
      </c>
      <c r="N217" s="36">
        <v>0</v>
      </c>
      <c r="O217" s="36">
        <v>4224</v>
      </c>
      <c r="P217" s="36">
        <v>0</v>
      </c>
      <c r="Q217" s="36">
        <v>0</v>
      </c>
      <c r="R217" s="36">
        <v>0</v>
      </c>
      <c r="S217" s="36">
        <v>0</v>
      </c>
      <c r="T217" s="36">
        <v>0</v>
      </c>
      <c r="U217" s="36">
        <v>0</v>
      </c>
      <c r="V217" s="36">
        <v>0</v>
      </c>
      <c r="W217" s="36">
        <v>0</v>
      </c>
      <c r="X217" s="36">
        <v>0</v>
      </c>
      <c r="Y217" s="36">
        <v>0</v>
      </c>
      <c r="Z217" s="36">
        <v>0</v>
      </c>
      <c r="AA217" s="36">
        <v>0</v>
      </c>
    </row>
    <row r="218" spans="1:27" x14ac:dyDescent="0.3">
      <c r="C218" t="s">
        <v>124</v>
      </c>
      <c r="D218" s="36"/>
      <c r="E218" s="36"/>
      <c r="F218" s="36"/>
      <c r="G218" s="36">
        <v>4224</v>
      </c>
      <c r="H218" s="36"/>
      <c r="I218" s="36"/>
      <c r="J218" s="36"/>
      <c r="K218" s="36"/>
      <c r="L218" s="36"/>
      <c r="M218" s="36"/>
      <c r="N218" s="36"/>
      <c r="O218" s="36">
        <v>4224</v>
      </c>
      <c r="P218" s="36"/>
      <c r="Q218" s="36"/>
      <c r="R218" s="36"/>
      <c r="S218" s="36"/>
      <c r="T218" s="36"/>
      <c r="U218" s="36"/>
      <c r="V218" s="36"/>
      <c r="W218" s="36"/>
      <c r="X218" s="36"/>
      <c r="Y218" s="36"/>
      <c r="Z218" s="36"/>
      <c r="AA218" s="36"/>
    </row>
    <row r="219" spans="1:27" x14ac:dyDescent="0.3">
      <c r="C219" t="s">
        <v>137</v>
      </c>
      <c r="D219" s="36"/>
      <c r="E219" s="36"/>
      <c r="F219" s="36"/>
      <c r="G219" s="36"/>
      <c r="H219" s="36"/>
      <c r="I219" s="36"/>
      <c r="J219" s="36"/>
      <c r="K219" s="36"/>
      <c r="L219" s="36"/>
      <c r="M219" s="36"/>
      <c r="N219" s="36"/>
      <c r="O219" s="36"/>
      <c r="P219" s="36"/>
      <c r="Q219" s="36"/>
      <c r="R219" s="36"/>
      <c r="S219" s="36"/>
      <c r="T219" s="36"/>
      <c r="U219" s="36"/>
      <c r="V219" s="36"/>
      <c r="W219" s="36"/>
      <c r="X219" s="36"/>
      <c r="Y219" s="36"/>
      <c r="Z219" s="36"/>
      <c r="AA219" s="36"/>
    </row>
    <row r="220" spans="1:27" x14ac:dyDescent="0.3">
      <c r="C220" t="s">
        <v>138</v>
      </c>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row>
    <row r="221" spans="1:27" x14ac:dyDescent="0.3">
      <c r="C221" t="s">
        <v>139</v>
      </c>
      <c r="D221" s="36"/>
      <c r="E221" s="36"/>
      <c r="F221" s="36"/>
      <c r="G221" s="36">
        <v>4224</v>
      </c>
      <c r="H221" s="36"/>
      <c r="I221" s="36"/>
      <c r="J221" s="36"/>
      <c r="K221" s="36"/>
      <c r="L221" s="36"/>
      <c r="M221" s="36"/>
      <c r="N221" s="36"/>
      <c r="O221" s="36">
        <v>4224</v>
      </c>
      <c r="P221" s="36"/>
      <c r="Q221" s="36"/>
      <c r="R221" s="36"/>
      <c r="S221" s="36"/>
      <c r="T221" s="36"/>
      <c r="U221" s="36"/>
      <c r="V221" s="36"/>
      <c r="W221" s="36"/>
      <c r="X221" s="36"/>
      <c r="Y221" s="36"/>
      <c r="Z221" s="36"/>
      <c r="AA221" s="36"/>
    </row>
    <row r="222" spans="1:27" x14ac:dyDescent="0.3">
      <c r="C222" t="s">
        <v>140</v>
      </c>
      <c r="D222" s="36">
        <v>2702</v>
      </c>
      <c r="E222" s="36">
        <v>2193</v>
      </c>
      <c r="F222" s="36">
        <v>1636</v>
      </c>
      <c r="G222" s="36">
        <v>5094</v>
      </c>
      <c r="H222" s="36">
        <v>4542</v>
      </c>
      <c r="I222" s="36">
        <v>4116</v>
      </c>
      <c r="J222" s="36">
        <v>3701</v>
      </c>
      <c r="K222" s="36">
        <v>2935</v>
      </c>
      <c r="L222" s="36">
        <v>2504</v>
      </c>
      <c r="M222" s="36">
        <v>2053</v>
      </c>
      <c r="N222" s="36">
        <v>1534</v>
      </c>
      <c r="O222" s="36">
        <v>5311</v>
      </c>
      <c r="P222" s="36">
        <v>4220</v>
      </c>
      <c r="Q222" s="36">
        <v>3808</v>
      </c>
      <c r="R222" s="36">
        <v>3399</v>
      </c>
      <c r="S222" s="36">
        <v>2987</v>
      </c>
      <c r="T222" s="36">
        <v>2175</v>
      </c>
      <c r="U222" s="36">
        <v>1791</v>
      </c>
      <c r="V222" s="36">
        <v>1416</v>
      </c>
      <c r="W222" s="36">
        <v>1045</v>
      </c>
      <c r="X222" s="36">
        <v>325</v>
      </c>
      <c r="Y222" s="36">
        <v>-39</v>
      </c>
      <c r="Z222" s="36">
        <v>-396</v>
      </c>
      <c r="AA222" s="36">
        <v>-754</v>
      </c>
    </row>
    <row r="223" spans="1:27" x14ac:dyDescent="0.3">
      <c r="C223" t="s">
        <v>141</v>
      </c>
      <c r="D223" s="36">
        <v>0</v>
      </c>
      <c r="E223" s="36">
        <v>0</v>
      </c>
      <c r="F223" s="36">
        <v>0</v>
      </c>
      <c r="G223" s="36">
        <v>0</v>
      </c>
      <c r="H223" s="36">
        <v>0</v>
      </c>
      <c r="I223" s="36">
        <v>0</v>
      </c>
      <c r="J223" s="36">
        <v>0</v>
      </c>
      <c r="K223" s="36">
        <v>0</v>
      </c>
      <c r="L223" s="36">
        <v>0</v>
      </c>
      <c r="M223" s="36">
        <v>0</v>
      </c>
      <c r="N223" s="36">
        <v>0</v>
      </c>
      <c r="O223" s="36">
        <v>0</v>
      </c>
      <c r="P223" s="36">
        <v>0</v>
      </c>
      <c r="Q223" s="36">
        <v>0</v>
      </c>
      <c r="R223" s="36">
        <v>0</v>
      </c>
      <c r="S223" s="36">
        <v>0</v>
      </c>
      <c r="T223" s="36">
        <v>0</v>
      </c>
      <c r="U223" s="36">
        <v>0</v>
      </c>
      <c r="V223" s="36">
        <v>0</v>
      </c>
      <c r="W223" s="36">
        <v>0</v>
      </c>
      <c r="X223" s="36">
        <v>0</v>
      </c>
      <c r="Y223" s="36">
        <v>0</v>
      </c>
      <c r="Z223" s="36">
        <v>0</v>
      </c>
      <c r="AA223" s="36">
        <v>0</v>
      </c>
    </row>
    <row r="224" spans="1:27" x14ac:dyDescent="0.3">
      <c r="A224" t="s">
        <v>282</v>
      </c>
      <c r="B224" t="s">
        <v>177</v>
      </c>
      <c r="C224" t="s">
        <v>129</v>
      </c>
      <c r="D224" s="36">
        <v>426</v>
      </c>
      <c r="E224" s="36"/>
      <c r="F224" s="36"/>
      <c r="G224" s="36"/>
      <c r="H224" s="36"/>
      <c r="I224" s="36"/>
      <c r="J224" s="36"/>
      <c r="K224" s="36"/>
      <c r="L224" s="36"/>
      <c r="M224" s="36"/>
      <c r="N224" s="36"/>
      <c r="O224" s="36"/>
      <c r="P224" s="36"/>
      <c r="Q224" s="36"/>
      <c r="R224" s="36"/>
      <c r="S224" s="36"/>
      <c r="T224" s="36"/>
      <c r="U224" s="36"/>
      <c r="V224" s="36"/>
      <c r="W224" s="36"/>
      <c r="X224" s="36"/>
      <c r="Y224" s="36"/>
      <c r="Z224" s="36"/>
      <c r="AA224" s="36"/>
    </row>
    <row r="225" spans="1:27" x14ac:dyDescent="0.3">
      <c r="C225" t="s">
        <v>131</v>
      </c>
      <c r="D225" s="36">
        <v>64</v>
      </c>
      <c r="E225" s="36">
        <v>63</v>
      </c>
      <c r="F225" s="36">
        <v>54</v>
      </c>
      <c r="G225" s="36">
        <v>54</v>
      </c>
      <c r="H225" s="36">
        <v>49</v>
      </c>
      <c r="I225" s="36">
        <v>49</v>
      </c>
      <c r="J225" s="36">
        <v>49</v>
      </c>
      <c r="K225" s="36">
        <v>49</v>
      </c>
      <c r="L225" s="36">
        <v>45</v>
      </c>
      <c r="M225" s="36">
        <v>41</v>
      </c>
      <c r="N225" s="36">
        <v>41</v>
      </c>
      <c r="O225" s="36">
        <v>40</v>
      </c>
      <c r="P225" s="36">
        <v>42</v>
      </c>
      <c r="Q225" s="36">
        <v>50</v>
      </c>
      <c r="R225" s="36">
        <v>50</v>
      </c>
      <c r="S225" s="36">
        <v>49</v>
      </c>
      <c r="T225" s="36">
        <v>49</v>
      </c>
      <c r="U225" s="36">
        <v>46</v>
      </c>
      <c r="V225" s="36">
        <v>46</v>
      </c>
      <c r="W225" s="36">
        <v>45</v>
      </c>
      <c r="X225" s="36">
        <v>45</v>
      </c>
      <c r="Y225" s="36">
        <v>41</v>
      </c>
      <c r="Z225" s="36">
        <v>40</v>
      </c>
      <c r="AA225" s="36">
        <v>40</v>
      </c>
    </row>
    <row r="226" spans="1:27" x14ac:dyDescent="0.3">
      <c r="C226" t="s">
        <v>132</v>
      </c>
      <c r="D226" s="36">
        <v>2919</v>
      </c>
      <c r="E226" s="36"/>
      <c r="F226" s="36"/>
      <c r="G226" s="36"/>
      <c r="H226" s="36"/>
      <c r="I226" s="36"/>
      <c r="J226" s="36"/>
      <c r="K226" s="36"/>
      <c r="L226" s="36"/>
      <c r="M226" s="36"/>
      <c r="N226" s="36"/>
      <c r="O226" s="36"/>
      <c r="P226" s="36"/>
      <c r="Q226" s="36"/>
      <c r="R226" s="36"/>
      <c r="S226" s="36"/>
      <c r="T226" s="36"/>
      <c r="U226" s="36"/>
      <c r="V226" s="36"/>
      <c r="W226" s="36"/>
      <c r="X226" s="36"/>
      <c r="Y226" s="36"/>
      <c r="Z226" s="36"/>
      <c r="AA226" s="36"/>
    </row>
    <row r="227" spans="1:27" x14ac:dyDescent="0.3">
      <c r="C227" t="s">
        <v>133</v>
      </c>
      <c r="D227" s="36">
        <v>0</v>
      </c>
      <c r="E227" s="36"/>
      <c r="F227" s="36"/>
      <c r="G227" s="36"/>
      <c r="H227" s="36"/>
      <c r="I227" s="36"/>
      <c r="J227" s="36"/>
      <c r="K227" s="36"/>
      <c r="L227" s="36"/>
      <c r="M227" s="36"/>
      <c r="N227" s="36"/>
      <c r="O227" s="36"/>
      <c r="P227" s="36"/>
      <c r="Q227" s="36"/>
      <c r="R227" s="36"/>
      <c r="S227" s="36"/>
      <c r="T227" s="36"/>
      <c r="U227" s="36"/>
      <c r="V227" s="36"/>
      <c r="W227" s="36"/>
      <c r="X227" s="36"/>
      <c r="Y227" s="36"/>
      <c r="Z227" s="36"/>
      <c r="AA227" s="36"/>
    </row>
    <row r="228" spans="1:27" x14ac:dyDescent="0.3">
      <c r="C228" t="s">
        <v>134</v>
      </c>
      <c r="D228" s="36">
        <v>9</v>
      </c>
      <c r="E228" s="36"/>
      <c r="F228" s="36"/>
      <c r="G228" s="36"/>
      <c r="H228" s="36"/>
      <c r="I228" s="36"/>
      <c r="J228" s="36"/>
      <c r="K228" s="36"/>
      <c r="L228" s="36"/>
      <c r="M228" s="36"/>
      <c r="N228" s="36"/>
      <c r="O228" s="36"/>
      <c r="P228" s="36"/>
      <c r="Q228" s="36"/>
      <c r="R228" s="36"/>
      <c r="S228" s="36"/>
      <c r="T228" s="36"/>
      <c r="U228" s="36"/>
      <c r="V228" s="36"/>
      <c r="W228" s="36"/>
      <c r="X228" s="36"/>
      <c r="Y228" s="36"/>
      <c r="Z228" s="36"/>
      <c r="AA228" s="36"/>
    </row>
    <row r="229" spans="1:27" x14ac:dyDescent="0.3">
      <c r="C229" t="s">
        <v>135</v>
      </c>
      <c r="D229" s="36"/>
      <c r="E229" s="36"/>
      <c r="F229" s="36"/>
      <c r="G229" s="36"/>
      <c r="H229" s="36"/>
      <c r="I229" s="36"/>
      <c r="J229" s="36"/>
      <c r="K229" s="36"/>
      <c r="L229" s="36"/>
      <c r="M229" s="36"/>
      <c r="N229" s="36"/>
      <c r="O229" s="36"/>
      <c r="P229" s="36"/>
      <c r="Q229" s="36"/>
      <c r="R229" s="36"/>
      <c r="S229" s="36"/>
      <c r="T229" s="36"/>
      <c r="U229" s="36"/>
      <c r="V229" s="36"/>
      <c r="W229" s="36"/>
      <c r="X229" s="36"/>
      <c r="Y229" s="36"/>
      <c r="Z229" s="36"/>
      <c r="AA229" s="36"/>
    </row>
    <row r="230" spans="1:27" x14ac:dyDescent="0.3">
      <c r="C230" t="s">
        <v>136</v>
      </c>
      <c r="D230" s="36">
        <v>0</v>
      </c>
      <c r="E230" s="36">
        <v>0</v>
      </c>
      <c r="F230" s="36">
        <v>0</v>
      </c>
      <c r="G230" s="36">
        <v>0</v>
      </c>
      <c r="H230" s="36">
        <v>0</v>
      </c>
      <c r="I230" s="36">
        <v>0</v>
      </c>
      <c r="J230" s="36">
        <v>0</v>
      </c>
      <c r="K230" s="36">
        <v>0</v>
      </c>
      <c r="L230" s="36">
        <v>0</v>
      </c>
      <c r="M230" s="36">
        <v>0</v>
      </c>
      <c r="N230" s="36">
        <v>0</v>
      </c>
      <c r="O230" s="36">
        <v>0</v>
      </c>
      <c r="P230" s="36">
        <v>0</v>
      </c>
      <c r="Q230" s="36">
        <v>0</v>
      </c>
      <c r="R230" s="36">
        <v>6200</v>
      </c>
      <c r="S230" s="36">
        <v>0</v>
      </c>
      <c r="T230" s="36">
        <v>0</v>
      </c>
      <c r="U230" s="36">
        <v>0</v>
      </c>
      <c r="V230" s="36">
        <v>0</v>
      </c>
      <c r="W230" s="36">
        <v>0</v>
      </c>
      <c r="X230" s="36">
        <v>0</v>
      </c>
      <c r="Y230" s="36">
        <v>0</v>
      </c>
      <c r="Z230" s="36">
        <v>0</v>
      </c>
      <c r="AA230" s="36">
        <v>0</v>
      </c>
    </row>
    <row r="231" spans="1:27" x14ac:dyDescent="0.3">
      <c r="C231" t="s">
        <v>124</v>
      </c>
      <c r="D231" s="36"/>
      <c r="E231" s="36"/>
      <c r="F231" s="36"/>
      <c r="G231" s="36"/>
      <c r="H231" s="36"/>
      <c r="I231" s="36"/>
      <c r="J231" s="36"/>
      <c r="K231" s="36"/>
      <c r="L231" s="36"/>
      <c r="M231" s="36"/>
      <c r="N231" s="36"/>
      <c r="O231" s="36"/>
      <c r="P231" s="36"/>
      <c r="Q231" s="36"/>
      <c r="R231" s="36">
        <v>6200</v>
      </c>
      <c r="S231" s="36"/>
      <c r="T231" s="36"/>
      <c r="U231" s="36"/>
      <c r="V231" s="36"/>
      <c r="W231" s="36"/>
      <c r="X231" s="36"/>
      <c r="Y231" s="36"/>
      <c r="Z231" s="36"/>
      <c r="AA231" s="36"/>
    </row>
    <row r="232" spans="1:27" x14ac:dyDescent="0.3">
      <c r="C232" t="s">
        <v>137</v>
      </c>
      <c r="D232" s="36"/>
      <c r="E232" s="36"/>
      <c r="F232" s="36"/>
      <c r="G232" s="36"/>
      <c r="H232" s="36"/>
      <c r="I232" s="36"/>
      <c r="J232" s="36"/>
      <c r="K232" s="36"/>
      <c r="L232" s="36"/>
      <c r="M232" s="36"/>
      <c r="N232" s="36"/>
      <c r="O232" s="36"/>
      <c r="P232" s="36"/>
      <c r="Q232" s="36"/>
      <c r="R232" s="36"/>
      <c r="S232" s="36"/>
      <c r="T232" s="36"/>
      <c r="U232" s="36"/>
      <c r="V232" s="36"/>
      <c r="W232" s="36"/>
      <c r="X232" s="36"/>
      <c r="Y232" s="36"/>
      <c r="Z232" s="36"/>
      <c r="AA232" s="36"/>
    </row>
    <row r="233" spans="1:27" x14ac:dyDescent="0.3">
      <c r="C233" t="s">
        <v>138</v>
      </c>
      <c r="D233" s="36"/>
      <c r="E233" s="36"/>
      <c r="F233" s="36"/>
      <c r="G233" s="36"/>
      <c r="H233" s="36"/>
      <c r="I233" s="36"/>
      <c r="J233" s="36"/>
      <c r="K233" s="36"/>
      <c r="L233" s="36"/>
      <c r="M233" s="36"/>
      <c r="N233" s="36"/>
      <c r="O233" s="36"/>
      <c r="P233" s="36"/>
      <c r="Q233" s="36"/>
      <c r="R233" s="36"/>
      <c r="S233" s="36"/>
      <c r="T233" s="36"/>
      <c r="U233" s="36"/>
      <c r="V233" s="36"/>
      <c r="W233" s="36"/>
      <c r="X233" s="36"/>
      <c r="Y233" s="36"/>
      <c r="Z233" s="36"/>
      <c r="AA233" s="36"/>
    </row>
    <row r="234" spans="1:27" x14ac:dyDescent="0.3">
      <c r="C234" t="s">
        <v>139</v>
      </c>
      <c r="D234" s="36"/>
      <c r="E234" s="36"/>
      <c r="F234" s="36"/>
      <c r="G234" s="36"/>
      <c r="H234" s="36"/>
      <c r="I234" s="36"/>
      <c r="J234" s="36"/>
      <c r="K234" s="36"/>
      <c r="L234" s="36"/>
      <c r="M234" s="36"/>
      <c r="N234" s="36"/>
      <c r="O234" s="36"/>
      <c r="P234" s="36"/>
      <c r="Q234" s="36"/>
      <c r="R234" s="36">
        <v>6200</v>
      </c>
      <c r="S234" s="36"/>
      <c r="T234" s="36"/>
      <c r="U234" s="36"/>
      <c r="V234" s="36"/>
      <c r="W234" s="36"/>
      <c r="X234" s="36"/>
      <c r="Y234" s="36"/>
      <c r="Z234" s="36"/>
      <c r="AA234" s="36"/>
    </row>
    <row r="235" spans="1:27" x14ac:dyDescent="0.3">
      <c r="C235" t="s">
        <v>140</v>
      </c>
      <c r="D235" s="36">
        <v>2438</v>
      </c>
      <c r="E235" s="36">
        <v>2375</v>
      </c>
      <c r="F235" s="36">
        <v>2321</v>
      </c>
      <c r="G235" s="36">
        <v>2267</v>
      </c>
      <c r="H235" s="36">
        <v>2218</v>
      </c>
      <c r="I235" s="36">
        <v>2169</v>
      </c>
      <c r="J235" s="36">
        <v>2120</v>
      </c>
      <c r="K235" s="36">
        <v>2071</v>
      </c>
      <c r="L235" s="36">
        <v>2026</v>
      </c>
      <c r="M235" s="36">
        <v>1985</v>
      </c>
      <c r="N235" s="36">
        <v>1944</v>
      </c>
      <c r="O235" s="36">
        <v>1904</v>
      </c>
      <c r="P235" s="36">
        <v>1862</v>
      </c>
      <c r="Q235" s="36">
        <v>1812</v>
      </c>
      <c r="R235" s="36">
        <v>7962</v>
      </c>
      <c r="S235" s="36">
        <v>7913</v>
      </c>
      <c r="T235" s="36">
        <v>7864</v>
      </c>
      <c r="U235" s="36">
        <v>7818</v>
      </c>
      <c r="V235" s="36">
        <v>7772</v>
      </c>
      <c r="W235" s="36">
        <v>7727</v>
      </c>
      <c r="X235" s="36">
        <v>7682</v>
      </c>
      <c r="Y235" s="36">
        <v>7641</v>
      </c>
      <c r="Z235" s="36">
        <v>7601</v>
      </c>
      <c r="AA235" s="36">
        <v>7561</v>
      </c>
    </row>
    <row r="236" spans="1:27" x14ac:dyDescent="0.3">
      <c r="C236" t="s">
        <v>141</v>
      </c>
      <c r="D236" s="36">
        <v>0</v>
      </c>
      <c r="E236" s="36">
        <v>0</v>
      </c>
      <c r="F236" s="36">
        <v>0</v>
      </c>
      <c r="G236" s="36">
        <v>0</v>
      </c>
      <c r="H236" s="36">
        <v>0</v>
      </c>
      <c r="I236" s="36">
        <v>0</v>
      </c>
      <c r="J236" s="36">
        <v>0</v>
      </c>
      <c r="K236" s="36">
        <v>0</v>
      </c>
      <c r="L236" s="36">
        <v>0</v>
      </c>
      <c r="M236" s="36">
        <v>0</v>
      </c>
      <c r="N236" s="36">
        <v>0</v>
      </c>
      <c r="O236" s="36">
        <v>0</v>
      </c>
      <c r="P236" s="36">
        <v>0</v>
      </c>
      <c r="Q236" s="36">
        <v>0</v>
      </c>
      <c r="R236" s="36">
        <v>0</v>
      </c>
      <c r="S236" s="36">
        <v>0</v>
      </c>
      <c r="T236" s="36">
        <v>0</v>
      </c>
      <c r="U236" s="36">
        <v>0</v>
      </c>
      <c r="V236" s="36">
        <v>0</v>
      </c>
      <c r="W236" s="36">
        <v>0</v>
      </c>
      <c r="X236" s="36">
        <v>0</v>
      </c>
      <c r="Y236" s="36">
        <v>0</v>
      </c>
      <c r="Z236" s="36">
        <v>0</v>
      </c>
      <c r="AA236" s="36">
        <v>0</v>
      </c>
    </row>
    <row r="237" spans="1:27" x14ac:dyDescent="0.3">
      <c r="A237" t="s">
        <v>277</v>
      </c>
      <c r="B237" t="s">
        <v>177</v>
      </c>
      <c r="C237" t="s">
        <v>129</v>
      </c>
      <c r="D237" s="36">
        <v>1519</v>
      </c>
      <c r="E237" s="36"/>
      <c r="F237" s="36"/>
      <c r="G237" s="36"/>
      <c r="H237" s="36"/>
      <c r="I237" s="36"/>
      <c r="J237" s="36"/>
      <c r="K237" s="36"/>
      <c r="L237" s="36"/>
      <c r="M237" s="36"/>
      <c r="N237" s="36"/>
      <c r="O237" s="36"/>
      <c r="P237" s="36"/>
      <c r="Q237" s="36"/>
      <c r="R237" s="36"/>
      <c r="S237" s="36"/>
      <c r="T237" s="36"/>
      <c r="U237" s="36"/>
      <c r="V237" s="36"/>
      <c r="W237" s="36"/>
      <c r="X237" s="36"/>
      <c r="Y237" s="36"/>
      <c r="Z237" s="36"/>
      <c r="AA237" s="36"/>
    </row>
    <row r="238" spans="1:27" x14ac:dyDescent="0.3">
      <c r="C238" t="s">
        <v>131</v>
      </c>
      <c r="D238" s="36">
        <v>1099</v>
      </c>
      <c r="E238" s="36">
        <v>1135</v>
      </c>
      <c r="F238" s="36">
        <v>783</v>
      </c>
      <c r="G238" s="36">
        <v>655</v>
      </c>
      <c r="H238" s="36">
        <v>914</v>
      </c>
      <c r="I238" s="36">
        <v>1273</v>
      </c>
      <c r="J238" s="36">
        <v>1266</v>
      </c>
      <c r="K238" s="36">
        <v>1155</v>
      </c>
      <c r="L238" s="36">
        <v>1224</v>
      </c>
      <c r="M238" s="36">
        <v>1275</v>
      </c>
      <c r="N238" s="36">
        <v>1190</v>
      </c>
      <c r="O238" s="36">
        <v>1254</v>
      </c>
      <c r="P238" s="36">
        <v>1125</v>
      </c>
      <c r="Q238" s="36">
        <v>787</v>
      </c>
      <c r="R238" s="36">
        <v>681</v>
      </c>
      <c r="S238" s="36">
        <v>689</v>
      </c>
      <c r="T238" s="36">
        <v>686</v>
      </c>
      <c r="U238" s="36">
        <v>791</v>
      </c>
      <c r="V238" s="36">
        <v>806</v>
      </c>
      <c r="W238" s="36">
        <v>804</v>
      </c>
      <c r="X238" s="36">
        <v>797</v>
      </c>
      <c r="Y238" s="36">
        <v>514</v>
      </c>
      <c r="Z238" s="36">
        <v>376</v>
      </c>
      <c r="AA238" s="36">
        <v>382</v>
      </c>
    </row>
    <row r="239" spans="1:27" x14ac:dyDescent="0.3">
      <c r="C239" t="s">
        <v>132</v>
      </c>
      <c r="D239" s="36">
        <v>5904</v>
      </c>
      <c r="E239" s="36"/>
      <c r="F239" s="36"/>
      <c r="G239" s="36"/>
      <c r="H239" s="36"/>
      <c r="I239" s="36"/>
      <c r="J239" s="36"/>
      <c r="K239" s="36"/>
      <c r="L239" s="36"/>
      <c r="M239" s="36"/>
      <c r="N239" s="36"/>
      <c r="O239" s="36"/>
      <c r="P239" s="36"/>
      <c r="Q239" s="36"/>
      <c r="R239" s="36"/>
      <c r="S239" s="36"/>
      <c r="T239" s="36"/>
      <c r="U239" s="36"/>
      <c r="V239" s="36"/>
      <c r="W239" s="36"/>
      <c r="X239" s="36"/>
      <c r="Y239" s="36"/>
      <c r="Z239" s="36"/>
      <c r="AA239" s="36"/>
    </row>
    <row r="240" spans="1:27" x14ac:dyDescent="0.3">
      <c r="C240" t="s">
        <v>133</v>
      </c>
      <c r="D240" s="36">
        <v>0</v>
      </c>
      <c r="E240" s="36"/>
      <c r="F240" s="36"/>
      <c r="G240" s="36"/>
      <c r="H240" s="36"/>
      <c r="I240" s="36"/>
      <c r="J240" s="36"/>
      <c r="K240" s="36"/>
      <c r="L240" s="36"/>
      <c r="M240" s="36"/>
      <c r="N240" s="36"/>
      <c r="O240" s="36"/>
      <c r="P240" s="36"/>
      <c r="Q240" s="36"/>
      <c r="R240" s="36"/>
      <c r="S240" s="36"/>
      <c r="T240" s="36"/>
      <c r="U240" s="36"/>
      <c r="V240" s="36"/>
      <c r="W240" s="36"/>
      <c r="X240" s="36"/>
      <c r="Y240" s="36"/>
      <c r="Z240" s="36"/>
      <c r="AA240" s="36"/>
    </row>
    <row r="241" spans="1:27" x14ac:dyDescent="0.3">
      <c r="C241" t="s">
        <v>134</v>
      </c>
      <c r="D241" s="36">
        <v>446</v>
      </c>
      <c r="E241" s="36"/>
      <c r="F241" s="36"/>
      <c r="G241" s="36"/>
      <c r="H241" s="36"/>
      <c r="I241" s="36"/>
      <c r="J241" s="36"/>
      <c r="K241" s="36"/>
      <c r="L241" s="36"/>
      <c r="M241" s="36"/>
      <c r="N241" s="36"/>
      <c r="O241" s="36"/>
      <c r="P241" s="36"/>
      <c r="Q241" s="36"/>
      <c r="R241" s="36"/>
      <c r="S241" s="36"/>
      <c r="T241" s="36"/>
      <c r="U241" s="36"/>
      <c r="V241" s="36"/>
      <c r="W241" s="36"/>
      <c r="X241" s="36"/>
      <c r="Y241" s="36"/>
      <c r="Z241" s="36"/>
      <c r="AA241" s="36"/>
    </row>
    <row r="242" spans="1:27" x14ac:dyDescent="0.3">
      <c r="C242" t="s">
        <v>135</v>
      </c>
      <c r="D242" s="36"/>
      <c r="E242" s="36"/>
      <c r="F242" s="36"/>
      <c r="G242" s="36"/>
      <c r="H242" s="36"/>
      <c r="I242" s="36"/>
      <c r="J242" s="36"/>
      <c r="K242" s="36"/>
      <c r="L242" s="36"/>
      <c r="M242" s="36"/>
      <c r="N242" s="36"/>
      <c r="O242" s="36"/>
      <c r="P242" s="36"/>
      <c r="Q242" s="36"/>
      <c r="R242" s="36"/>
      <c r="S242" s="36"/>
      <c r="T242" s="36"/>
      <c r="U242" s="36"/>
      <c r="V242" s="36"/>
      <c r="W242" s="36"/>
      <c r="X242" s="36"/>
      <c r="Y242" s="36"/>
      <c r="Z242" s="36"/>
      <c r="AA242" s="36"/>
    </row>
    <row r="243" spans="1:27" x14ac:dyDescent="0.3">
      <c r="C243" t="s">
        <v>136</v>
      </c>
      <c r="D243" s="36">
        <v>0</v>
      </c>
      <c r="E243" s="36">
        <v>0</v>
      </c>
      <c r="F243" s="36">
        <v>0</v>
      </c>
      <c r="G243" s="36">
        <v>0</v>
      </c>
      <c r="H243" s="36">
        <v>0</v>
      </c>
      <c r="I243" s="36">
        <v>0</v>
      </c>
      <c r="J243" s="36">
        <v>0</v>
      </c>
      <c r="K243" s="36">
        <v>0</v>
      </c>
      <c r="L243" s="36">
        <v>0</v>
      </c>
      <c r="M243" s="36">
        <v>0</v>
      </c>
      <c r="N243" s="36">
        <v>0</v>
      </c>
      <c r="O243" s="36">
        <v>0</v>
      </c>
      <c r="P243" s="36">
        <v>0</v>
      </c>
      <c r="Q243" s="36">
        <v>0</v>
      </c>
      <c r="R243" s="36">
        <v>0</v>
      </c>
      <c r="S243" s="36">
        <v>0</v>
      </c>
      <c r="T243" s="36">
        <v>0</v>
      </c>
      <c r="U243" s="36">
        <v>0</v>
      </c>
      <c r="V243" s="36">
        <v>0</v>
      </c>
      <c r="W243" s="36">
        <v>0</v>
      </c>
      <c r="X243" s="36">
        <v>0</v>
      </c>
      <c r="Y243" s="36">
        <v>0</v>
      </c>
      <c r="Z243" s="36">
        <v>0</v>
      </c>
      <c r="AA243" s="36">
        <v>0</v>
      </c>
    </row>
    <row r="244" spans="1:27" x14ac:dyDescent="0.3">
      <c r="C244" t="s">
        <v>124</v>
      </c>
      <c r="D244" s="36"/>
      <c r="E244" s="36"/>
      <c r="F244" s="36"/>
      <c r="G244" s="36"/>
      <c r="H244" s="36"/>
      <c r="I244" s="36"/>
      <c r="J244" s="36"/>
      <c r="K244" s="36"/>
      <c r="L244" s="36"/>
      <c r="M244" s="36"/>
      <c r="N244" s="36"/>
      <c r="O244" s="36"/>
      <c r="P244" s="36"/>
      <c r="Q244" s="36"/>
      <c r="R244" s="36"/>
      <c r="S244" s="36"/>
      <c r="T244" s="36"/>
      <c r="U244" s="36"/>
      <c r="V244" s="36"/>
      <c r="W244" s="36"/>
      <c r="X244" s="36"/>
      <c r="Y244" s="36"/>
      <c r="Z244" s="36"/>
      <c r="AA244" s="36"/>
    </row>
    <row r="245" spans="1:27" x14ac:dyDescent="0.3">
      <c r="C245" t="s">
        <v>137</v>
      </c>
      <c r="D245" s="36"/>
      <c r="E245" s="36"/>
      <c r="F245" s="36"/>
      <c r="G245" s="36"/>
      <c r="H245" s="36"/>
      <c r="I245" s="36"/>
      <c r="J245" s="36"/>
      <c r="K245" s="36"/>
      <c r="L245" s="36"/>
      <c r="M245" s="36"/>
      <c r="N245" s="36"/>
      <c r="O245" s="36"/>
      <c r="P245" s="36"/>
      <c r="Q245" s="36"/>
      <c r="R245" s="36"/>
      <c r="S245" s="36"/>
      <c r="T245" s="36"/>
      <c r="U245" s="36"/>
      <c r="V245" s="36"/>
      <c r="W245" s="36"/>
      <c r="X245" s="36"/>
      <c r="Y245" s="36"/>
      <c r="Z245" s="36"/>
      <c r="AA245" s="36"/>
    </row>
    <row r="246" spans="1:27" x14ac:dyDescent="0.3">
      <c r="C246" t="s">
        <v>138</v>
      </c>
      <c r="D246" s="36"/>
      <c r="E246" s="36"/>
      <c r="F246" s="36"/>
      <c r="G246" s="36"/>
      <c r="H246" s="36"/>
      <c r="I246" s="36"/>
      <c r="J246" s="36"/>
      <c r="K246" s="36"/>
      <c r="L246" s="36"/>
      <c r="M246" s="36"/>
      <c r="N246" s="36"/>
      <c r="O246" s="36"/>
      <c r="P246" s="36"/>
      <c r="Q246" s="36"/>
      <c r="R246" s="36"/>
      <c r="S246" s="36"/>
      <c r="T246" s="36"/>
      <c r="U246" s="36"/>
      <c r="V246" s="36"/>
      <c r="W246" s="36"/>
      <c r="X246" s="36"/>
      <c r="Y246" s="36"/>
      <c r="Z246" s="36"/>
      <c r="AA246" s="36"/>
    </row>
    <row r="247" spans="1:27" x14ac:dyDescent="0.3">
      <c r="C247" t="s">
        <v>139</v>
      </c>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row>
    <row r="248" spans="1:27" x14ac:dyDescent="0.3">
      <c r="C248" t="s">
        <v>140</v>
      </c>
      <c r="D248" s="36">
        <v>3732</v>
      </c>
      <c r="E248" s="36">
        <v>2597</v>
      </c>
      <c r="F248" s="36">
        <v>1814</v>
      </c>
      <c r="G248" s="36">
        <v>1159</v>
      </c>
      <c r="H248" s="36">
        <v>245</v>
      </c>
      <c r="I248" s="36">
        <v>-1028</v>
      </c>
      <c r="J248" s="36">
        <v>-2294</v>
      </c>
      <c r="K248" s="36">
        <v>-3449</v>
      </c>
      <c r="L248" s="36">
        <v>-4673</v>
      </c>
      <c r="M248" s="36">
        <v>-5948</v>
      </c>
      <c r="N248" s="36">
        <v>-7138</v>
      </c>
      <c r="O248" s="36">
        <v>-8392</v>
      </c>
      <c r="P248" s="36">
        <v>-9517</v>
      </c>
      <c r="Q248" s="36">
        <v>-10304</v>
      </c>
      <c r="R248" s="36">
        <v>-10985</v>
      </c>
      <c r="S248" s="36">
        <v>-11674</v>
      </c>
      <c r="T248" s="36">
        <v>-12360</v>
      </c>
      <c r="U248" s="36">
        <v>-13151</v>
      </c>
      <c r="V248" s="36">
        <v>-13957</v>
      </c>
      <c r="W248" s="36">
        <v>-14761</v>
      </c>
      <c r="X248" s="36">
        <v>-15558</v>
      </c>
      <c r="Y248" s="36">
        <v>-16072</v>
      </c>
      <c r="Z248" s="36">
        <v>-16448</v>
      </c>
      <c r="AA248" s="36">
        <v>-16830</v>
      </c>
    </row>
    <row r="249" spans="1:27" x14ac:dyDescent="0.3">
      <c r="C249" t="s">
        <v>141</v>
      </c>
      <c r="D249" s="36">
        <v>0</v>
      </c>
      <c r="E249" s="36">
        <v>0</v>
      </c>
      <c r="F249" s="36">
        <v>0</v>
      </c>
      <c r="G249" s="36">
        <v>0</v>
      </c>
      <c r="H249" s="36">
        <v>0</v>
      </c>
      <c r="I249" s="36">
        <v>0</v>
      </c>
      <c r="J249" s="36">
        <v>0</v>
      </c>
      <c r="K249" s="36">
        <v>0</v>
      </c>
      <c r="L249" s="36">
        <v>0</v>
      </c>
      <c r="M249" s="36">
        <v>0</v>
      </c>
      <c r="N249" s="36">
        <v>0</v>
      </c>
      <c r="O249" s="36">
        <v>0</v>
      </c>
      <c r="P249" s="36">
        <v>0</v>
      </c>
      <c r="Q249" s="36">
        <v>0</v>
      </c>
      <c r="R249" s="36">
        <v>0</v>
      </c>
      <c r="S249" s="36">
        <v>0</v>
      </c>
      <c r="T249" s="36">
        <v>0</v>
      </c>
      <c r="U249" s="36">
        <v>0</v>
      </c>
      <c r="V249" s="36">
        <v>0</v>
      </c>
      <c r="W249" s="36">
        <v>0</v>
      </c>
      <c r="X249" s="36">
        <v>0</v>
      </c>
      <c r="Y249" s="36">
        <v>0</v>
      </c>
      <c r="Z249" s="36">
        <v>0</v>
      </c>
      <c r="AA249" s="36">
        <v>0</v>
      </c>
    </row>
    <row r="250" spans="1:27" x14ac:dyDescent="0.3">
      <c r="A250" t="s">
        <v>185</v>
      </c>
      <c r="B250" t="s">
        <v>177</v>
      </c>
      <c r="C250" t="s">
        <v>129</v>
      </c>
      <c r="D250" s="36">
        <v>14250</v>
      </c>
      <c r="E250" s="36"/>
      <c r="F250" s="36"/>
      <c r="G250" s="36"/>
      <c r="H250" s="36"/>
      <c r="I250" s="36"/>
      <c r="J250" s="36"/>
      <c r="K250" s="36"/>
      <c r="L250" s="36"/>
      <c r="M250" s="36"/>
      <c r="N250" s="36"/>
      <c r="O250" s="36"/>
      <c r="P250" s="36"/>
      <c r="Q250" s="36"/>
      <c r="R250" s="36"/>
      <c r="S250" s="36"/>
      <c r="T250" s="36"/>
      <c r="U250" s="36"/>
      <c r="V250" s="36"/>
      <c r="W250" s="36"/>
      <c r="X250" s="36"/>
      <c r="Y250" s="36"/>
      <c r="Z250" s="36"/>
      <c r="AA250" s="36"/>
    </row>
    <row r="251" spans="1:27" x14ac:dyDescent="0.3">
      <c r="C251" t="s">
        <v>131</v>
      </c>
      <c r="D251" s="36">
        <v>2</v>
      </c>
      <c r="E251" s="36">
        <v>2</v>
      </c>
      <c r="F251" s="36">
        <v>1</v>
      </c>
      <c r="G251" s="36">
        <v>1</v>
      </c>
      <c r="H251" s="36">
        <v>1</v>
      </c>
      <c r="I251" s="36">
        <v>1</v>
      </c>
      <c r="J251" s="36">
        <v>1</v>
      </c>
      <c r="K251" s="36">
        <v>1</v>
      </c>
      <c r="L251" s="36">
        <v>1</v>
      </c>
      <c r="M251" s="36">
        <v>1</v>
      </c>
      <c r="N251" s="36">
        <v>1</v>
      </c>
      <c r="O251" s="36">
        <v>0</v>
      </c>
      <c r="P251" s="36">
        <v>0</v>
      </c>
      <c r="Q251" s="36">
        <v>0</v>
      </c>
      <c r="R251" s="36">
        <v>0</v>
      </c>
      <c r="S251" s="36">
        <v>0</v>
      </c>
      <c r="T251" s="36">
        <v>0</v>
      </c>
      <c r="U251" s="36">
        <v>0</v>
      </c>
      <c r="V251" s="36">
        <v>0</v>
      </c>
      <c r="W251" s="36">
        <v>0</v>
      </c>
      <c r="X251" s="36">
        <v>0</v>
      </c>
      <c r="Y251" s="36">
        <v>0</v>
      </c>
      <c r="Z251" s="36">
        <v>0</v>
      </c>
      <c r="AA251" s="36">
        <v>0</v>
      </c>
    </row>
    <row r="252" spans="1:27" x14ac:dyDescent="0.3">
      <c r="C252" t="s">
        <v>132</v>
      </c>
      <c r="D252" s="36">
        <v>0</v>
      </c>
      <c r="E252" s="36"/>
      <c r="F252" s="36"/>
      <c r="G252" s="36"/>
      <c r="H252" s="36"/>
      <c r="I252" s="36"/>
      <c r="J252" s="36"/>
      <c r="K252" s="36"/>
      <c r="L252" s="36"/>
      <c r="M252" s="36"/>
      <c r="N252" s="36"/>
      <c r="O252" s="36"/>
      <c r="P252" s="36"/>
      <c r="Q252" s="36"/>
      <c r="R252" s="36"/>
      <c r="S252" s="36"/>
      <c r="T252" s="36"/>
      <c r="U252" s="36"/>
      <c r="V252" s="36"/>
      <c r="W252" s="36"/>
      <c r="X252" s="36"/>
      <c r="Y252" s="36"/>
      <c r="Z252" s="36"/>
      <c r="AA252" s="36"/>
    </row>
    <row r="253" spans="1:27" x14ac:dyDescent="0.3">
      <c r="C253" t="s">
        <v>133</v>
      </c>
      <c r="D253" s="36">
        <v>0</v>
      </c>
      <c r="E253" s="36"/>
      <c r="F253" s="36"/>
      <c r="G253" s="36"/>
      <c r="H253" s="36"/>
      <c r="I253" s="36"/>
      <c r="J253" s="36"/>
      <c r="K253" s="36"/>
      <c r="L253" s="36"/>
      <c r="M253" s="36"/>
      <c r="N253" s="36"/>
      <c r="O253" s="36"/>
      <c r="P253" s="36"/>
      <c r="Q253" s="36"/>
      <c r="R253" s="36"/>
      <c r="S253" s="36"/>
      <c r="T253" s="36"/>
      <c r="U253" s="36"/>
      <c r="V253" s="36"/>
      <c r="W253" s="36"/>
      <c r="X253" s="36"/>
      <c r="Y253" s="36"/>
      <c r="Z253" s="36"/>
      <c r="AA253" s="36"/>
    </row>
    <row r="254" spans="1:27" x14ac:dyDescent="0.3">
      <c r="C254" t="s">
        <v>134</v>
      </c>
      <c r="D254" s="36">
        <v>0</v>
      </c>
      <c r="E254" s="36"/>
      <c r="F254" s="36"/>
      <c r="G254" s="36"/>
      <c r="H254" s="36"/>
      <c r="I254" s="36"/>
      <c r="J254" s="36"/>
      <c r="K254" s="36"/>
      <c r="L254" s="36"/>
      <c r="M254" s="36"/>
      <c r="N254" s="36"/>
      <c r="O254" s="36"/>
      <c r="P254" s="36"/>
      <c r="Q254" s="36"/>
      <c r="R254" s="36"/>
      <c r="S254" s="36"/>
      <c r="T254" s="36"/>
      <c r="U254" s="36"/>
      <c r="V254" s="36"/>
      <c r="W254" s="36"/>
      <c r="X254" s="36"/>
      <c r="Y254" s="36"/>
      <c r="Z254" s="36"/>
      <c r="AA254" s="36"/>
    </row>
    <row r="255" spans="1:27" x14ac:dyDescent="0.3">
      <c r="C255" t="s">
        <v>135</v>
      </c>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row>
    <row r="256" spans="1:27" x14ac:dyDescent="0.3">
      <c r="C256" t="s">
        <v>136</v>
      </c>
      <c r="D256" s="36">
        <v>0</v>
      </c>
      <c r="E256" s="36">
        <v>0</v>
      </c>
      <c r="F256" s="36">
        <v>0</v>
      </c>
      <c r="G256" s="36">
        <v>0</v>
      </c>
      <c r="H256" s="36">
        <v>0</v>
      </c>
      <c r="I256" s="36">
        <v>0</v>
      </c>
      <c r="J256" s="36">
        <v>0</v>
      </c>
      <c r="K256" s="36">
        <v>0</v>
      </c>
      <c r="L256" s="36">
        <v>0</v>
      </c>
      <c r="M256" s="36">
        <v>0</v>
      </c>
      <c r="N256" s="36">
        <v>0</v>
      </c>
      <c r="O256" s="36">
        <v>0</v>
      </c>
      <c r="P256" s="36">
        <v>0</v>
      </c>
      <c r="Q256" s="36">
        <v>0</v>
      </c>
      <c r="R256" s="36">
        <v>0</v>
      </c>
      <c r="S256" s="36">
        <v>0</v>
      </c>
      <c r="T256" s="36">
        <v>0</v>
      </c>
      <c r="U256" s="36">
        <v>0</v>
      </c>
      <c r="V256" s="36">
        <v>0</v>
      </c>
      <c r="W256" s="36">
        <v>0</v>
      </c>
      <c r="X256" s="36">
        <v>0</v>
      </c>
      <c r="Y256" s="36">
        <v>0</v>
      </c>
      <c r="Z256" s="36">
        <v>0</v>
      </c>
      <c r="AA256" s="36">
        <v>0</v>
      </c>
    </row>
    <row r="257" spans="1:27" x14ac:dyDescent="0.3">
      <c r="C257" t="s">
        <v>124</v>
      </c>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row>
    <row r="258" spans="1:27" x14ac:dyDescent="0.3">
      <c r="C258" t="s">
        <v>137</v>
      </c>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row>
    <row r="259" spans="1:27" x14ac:dyDescent="0.3">
      <c r="C259" t="s">
        <v>138</v>
      </c>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row>
    <row r="260" spans="1:27" x14ac:dyDescent="0.3">
      <c r="C260" t="s">
        <v>139</v>
      </c>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row>
    <row r="261" spans="1:27" x14ac:dyDescent="0.3">
      <c r="C261" t="s">
        <v>140</v>
      </c>
      <c r="D261" s="36">
        <v>-14252</v>
      </c>
      <c r="E261" s="36">
        <v>-14254</v>
      </c>
      <c r="F261" s="36">
        <v>-14255</v>
      </c>
      <c r="G261" s="36">
        <v>-14256</v>
      </c>
      <c r="H261" s="36">
        <v>-14257</v>
      </c>
      <c r="I261" s="36">
        <v>-14258</v>
      </c>
      <c r="J261" s="36">
        <v>-14259</v>
      </c>
      <c r="K261" s="36">
        <v>-14260</v>
      </c>
      <c r="L261" s="36">
        <v>-14261</v>
      </c>
      <c r="M261" s="36">
        <v>-14262</v>
      </c>
      <c r="N261" s="36">
        <v>-14263</v>
      </c>
      <c r="O261" s="36">
        <v>-14263</v>
      </c>
      <c r="P261" s="36">
        <v>-14263</v>
      </c>
      <c r="Q261" s="36">
        <v>-14263</v>
      </c>
      <c r="R261" s="36">
        <v>-14263</v>
      </c>
      <c r="S261" s="36">
        <v>-14263</v>
      </c>
      <c r="T261" s="36">
        <v>-14263</v>
      </c>
      <c r="U261" s="36">
        <v>-14263</v>
      </c>
      <c r="V261" s="36">
        <v>-14263</v>
      </c>
      <c r="W261" s="36">
        <v>-14263</v>
      </c>
      <c r="X261" s="36">
        <v>-14263</v>
      </c>
      <c r="Y261" s="36">
        <v>-14263</v>
      </c>
      <c r="Z261" s="36">
        <v>-14263</v>
      </c>
      <c r="AA261" s="36">
        <v>-14263</v>
      </c>
    </row>
    <row r="262" spans="1:27" x14ac:dyDescent="0.3">
      <c r="C262" t="s">
        <v>141</v>
      </c>
      <c r="D262" s="36">
        <v>0</v>
      </c>
      <c r="E262" s="36">
        <v>0</v>
      </c>
      <c r="F262" s="36">
        <v>0</v>
      </c>
      <c r="G262" s="36">
        <v>0</v>
      </c>
      <c r="H262" s="36">
        <v>0</v>
      </c>
      <c r="I262" s="36">
        <v>0</v>
      </c>
      <c r="J262" s="36">
        <v>0</v>
      </c>
      <c r="K262" s="36">
        <v>0</v>
      </c>
      <c r="L262" s="36">
        <v>0</v>
      </c>
      <c r="M262" s="36">
        <v>0</v>
      </c>
      <c r="N262" s="36">
        <v>0</v>
      </c>
      <c r="O262" s="36">
        <v>0</v>
      </c>
      <c r="P262" s="36">
        <v>0</v>
      </c>
      <c r="Q262" s="36">
        <v>0</v>
      </c>
      <c r="R262" s="36">
        <v>0</v>
      </c>
      <c r="S262" s="36">
        <v>0</v>
      </c>
      <c r="T262" s="36">
        <v>0</v>
      </c>
      <c r="U262" s="36">
        <v>0</v>
      </c>
      <c r="V262" s="36">
        <v>0</v>
      </c>
      <c r="W262" s="36">
        <v>0</v>
      </c>
      <c r="X262" s="36">
        <v>0</v>
      </c>
      <c r="Y262" s="36">
        <v>0</v>
      </c>
      <c r="Z262" s="36">
        <v>0</v>
      </c>
      <c r="AA262" s="36">
        <v>0</v>
      </c>
    </row>
    <row r="263" spans="1:27" x14ac:dyDescent="0.3">
      <c r="A263" t="s">
        <v>298</v>
      </c>
      <c r="B263" t="s">
        <v>195</v>
      </c>
      <c r="C263" t="s">
        <v>129</v>
      </c>
      <c r="D263" s="36">
        <v>0</v>
      </c>
      <c r="E263" s="36"/>
      <c r="F263" s="36"/>
      <c r="G263" s="36"/>
      <c r="H263" s="36"/>
      <c r="I263" s="36"/>
      <c r="J263" s="36"/>
      <c r="K263" s="36"/>
      <c r="L263" s="36"/>
      <c r="M263" s="36"/>
      <c r="N263" s="36"/>
      <c r="O263" s="36"/>
      <c r="P263" s="36"/>
      <c r="Q263" s="36"/>
      <c r="R263" s="36"/>
      <c r="S263" s="36"/>
      <c r="T263" s="36"/>
      <c r="U263" s="36"/>
      <c r="V263" s="36"/>
      <c r="W263" s="36"/>
      <c r="X263" s="36"/>
      <c r="Y263" s="36"/>
      <c r="Z263" s="36"/>
      <c r="AA263" s="36"/>
    </row>
    <row r="264" spans="1:27" x14ac:dyDescent="0.3">
      <c r="C264" t="s">
        <v>131</v>
      </c>
      <c r="D264" s="36">
        <v>0</v>
      </c>
      <c r="E264" s="36">
        <v>0</v>
      </c>
      <c r="F264" s="36">
        <v>0</v>
      </c>
      <c r="G264" s="36">
        <v>0</v>
      </c>
      <c r="H264" s="36">
        <v>0</v>
      </c>
      <c r="I264" s="36">
        <v>0</v>
      </c>
      <c r="J264" s="36">
        <v>0</v>
      </c>
      <c r="K264" s="36">
        <v>0</v>
      </c>
      <c r="L264" s="36">
        <v>0</v>
      </c>
      <c r="M264" s="36">
        <v>0</v>
      </c>
      <c r="N264" s="36">
        <v>0</v>
      </c>
      <c r="O264" s="36">
        <v>0</v>
      </c>
      <c r="P264" s="36">
        <v>0</v>
      </c>
      <c r="Q264" s="36">
        <v>0</v>
      </c>
      <c r="R264" s="36">
        <v>0</v>
      </c>
      <c r="S264" s="36">
        <v>0</v>
      </c>
      <c r="T264" s="36">
        <v>0</v>
      </c>
      <c r="U264" s="36">
        <v>0</v>
      </c>
      <c r="V264" s="36">
        <v>0</v>
      </c>
      <c r="W264" s="36">
        <v>0</v>
      </c>
      <c r="X264" s="36">
        <v>0</v>
      </c>
      <c r="Y264" s="36">
        <v>0</v>
      </c>
      <c r="Z264" s="36">
        <v>0</v>
      </c>
      <c r="AA264" s="36">
        <v>1806</v>
      </c>
    </row>
    <row r="265" spans="1:27" x14ac:dyDescent="0.3">
      <c r="C265" t="s">
        <v>132</v>
      </c>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row>
    <row r="266" spans="1:27" x14ac:dyDescent="0.3">
      <c r="C266" t="s">
        <v>133</v>
      </c>
      <c r="D266" s="36"/>
      <c r="E266" s="36"/>
      <c r="F266" s="36"/>
      <c r="G266" s="36"/>
      <c r="H266" s="36"/>
      <c r="I266" s="36"/>
      <c r="J266" s="36"/>
      <c r="K266" s="36"/>
      <c r="L266" s="36"/>
      <c r="M266" s="36"/>
      <c r="N266" s="36"/>
      <c r="O266" s="36"/>
      <c r="P266" s="36"/>
      <c r="Q266" s="36"/>
      <c r="R266" s="36"/>
      <c r="S266" s="36"/>
      <c r="T266" s="36"/>
      <c r="U266" s="36"/>
      <c r="V266" s="36"/>
      <c r="W266" s="36"/>
      <c r="X266" s="36"/>
      <c r="Y266" s="36"/>
      <c r="Z266" s="36"/>
      <c r="AA266" s="36"/>
    </row>
    <row r="267" spans="1:27" x14ac:dyDescent="0.3">
      <c r="C267" t="s">
        <v>134</v>
      </c>
      <c r="D267" s="36"/>
      <c r="E267" s="36"/>
      <c r="F267" s="36"/>
      <c r="G267" s="36"/>
      <c r="H267" s="36"/>
      <c r="I267" s="36"/>
      <c r="J267" s="36"/>
      <c r="K267" s="36"/>
      <c r="L267" s="36"/>
      <c r="M267" s="36"/>
      <c r="N267" s="36"/>
      <c r="O267" s="36"/>
      <c r="P267" s="36"/>
      <c r="Q267" s="36"/>
      <c r="R267" s="36"/>
      <c r="S267" s="36"/>
      <c r="T267" s="36"/>
      <c r="U267" s="36"/>
      <c r="V267" s="36"/>
      <c r="W267" s="36"/>
      <c r="X267" s="36"/>
      <c r="Y267" s="36"/>
      <c r="Z267" s="36"/>
      <c r="AA267" s="36"/>
    </row>
    <row r="268" spans="1:27" x14ac:dyDescent="0.3">
      <c r="C268" t="s">
        <v>135</v>
      </c>
      <c r="D268" s="36"/>
      <c r="E268" s="36"/>
      <c r="F268" s="36"/>
      <c r="G268" s="36"/>
      <c r="H268" s="36"/>
      <c r="I268" s="36"/>
      <c r="J268" s="36"/>
      <c r="K268" s="36"/>
      <c r="L268" s="36"/>
      <c r="M268" s="36"/>
      <c r="N268" s="36"/>
      <c r="O268" s="36"/>
      <c r="P268" s="36"/>
      <c r="Q268" s="36"/>
      <c r="R268" s="36"/>
      <c r="S268" s="36"/>
      <c r="T268" s="36"/>
      <c r="U268" s="36"/>
      <c r="V268" s="36"/>
      <c r="W268" s="36"/>
      <c r="X268" s="36"/>
      <c r="Y268" s="36"/>
      <c r="Z268" s="36"/>
      <c r="AA268" s="36"/>
    </row>
    <row r="269" spans="1:27" x14ac:dyDescent="0.3">
      <c r="C269" t="s">
        <v>136</v>
      </c>
      <c r="D269" s="36">
        <v>0</v>
      </c>
      <c r="E269" s="36">
        <v>0</v>
      </c>
      <c r="F269" s="36">
        <v>0</v>
      </c>
      <c r="G269" s="36">
        <v>0</v>
      </c>
      <c r="H269" s="36">
        <v>0</v>
      </c>
      <c r="I269" s="36">
        <v>0</v>
      </c>
      <c r="J269" s="36">
        <v>0</v>
      </c>
      <c r="K269" s="36">
        <v>0</v>
      </c>
      <c r="L269" s="36">
        <v>0</v>
      </c>
      <c r="M269" s="36">
        <v>0</v>
      </c>
      <c r="N269" s="36">
        <v>0</v>
      </c>
      <c r="O269" s="36">
        <v>0</v>
      </c>
      <c r="P269" s="36">
        <v>0</v>
      </c>
      <c r="Q269" s="36">
        <v>0</v>
      </c>
      <c r="R269" s="36">
        <v>0</v>
      </c>
      <c r="S269" s="36">
        <v>0</v>
      </c>
      <c r="T269" s="36">
        <v>0</v>
      </c>
      <c r="U269" s="36">
        <v>0</v>
      </c>
      <c r="V269" s="36">
        <v>0</v>
      </c>
      <c r="W269" s="36">
        <v>0</v>
      </c>
      <c r="X269" s="36">
        <v>0</v>
      </c>
      <c r="Y269" s="36">
        <v>0</v>
      </c>
      <c r="Z269" s="36">
        <v>0</v>
      </c>
      <c r="AA269" s="36">
        <v>0</v>
      </c>
    </row>
    <row r="270" spans="1:27" x14ac:dyDescent="0.3">
      <c r="C270" t="s">
        <v>124</v>
      </c>
      <c r="D270" s="36"/>
      <c r="E270" s="36"/>
      <c r="F270" s="36"/>
      <c r="G270" s="36"/>
      <c r="H270" s="36"/>
      <c r="I270" s="36"/>
      <c r="J270" s="36"/>
      <c r="K270" s="36"/>
      <c r="L270" s="36"/>
      <c r="M270" s="36"/>
      <c r="N270" s="36"/>
      <c r="O270" s="36"/>
      <c r="P270" s="36"/>
      <c r="Q270" s="36"/>
      <c r="R270" s="36"/>
      <c r="S270" s="36"/>
      <c r="T270" s="36"/>
      <c r="U270" s="36"/>
      <c r="V270" s="36"/>
      <c r="W270" s="36"/>
      <c r="X270" s="36"/>
      <c r="Y270" s="36"/>
      <c r="Z270" s="36"/>
      <c r="AA270" s="36"/>
    </row>
    <row r="271" spans="1:27" x14ac:dyDescent="0.3">
      <c r="C271" t="s">
        <v>137</v>
      </c>
      <c r="D271" s="36"/>
      <c r="E271" s="36"/>
      <c r="F271" s="36"/>
      <c r="G271" s="36"/>
      <c r="H271" s="36"/>
      <c r="I271" s="36"/>
      <c r="J271" s="36"/>
      <c r="K271" s="36"/>
      <c r="L271" s="36"/>
      <c r="M271" s="36"/>
      <c r="N271" s="36"/>
      <c r="O271" s="36"/>
      <c r="P271" s="36"/>
      <c r="Q271" s="36"/>
      <c r="R271" s="36"/>
      <c r="S271" s="36"/>
      <c r="T271" s="36"/>
      <c r="U271" s="36"/>
      <c r="V271" s="36"/>
      <c r="W271" s="36"/>
      <c r="X271" s="36"/>
      <c r="Y271" s="36"/>
      <c r="Z271" s="36"/>
      <c r="AA271" s="36"/>
    </row>
    <row r="272" spans="1:27" x14ac:dyDescent="0.3">
      <c r="C272" t="s">
        <v>138</v>
      </c>
      <c r="D272" s="36"/>
      <c r="E272" s="36"/>
      <c r="F272" s="36"/>
      <c r="G272" s="36"/>
      <c r="H272" s="36"/>
      <c r="I272" s="36"/>
      <c r="J272" s="36"/>
      <c r="K272" s="36"/>
      <c r="L272" s="36"/>
      <c r="M272" s="36"/>
      <c r="N272" s="36"/>
      <c r="O272" s="36"/>
      <c r="P272" s="36"/>
      <c r="Q272" s="36"/>
      <c r="R272" s="36"/>
      <c r="S272" s="36"/>
      <c r="T272" s="36"/>
      <c r="U272" s="36"/>
      <c r="V272" s="36"/>
      <c r="W272" s="36"/>
      <c r="X272" s="36"/>
      <c r="Y272" s="36"/>
      <c r="Z272" s="36"/>
      <c r="AA272" s="36"/>
    </row>
    <row r="273" spans="2:27" x14ac:dyDescent="0.3">
      <c r="C273" t="s">
        <v>139</v>
      </c>
      <c r="D273" s="36"/>
      <c r="E273" s="36"/>
      <c r="F273" s="36"/>
      <c r="G273" s="36"/>
      <c r="H273" s="36"/>
      <c r="I273" s="36"/>
      <c r="J273" s="36"/>
      <c r="K273" s="36"/>
      <c r="L273" s="36"/>
      <c r="M273" s="36"/>
      <c r="N273" s="36"/>
      <c r="O273" s="36"/>
      <c r="P273" s="36"/>
      <c r="Q273" s="36"/>
      <c r="R273" s="36"/>
      <c r="S273" s="36"/>
      <c r="T273" s="36"/>
      <c r="U273" s="36"/>
      <c r="V273" s="36"/>
      <c r="W273" s="36"/>
      <c r="X273" s="36"/>
      <c r="Y273" s="36"/>
      <c r="Z273" s="36"/>
      <c r="AA273" s="36"/>
    </row>
    <row r="274" spans="2:27" x14ac:dyDescent="0.3">
      <c r="C274" t="s">
        <v>140</v>
      </c>
      <c r="D274" s="36">
        <v>0</v>
      </c>
      <c r="E274" s="36">
        <v>0</v>
      </c>
      <c r="F274" s="36">
        <v>0</v>
      </c>
      <c r="G274" s="36">
        <v>0</v>
      </c>
      <c r="H274" s="36">
        <v>0</v>
      </c>
      <c r="I274" s="36">
        <v>0</v>
      </c>
      <c r="J274" s="36">
        <v>0</v>
      </c>
      <c r="K274" s="36">
        <v>0</v>
      </c>
      <c r="L274" s="36">
        <v>0</v>
      </c>
      <c r="M274" s="36">
        <v>0</v>
      </c>
      <c r="N274" s="36">
        <v>0</v>
      </c>
      <c r="O274" s="36">
        <v>0</v>
      </c>
      <c r="P274" s="36">
        <v>0</v>
      </c>
      <c r="Q274" s="36">
        <v>0</v>
      </c>
      <c r="R274" s="36">
        <v>0</v>
      </c>
      <c r="S274" s="36">
        <v>0</v>
      </c>
      <c r="T274" s="36">
        <v>0</v>
      </c>
      <c r="U274" s="36">
        <v>0</v>
      </c>
      <c r="V274" s="36">
        <v>0</v>
      </c>
      <c r="W274" s="36">
        <v>0</v>
      </c>
      <c r="X274" s="36">
        <v>0</v>
      </c>
      <c r="Y274" s="36">
        <v>0</v>
      </c>
      <c r="Z274" s="36">
        <v>0</v>
      </c>
      <c r="AA274" s="36">
        <v>-1806</v>
      </c>
    </row>
    <row r="275" spans="2:27" x14ac:dyDescent="0.3">
      <c r="C275" t="s">
        <v>141</v>
      </c>
      <c r="D275" s="36">
        <v>0</v>
      </c>
      <c r="E275" s="36">
        <v>0</v>
      </c>
      <c r="F275" s="36">
        <v>0</v>
      </c>
      <c r="G275" s="36">
        <v>0</v>
      </c>
      <c r="H275" s="36">
        <v>0</v>
      </c>
      <c r="I275" s="36">
        <v>0</v>
      </c>
      <c r="J275" s="36">
        <v>0</v>
      </c>
      <c r="K275" s="36">
        <v>0</v>
      </c>
      <c r="L275" s="36">
        <v>0</v>
      </c>
      <c r="M275" s="36">
        <v>0</v>
      </c>
      <c r="N275" s="36">
        <v>0</v>
      </c>
      <c r="O275" s="36">
        <v>0</v>
      </c>
      <c r="P275" s="36">
        <v>0</v>
      </c>
      <c r="Q275" s="36">
        <v>0</v>
      </c>
      <c r="R275" s="36">
        <v>0</v>
      </c>
      <c r="S275" s="36">
        <v>0</v>
      </c>
      <c r="T275" s="36">
        <v>0</v>
      </c>
      <c r="U275" s="36">
        <v>0</v>
      </c>
      <c r="V275" s="36">
        <v>0</v>
      </c>
      <c r="W275" s="36">
        <v>0</v>
      </c>
      <c r="X275" s="36">
        <v>0</v>
      </c>
      <c r="Y275" s="36">
        <v>0</v>
      </c>
      <c r="Z275" s="36">
        <v>0</v>
      </c>
      <c r="AA275" s="36">
        <v>0</v>
      </c>
    </row>
    <row r="276" spans="2:27" x14ac:dyDescent="0.3">
      <c r="B276" t="s">
        <v>177</v>
      </c>
      <c r="C276" t="s">
        <v>129</v>
      </c>
      <c r="D276" s="36">
        <v>14402</v>
      </c>
      <c r="E276" s="36"/>
      <c r="F276" s="36"/>
      <c r="G276" s="36"/>
      <c r="H276" s="36"/>
      <c r="I276" s="36"/>
      <c r="J276" s="36"/>
      <c r="K276" s="36"/>
      <c r="L276" s="36"/>
      <c r="M276" s="36"/>
      <c r="N276" s="36"/>
      <c r="O276" s="36"/>
      <c r="P276" s="36"/>
      <c r="Q276" s="36"/>
      <c r="R276" s="36"/>
      <c r="S276" s="36"/>
      <c r="T276" s="36"/>
      <c r="U276" s="36"/>
      <c r="V276" s="36"/>
      <c r="W276" s="36"/>
      <c r="X276" s="36"/>
      <c r="Y276" s="36"/>
      <c r="Z276" s="36"/>
      <c r="AA276" s="36"/>
    </row>
    <row r="277" spans="2:27" x14ac:dyDescent="0.3">
      <c r="C277" t="s">
        <v>131</v>
      </c>
      <c r="D277" s="36">
        <v>19449</v>
      </c>
      <c r="E277" s="36">
        <v>5339</v>
      </c>
      <c r="F277" s="36">
        <v>3734</v>
      </c>
      <c r="G277" s="36">
        <v>4074</v>
      </c>
      <c r="H277" s="36">
        <v>2108</v>
      </c>
      <c r="I277" s="36">
        <v>7772</v>
      </c>
      <c r="J277" s="36">
        <v>2073</v>
      </c>
      <c r="K277" s="36">
        <v>2017</v>
      </c>
      <c r="L277" s="36">
        <v>1782</v>
      </c>
      <c r="M277" s="36">
        <v>11719</v>
      </c>
      <c r="N277" s="36">
        <v>1599</v>
      </c>
      <c r="O277" s="36">
        <v>1550</v>
      </c>
      <c r="P277" s="36">
        <v>1640</v>
      </c>
      <c r="Q277" s="36">
        <v>1726</v>
      </c>
      <c r="R277" s="36">
        <v>1648</v>
      </c>
      <c r="S277" s="36">
        <v>1647</v>
      </c>
      <c r="T277" s="36">
        <v>1660</v>
      </c>
      <c r="U277" s="36">
        <v>1540</v>
      </c>
      <c r="V277" s="36">
        <v>1392</v>
      </c>
      <c r="W277" s="36">
        <v>1391</v>
      </c>
      <c r="X277" s="36">
        <v>1309</v>
      </c>
      <c r="Y277" s="36">
        <v>393</v>
      </c>
      <c r="Z277" s="36">
        <v>38</v>
      </c>
      <c r="AA277" s="36">
        <v>38</v>
      </c>
    </row>
    <row r="278" spans="2:27" x14ac:dyDescent="0.3">
      <c r="C278" t="s">
        <v>132</v>
      </c>
      <c r="D278" s="36">
        <v>27360</v>
      </c>
      <c r="E278" s="36"/>
      <c r="F278" s="36"/>
      <c r="G278" s="36"/>
      <c r="H278" s="36"/>
      <c r="I278" s="36"/>
      <c r="J278" s="36"/>
      <c r="K278" s="36"/>
      <c r="L278" s="36"/>
      <c r="M278" s="36"/>
      <c r="N278" s="36"/>
      <c r="O278" s="36"/>
      <c r="P278" s="36"/>
      <c r="Q278" s="36"/>
      <c r="R278" s="36"/>
      <c r="S278" s="36"/>
      <c r="T278" s="36"/>
      <c r="U278" s="36"/>
      <c r="V278" s="36"/>
      <c r="W278" s="36"/>
      <c r="X278" s="36"/>
      <c r="Y278" s="36"/>
      <c r="Z278" s="36"/>
      <c r="AA278" s="36"/>
    </row>
    <row r="279" spans="2:27" x14ac:dyDescent="0.3">
      <c r="C279" t="s">
        <v>133</v>
      </c>
      <c r="D279" s="36">
        <v>0</v>
      </c>
      <c r="E279" s="36"/>
      <c r="F279" s="36"/>
      <c r="G279" s="36"/>
      <c r="H279" s="36"/>
      <c r="I279" s="36"/>
      <c r="J279" s="36"/>
      <c r="K279" s="36"/>
      <c r="L279" s="36"/>
      <c r="M279" s="36"/>
      <c r="N279" s="36"/>
      <c r="O279" s="36"/>
      <c r="P279" s="36"/>
      <c r="Q279" s="36"/>
      <c r="R279" s="36"/>
      <c r="S279" s="36"/>
      <c r="T279" s="36"/>
      <c r="U279" s="36"/>
      <c r="V279" s="36"/>
      <c r="W279" s="36"/>
      <c r="X279" s="36"/>
      <c r="Y279" s="36"/>
      <c r="Z279" s="36"/>
      <c r="AA279" s="36"/>
    </row>
    <row r="280" spans="2:27" x14ac:dyDescent="0.3">
      <c r="C280" t="s">
        <v>134</v>
      </c>
      <c r="D280" s="36">
        <v>0</v>
      </c>
      <c r="E280" s="36"/>
      <c r="F280" s="36"/>
      <c r="G280" s="36"/>
      <c r="H280" s="36"/>
      <c r="I280" s="36"/>
      <c r="J280" s="36"/>
      <c r="K280" s="36"/>
      <c r="L280" s="36"/>
      <c r="M280" s="36"/>
      <c r="N280" s="36"/>
      <c r="O280" s="36"/>
      <c r="P280" s="36"/>
      <c r="Q280" s="36"/>
      <c r="R280" s="36"/>
      <c r="S280" s="36"/>
      <c r="T280" s="36"/>
      <c r="U280" s="36"/>
      <c r="V280" s="36"/>
      <c r="W280" s="36"/>
      <c r="X280" s="36"/>
      <c r="Y280" s="36"/>
      <c r="Z280" s="36"/>
      <c r="AA280" s="36"/>
    </row>
    <row r="281" spans="2:27" x14ac:dyDescent="0.3">
      <c r="C281" t="s">
        <v>135</v>
      </c>
      <c r="D281" s="36"/>
      <c r="E281" s="36"/>
      <c r="F281" s="36"/>
      <c r="G281" s="36"/>
      <c r="H281" s="36"/>
      <c r="I281" s="36"/>
      <c r="J281" s="36"/>
      <c r="K281" s="36"/>
      <c r="L281" s="36"/>
      <c r="M281" s="36"/>
      <c r="N281" s="36"/>
      <c r="O281" s="36"/>
      <c r="P281" s="36"/>
      <c r="Q281" s="36"/>
      <c r="R281" s="36"/>
      <c r="S281" s="36"/>
      <c r="T281" s="36"/>
      <c r="U281" s="36"/>
      <c r="V281" s="36"/>
      <c r="W281" s="36"/>
      <c r="X281" s="36"/>
      <c r="Y281" s="36"/>
      <c r="Z281" s="36"/>
      <c r="AA281" s="36"/>
    </row>
    <row r="282" spans="2:27" x14ac:dyDescent="0.3">
      <c r="C282" t="s">
        <v>136</v>
      </c>
      <c r="D282" s="36">
        <v>10080</v>
      </c>
      <c r="E282" s="36">
        <v>0</v>
      </c>
      <c r="F282" s="36">
        <v>0</v>
      </c>
      <c r="G282" s="36">
        <v>0</v>
      </c>
      <c r="H282" s="36">
        <v>10080</v>
      </c>
      <c r="I282" s="36">
        <v>10080</v>
      </c>
      <c r="J282" s="36">
        <v>0</v>
      </c>
      <c r="K282" s="36">
        <v>10080</v>
      </c>
      <c r="L282" s="36">
        <v>10080</v>
      </c>
      <c r="M282" s="36">
        <v>0</v>
      </c>
      <c r="N282" s="36">
        <v>0</v>
      </c>
      <c r="O282" s="36">
        <v>0</v>
      </c>
      <c r="P282" s="36">
        <v>0</v>
      </c>
      <c r="Q282" s="36">
        <v>9360</v>
      </c>
      <c r="R282" s="36">
        <v>0</v>
      </c>
      <c r="S282" s="36">
        <v>0</v>
      </c>
      <c r="T282" s="36">
        <v>0</v>
      </c>
      <c r="U282" s="36">
        <v>0</v>
      </c>
      <c r="V282" s="36">
        <v>0</v>
      </c>
      <c r="W282" s="36">
        <v>0</v>
      </c>
      <c r="X282" s="36">
        <v>0</v>
      </c>
      <c r="Y282" s="36">
        <v>0</v>
      </c>
      <c r="Z282" s="36">
        <v>0</v>
      </c>
      <c r="AA282" s="36">
        <v>0</v>
      </c>
    </row>
    <row r="283" spans="2:27" x14ac:dyDescent="0.3">
      <c r="C283" t="s">
        <v>124</v>
      </c>
      <c r="D283" s="36">
        <v>10080</v>
      </c>
      <c r="E283" s="36"/>
      <c r="F283" s="36"/>
      <c r="G283" s="36"/>
      <c r="H283" s="36">
        <v>10080</v>
      </c>
      <c r="I283" s="36">
        <v>10080</v>
      </c>
      <c r="J283" s="36"/>
      <c r="K283" s="36">
        <v>10080</v>
      </c>
      <c r="L283" s="36">
        <v>10080</v>
      </c>
      <c r="M283" s="36"/>
      <c r="N283" s="36"/>
      <c r="O283" s="36"/>
      <c r="P283" s="36"/>
      <c r="Q283" s="36">
        <v>9360</v>
      </c>
      <c r="R283" s="36"/>
      <c r="S283" s="36"/>
      <c r="T283" s="36"/>
      <c r="U283" s="36"/>
      <c r="V283" s="36"/>
      <c r="W283" s="36"/>
      <c r="X283" s="36"/>
      <c r="Y283" s="36"/>
      <c r="Z283" s="36"/>
      <c r="AA283" s="36"/>
    </row>
    <row r="284" spans="2:27" x14ac:dyDescent="0.3">
      <c r="C284" t="s">
        <v>137</v>
      </c>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row>
    <row r="285" spans="2:27" x14ac:dyDescent="0.3">
      <c r="C285" t="s">
        <v>138</v>
      </c>
      <c r="D285" s="36"/>
      <c r="E285" s="36"/>
      <c r="F285" s="36"/>
      <c r="G285" s="36"/>
      <c r="H285" s="36"/>
      <c r="I285" s="36"/>
      <c r="J285" s="36"/>
      <c r="K285" s="36"/>
      <c r="L285" s="36"/>
      <c r="M285" s="36"/>
      <c r="N285" s="36"/>
      <c r="O285" s="36"/>
      <c r="P285" s="36"/>
      <c r="Q285" s="36"/>
      <c r="R285" s="36"/>
      <c r="S285" s="36"/>
      <c r="T285" s="36"/>
      <c r="U285" s="36"/>
      <c r="V285" s="36"/>
      <c r="W285" s="36"/>
      <c r="X285" s="36"/>
      <c r="Y285" s="36"/>
      <c r="Z285" s="36"/>
      <c r="AA285" s="36"/>
    </row>
    <row r="286" spans="2:27" x14ac:dyDescent="0.3">
      <c r="C286" t="s">
        <v>139</v>
      </c>
      <c r="D286" s="36">
        <v>10080</v>
      </c>
      <c r="E286" s="36"/>
      <c r="F286" s="36"/>
      <c r="G286" s="36"/>
      <c r="H286" s="36">
        <v>10080</v>
      </c>
      <c r="I286" s="36">
        <v>10080</v>
      </c>
      <c r="J286" s="36"/>
      <c r="K286" s="36">
        <v>10080</v>
      </c>
      <c r="L286" s="36">
        <v>10080</v>
      </c>
      <c r="M286" s="36"/>
      <c r="N286" s="36"/>
      <c r="O286" s="36"/>
      <c r="P286" s="36"/>
      <c r="Q286" s="36">
        <v>9360</v>
      </c>
      <c r="R286" s="36"/>
      <c r="S286" s="36"/>
      <c r="T286" s="36"/>
      <c r="U286" s="36"/>
      <c r="V286" s="36"/>
      <c r="W286" s="36"/>
      <c r="X286" s="36"/>
      <c r="Y286" s="36"/>
      <c r="Z286" s="36"/>
      <c r="AA286" s="36"/>
    </row>
    <row r="287" spans="2:27" x14ac:dyDescent="0.3">
      <c r="C287" t="s">
        <v>140</v>
      </c>
      <c r="D287" s="36">
        <v>3589</v>
      </c>
      <c r="E287" s="36">
        <v>-1750</v>
      </c>
      <c r="F287" s="36">
        <v>-5484</v>
      </c>
      <c r="G287" s="36">
        <v>-9558</v>
      </c>
      <c r="H287" s="36">
        <v>-1586</v>
      </c>
      <c r="I287" s="36">
        <v>722</v>
      </c>
      <c r="J287" s="36">
        <v>-1351</v>
      </c>
      <c r="K287" s="36">
        <v>6712</v>
      </c>
      <c r="L287" s="36">
        <v>15010</v>
      </c>
      <c r="M287" s="36">
        <v>3291</v>
      </c>
      <c r="N287" s="36">
        <v>1692</v>
      </c>
      <c r="O287" s="36">
        <v>142</v>
      </c>
      <c r="P287" s="36">
        <v>-1498</v>
      </c>
      <c r="Q287" s="36">
        <v>6136</v>
      </c>
      <c r="R287" s="36">
        <v>4488</v>
      </c>
      <c r="S287" s="36">
        <v>2841</v>
      </c>
      <c r="T287" s="36">
        <v>1181</v>
      </c>
      <c r="U287" s="36">
        <v>-359</v>
      </c>
      <c r="V287" s="36">
        <v>-1751</v>
      </c>
      <c r="W287" s="36">
        <v>-3142</v>
      </c>
      <c r="X287" s="36">
        <v>-4451</v>
      </c>
      <c r="Y287" s="36">
        <v>-4844</v>
      </c>
      <c r="Z287" s="36">
        <v>-4882</v>
      </c>
      <c r="AA287" s="36">
        <v>-4920</v>
      </c>
    </row>
    <row r="288" spans="2:27" x14ac:dyDescent="0.3">
      <c r="C288" t="s">
        <v>141</v>
      </c>
      <c r="D288" s="36">
        <v>0</v>
      </c>
      <c r="E288" s="36">
        <v>0</v>
      </c>
      <c r="F288" s="36">
        <v>0</v>
      </c>
      <c r="G288" s="36">
        <v>0</v>
      </c>
      <c r="H288" s="36">
        <v>0</v>
      </c>
      <c r="I288" s="36">
        <v>0</v>
      </c>
      <c r="J288" s="36">
        <v>0</v>
      </c>
      <c r="K288" s="36">
        <v>0</v>
      </c>
      <c r="L288" s="36">
        <v>0</v>
      </c>
      <c r="M288" s="36">
        <v>0</v>
      </c>
      <c r="N288" s="36">
        <v>0</v>
      </c>
      <c r="O288" s="36">
        <v>0</v>
      </c>
      <c r="P288" s="36">
        <v>0</v>
      </c>
      <c r="Q288" s="36">
        <v>0</v>
      </c>
      <c r="R288" s="36">
        <v>0</v>
      </c>
      <c r="S288" s="36">
        <v>0</v>
      </c>
      <c r="T288" s="36">
        <v>0</v>
      </c>
      <c r="U288" s="36">
        <v>0</v>
      </c>
      <c r="V288" s="36">
        <v>0</v>
      </c>
      <c r="W288" s="36">
        <v>0</v>
      </c>
      <c r="X288" s="36">
        <v>0</v>
      </c>
      <c r="Y288" s="36">
        <v>0</v>
      </c>
      <c r="Z288" s="36">
        <v>0</v>
      </c>
      <c r="AA288" s="36">
        <v>0</v>
      </c>
    </row>
    <row r="289" spans="1:27" x14ac:dyDescent="0.3">
      <c r="A289" t="s">
        <v>190</v>
      </c>
      <c r="B289" t="s">
        <v>177</v>
      </c>
      <c r="C289" t="s">
        <v>129</v>
      </c>
      <c r="D289" s="36">
        <v>2160</v>
      </c>
      <c r="E289" s="36"/>
      <c r="F289" s="36"/>
      <c r="G289" s="36"/>
      <c r="H289" s="36"/>
      <c r="I289" s="36"/>
      <c r="J289" s="36"/>
      <c r="K289" s="36"/>
      <c r="L289" s="36"/>
      <c r="M289" s="36"/>
      <c r="N289" s="36"/>
      <c r="O289" s="36"/>
      <c r="P289" s="36"/>
      <c r="Q289" s="36"/>
      <c r="R289" s="36"/>
      <c r="S289" s="36"/>
      <c r="T289" s="36"/>
      <c r="U289" s="36"/>
      <c r="V289" s="36"/>
      <c r="W289" s="36"/>
      <c r="X289" s="36"/>
      <c r="Y289" s="36"/>
      <c r="Z289" s="36"/>
      <c r="AA289" s="36"/>
    </row>
    <row r="290" spans="1:27" x14ac:dyDescent="0.3">
      <c r="C290" t="s">
        <v>131</v>
      </c>
      <c r="D290" s="36">
        <v>1825</v>
      </c>
      <c r="E290" s="36">
        <v>1721</v>
      </c>
      <c r="F290" s="36">
        <v>1696</v>
      </c>
      <c r="G290" s="36">
        <v>1690</v>
      </c>
      <c r="H290" s="36">
        <v>999</v>
      </c>
      <c r="I290" s="36">
        <v>1117</v>
      </c>
      <c r="J290" s="36">
        <v>791</v>
      </c>
      <c r="K290" s="36">
        <v>771</v>
      </c>
      <c r="L290" s="36">
        <v>1114</v>
      </c>
      <c r="M290" s="36">
        <v>1373</v>
      </c>
      <c r="N290" s="36">
        <v>1368</v>
      </c>
      <c r="O290" s="36">
        <v>1363</v>
      </c>
      <c r="P290" s="36">
        <v>1245</v>
      </c>
      <c r="Q290" s="36">
        <v>546</v>
      </c>
      <c r="R290" s="36">
        <v>545</v>
      </c>
      <c r="S290" s="36">
        <v>545</v>
      </c>
      <c r="T290" s="36">
        <v>547</v>
      </c>
      <c r="U290" s="36">
        <v>750</v>
      </c>
      <c r="V290" s="36">
        <v>829</v>
      </c>
      <c r="W290" s="36">
        <v>834</v>
      </c>
      <c r="X290" s="36">
        <v>837</v>
      </c>
      <c r="Y290" s="36">
        <v>665</v>
      </c>
      <c r="Z290" s="36">
        <v>594</v>
      </c>
      <c r="AA290" s="36">
        <v>593</v>
      </c>
    </row>
    <row r="291" spans="1:27" x14ac:dyDescent="0.3">
      <c r="C291" t="s">
        <v>132</v>
      </c>
      <c r="D291" s="36">
        <v>7584</v>
      </c>
      <c r="E291" s="36"/>
      <c r="F291" s="36"/>
      <c r="G291" s="36"/>
      <c r="H291" s="36"/>
      <c r="I291" s="36"/>
      <c r="J291" s="36"/>
      <c r="K291" s="36"/>
      <c r="L291" s="36"/>
      <c r="M291" s="36"/>
      <c r="N291" s="36"/>
      <c r="O291" s="36"/>
      <c r="P291" s="36"/>
      <c r="Q291" s="36"/>
      <c r="R291" s="36"/>
      <c r="S291" s="36"/>
      <c r="T291" s="36"/>
      <c r="U291" s="36"/>
      <c r="V291" s="36"/>
      <c r="W291" s="36"/>
      <c r="X291" s="36"/>
      <c r="Y291" s="36"/>
      <c r="Z291" s="36"/>
      <c r="AA291" s="36"/>
    </row>
    <row r="292" spans="1:27" x14ac:dyDescent="0.3">
      <c r="C292" t="s">
        <v>133</v>
      </c>
      <c r="D292" s="36">
        <v>0</v>
      </c>
      <c r="E292" s="36"/>
      <c r="F292" s="36"/>
      <c r="G292" s="36"/>
      <c r="H292" s="36"/>
      <c r="I292" s="36"/>
      <c r="J292" s="36"/>
      <c r="K292" s="36"/>
      <c r="L292" s="36"/>
      <c r="M292" s="36"/>
      <c r="N292" s="36"/>
      <c r="O292" s="36"/>
      <c r="P292" s="36"/>
      <c r="Q292" s="36"/>
      <c r="R292" s="36"/>
      <c r="S292" s="36"/>
      <c r="T292" s="36"/>
      <c r="U292" s="36"/>
      <c r="V292" s="36"/>
      <c r="W292" s="36"/>
      <c r="X292" s="36"/>
      <c r="Y292" s="36"/>
      <c r="Z292" s="36"/>
      <c r="AA292" s="36"/>
    </row>
    <row r="293" spans="1:27" x14ac:dyDescent="0.3">
      <c r="C293" t="s">
        <v>134</v>
      </c>
      <c r="D293" s="36">
        <v>1</v>
      </c>
      <c r="E293" s="36"/>
      <c r="F293" s="36"/>
      <c r="G293" s="36"/>
      <c r="H293" s="36"/>
      <c r="I293" s="36"/>
      <c r="J293" s="36"/>
      <c r="K293" s="36"/>
      <c r="L293" s="36"/>
      <c r="M293" s="36"/>
      <c r="N293" s="36"/>
      <c r="O293" s="36"/>
      <c r="P293" s="36"/>
      <c r="Q293" s="36"/>
      <c r="R293" s="36"/>
      <c r="S293" s="36"/>
      <c r="T293" s="36"/>
      <c r="U293" s="36"/>
      <c r="V293" s="36"/>
      <c r="W293" s="36"/>
      <c r="X293" s="36"/>
      <c r="Y293" s="36"/>
      <c r="Z293" s="36"/>
      <c r="AA293" s="36"/>
    </row>
    <row r="294" spans="1:27" x14ac:dyDescent="0.3">
      <c r="C294" t="s">
        <v>135</v>
      </c>
      <c r="D294" s="36"/>
      <c r="E294" s="36"/>
      <c r="F294" s="36"/>
      <c r="G294" s="36"/>
      <c r="H294" s="36"/>
      <c r="I294" s="36"/>
      <c r="J294" s="36"/>
      <c r="K294" s="36"/>
      <c r="L294" s="36"/>
      <c r="M294" s="36"/>
      <c r="N294" s="36"/>
      <c r="O294" s="36"/>
      <c r="P294" s="36"/>
      <c r="Q294" s="36"/>
      <c r="R294" s="36"/>
      <c r="S294" s="36"/>
      <c r="T294" s="36"/>
      <c r="U294" s="36"/>
      <c r="V294" s="36"/>
      <c r="W294" s="36"/>
      <c r="X294" s="36"/>
      <c r="Y294" s="36"/>
      <c r="Z294" s="36"/>
      <c r="AA294" s="36"/>
    </row>
    <row r="295" spans="1:27" x14ac:dyDescent="0.3">
      <c r="C295" t="s">
        <v>136</v>
      </c>
      <c r="D295" s="36">
        <v>0</v>
      </c>
      <c r="E295" s="36">
        <v>0</v>
      </c>
      <c r="F295" s="36">
        <v>0</v>
      </c>
      <c r="G295" s="36">
        <v>0</v>
      </c>
      <c r="H295" s="36">
        <v>4992</v>
      </c>
      <c r="I295" s="36">
        <v>0</v>
      </c>
      <c r="J295" s="36">
        <v>0</v>
      </c>
      <c r="K295" s="36">
        <v>0</v>
      </c>
      <c r="L295" s="36">
        <v>7680</v>
      </c>
      <c r="M295" s="36">
        <v>0</v>
      </c>
      <c r="N295" s="36">
        <v>0</v>
      </c>
      <c r="O295" s="36">
        <v>0</v>
      </c>
      <c r="P295" s="36">
        <v>0</v>
      </c>
      <c r="Q295" s="36">
        <v>0</v>
      </c>
      <c r="R295" s="36">
        <v>44160</v>
      </c>
      <c r="S295" s="36">
        <v>0</v>
      </c>
      <c r="T295" s="36">
        <v>0</v>
      </c>
      <c r="U295" s="36">
        <v>0</v>
      </c>
      <c r="V295" s="36">
        <v>0</v>
      </c>
      <c r="W295" s="36">
        <v>0</v>
      </c>
      <c r="X295" s="36">
        <v>0</v>
      </c>
      <c r="Y295" s="36">
        <v>0</v>
      </c>
      <c r="Z295" s="36">
        <v>0</v>
      </c>
      <c r="AA295" s="36">
        <v>0</v>
      </c>
    </row>
    <row r="296" spans="1:27" x14ac:dyDescent="0.3">
      <c r="C296" t="s">
        <v>124</v>
      </c>
      <c r="D296" s="36"/>
      <c r="E296" s="36"/>
      <c r="F296" s="36"/>
      <c r="G296" s="36"/>
      <c r="H296" s="36">
        <v>4992</v>
      </c>
      <c r="I296" s="36"/>
      <c r="J296" s="36"/>
      <c r="K296" s="36"/>
      <c r="L296" s="36">
        <v>7680</v>
      </c>
      <c r="M296" s="36"/>
      <c r="N296" s="36"/>
      <c r="O296" s="36"/>
      <c r="P296" s="36"/>
      <c r="Q296" s="36"/>
      <c r="R296" s="36">
        <v>44160</v>
      </c>
      <c r="S296" s="36"/>
      <c r="T296" s="36"/>
      <c r="U296" s="36"/>
      <c r="V296" s="36"/>
      <c r="W296" s="36"/>
      <c r="X296" s="36"/>
      <c r="Y296" s="36"/>
      <c r="Z296" s="36"/>
      <c r="AA296" s="36"/>
    </row>
    <row r="297" spans="1:27" x14ac:dyDescent="0.3">
      <c r="C297" t="s">
        <v>137</v>
      </c>
      <c r="D297" s="36"/>
      <c r="E297" s="36"/>
      <c r="F297" s="36"/>
      <c r="G297" s="36"/>
      <c r="H297" s="36"/>
      <c r="I297" s="36"/>
      <c r="J297" s="36"/>
      <c r="K297" s="36"/>
      <c r="L297" s="36"/>
      <c r="M297" s="36"/>
      <c r="N297" s="36"/>
      <c r="O297" s="36"/>
      <c r="P297" s="36"/>
      <c r="Q297" s="36"/>
      <c r="R297" s="36"/>
      <c r="S297" s="36"/>
      <c r="T297" s="36"/>
      <c r="U297" s="36"/>
      <c r="V297" s="36"/>
      <c r="W297" s="36"/>
      <c r="X297" s="36"/>
      <c r="Y297" s="36"/>
      <c r="Z297" s="36"/>
      <c r="AA297" s="36"/>
    </row>
    <row r="298" spans="1:27" x14ac:dyDescent="0.3">
      <c r="C298" t="s">
        <v>138</v>
      </c>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row>
    <row r="299" spans="1:27" x14ac:dyDescent="0.3">
      <c r="C299" t="s">
        <v>139</v>
      </c>
      <c r="D299" s="36"/>
      <c r="E299" s="36"/>
      <c r="F299" s="36"/>
      <c r="G299" s="36"/>
      <c r="H299" s="36">
        <v>4992</v>
      </c>
      <c r="I299" s="36"/>
      <c r="J299" s="36"/>
      <c r="K299" s="36"/>
      <c r="L299" s="36">
        <v>7680</v>
      </c>
      <c r="M299" s="36"/>
      <c r="N299" s="36"/>
      <c r="O299" s="36"/>
      <c r="P299" s="36"/>
      <c r="Q299" s="36"/>
      <c r="R299" s="36">
        <v>44160</v>
      </c>
      <c r="S299" s="36"/>
      <c r="T299" s="36"/>
      <c r="U299" s="36"/>
      <c r="V299" s="36"/>
      <c r="W299" s="36"/>
      <c r="X299" s="36"/>
      <c r="Y299" s="36"/>
      <c r="Z299" s="36"/>
      <c r="AA299" s="36"/>
    </row>
    <row r="300" spans="1:27" x14ac:dyDescent="0.3">
      <c r="C300" t="s">
        <v>140</v>
      </c>
      <c r="D300" s="36">
        <v>3600</v>
      </c>
      <c r="E300" s="36">
        <v>1879</v>
      </c>
      <c r="F300" s="36">
        <v>183</v>
      </c>
      <c r="G300" s="36">
        <v>-1507</v>
      </c>
      <c r="H300" s="36">
        <v>2486</v>
      </c>
      <c r="I300" s="36">
        <v>1369</v>
      </c>
      <c r="J300" s="36">
        <v>578</v>
      </c>
      <c r="K300" s="36">
        <v>-193</v>
      </c>
      <c r="L300" s="36">
        <v>6373</v>
      </c>
      <c r="M300" s="36">
        <v>5000</v>
      </c>
      <c r="N300" s="36">
        <v>3632</v>
      </c>
      <c r="O300" s="36">
        <v>2269</v>
      </c>
      <c r="P300" s="36">
        <v>1024</v>
      </c>
      <c r="Q300" s="36">
        <v>478</v>
      </c>
      <c r="R300" s="36">
        <v>44093</v>
      </c>
      <c r="S300" s="36">
        <v>43548</v>
      </c>
      <c r="T300" s="36">
        <v>43001</v>
      </c>
      <c r="U300" s="36">
        <v>42251</v>
      </c>
      <c r="V300" s="36">
        <v>41422</v>
      </c>
      <c r="W300" s="36">
        <v>40588</v>
      </c>
      <c r="X300" s="36">
        <v>39751</v>
      </c>
      <c r="Y300" s="36">
        <v>39086</v>
      </c>
      <c r="Z300" s="36">
        <v>38492</v>
      </c>
      <c r="AA300" s="36">
        <v>37899</v>
      </c>
    </row>
    <row r="301" spans="1:27" x14ac:dyDescent="0.3">
      <c r="C301" t="s">
        <v>141</v>
      </c>
      <c r="D301" s="36">
        <v>0</v>
      </c>
      <c r="E301" s="36">
        <v>0</v>
      </c>
      <c r="F301" s="36">
        <v>0</v>
      </c>
      <c r="G301" s="36">
        <v>0</v>
      </c>
      <c r="H301" s="36">
        <v>0</v>
      </c>
      <c r="I301" s="36">
        <v>0</v>
      </c>
      <c r="J301" s="36">
        <v>0</v>
      </c>
      <c r="K301" s="36">
        <v>0</v>
      </c>
      <c r="L301" s="36">
        <v>0</v>
      </c>
      <c r="M301" s="36">
        <v>0</v>
      </c>
      <c r="N301" s="36">
        <v>0</v>
      </c>
      <c r="O301" s="36">
        <v>0</v>
      </c>
      <c r="P301" s="36">
        <v>0</v>
      </c>
      <c r="Q301" s="36">
        <v>0</v>
      </c>
      <c r="R301" s="36">
        <v>0</v>
      </c>
      <c r="S301" s="36">
        <v>0</v>
      </c>
      <c r="T301" s="36">
        <v>0</v>
      </c>
      <c r="U301" s="36">
        <v>0</v>
      </c>
      <c r="V301" s="36">
        <v>0</v>
      </c>
      <c r="W301" s="36">
        <v>0</v>
      </c>
      <c r="X301" s="36">
        <v>0</v>
      </c>
      <c r="Y301" s="36">
        <v>0</v>
      </c>
      <c r="Z301" s="36">
        <v>0</v>
      </c>
      <c r="AA301" s="36">
        <v>0</v>
      </c>
    </row>
    <row r="302" spans="1:27" x14ac:dyDescent="0.3">
      <c r="A302" t="s">
        <v>288</v>
      </c>
      <c r="B302" t="s">
        <v>195</v>
      </c>
      <c r="C302" t="s">
        <v>129</v>
      </c>
      <c r="D302" s="36">
        <v>1400</v>
      </c>
      <c r="E302" s="36"/>
      <c r="F302" s="36"/>
      <c r="G302" s="36"/>
      <c r="H302" s="36"/>
      <c r="I302" s="36"/>
      <c r="J302" s="36"/>
      <c r="K302" s="36"/>
      <c r="L302" s="36"/>
      <c r="M302" s="36"/>
      <c r="N302" s="36"/>
      <c r="O302" s="36"/>
      <c r="P302" s="36"/>
      <c r="Q302" s="36"/>
      <c r="R302" s="36"/>
      <c r="S302" s="36"/>
      <c r="T302" s="36"/>
      <c r="U302" s="36"/>
      <c r="V302" s="36"/>
      <c r="W302" s="36"/>
      <c r="X302" s="36"/>
      <c r="Y302" s="36"/>
      <c r="Z302" s="36"/>
      <c r="AA302" s="36"/>
    </row>
    <row r="303" spans="1:27" x14ac:dyDescent="0.3">
      <c r="C303" t="s">
        <v>131</v>
      </c>
      <c r="D303" s="36">
        <v>181</v>
      </c>
      <c r="E303" s="36">
        <v>156</v>
      </c>
      <c r="F303" s="36">
        <v>148</v>
      </c>
      <c r="G303" s="36">
        <v>151</v>
      </c>
      <c r="H303" s="36">
        <v>145</v>
      </c>
      <c r="I303" s="36">
        <v>146</v>
      </c>
      <c r="J303" s="36">
        <v>145</v>
      </c>
      <c r="K303" s="36">
        <v>145</v>
      </c>
      <c r="L303" s="36">
        <v>134</v>
      </c>
      <c r="M303" s="36">
        <v>128</v>
      </c>
      <c r="N303" s="36">
        <v>125</v>
      </c>
      <c r="O303" s="36">
        <v>125</v>
      </c>
      <c r="P303" s="36">
        <v>120</v>
      </c>
      <c r="Q303" s="36">
        <v>88</v>
      </c>
      <c r="R303" s="36">
        <v>87</v>
      </c>
      <c r="S303" s="36">
        <v>87</v>
      </c>
      <c r="T303" s="36">
        <v>86</v>
      </c>
      <c r="U303" s="36">
        <v>92</v>
      </c>
      <c r="V303" s="36">
        <v>99</v>
      </c>
      <c r="W303" s="36">
        <v>99</v>
      </c>
      <c r="X303" s="36">
        <v>96</v>
      </c>
      <c r="Y303" s="36">
        <v>66</v>
      </c>
      <c r="Z303" s="36">
        <v>54</v>
      </c>
      <c r="AA303" s="36">
        <v>55</v>
      </c>
    </row>
    <row r="304" spans="1:27" x14ac:dyDescent="0.3">
      <c r="C304" t="s">
        <v>132</v>
      </c>
      <c r="D304" s="36"/>
      <c r="E304" s="36"/>
      <c r="F304" s="36"/>
      <c r="G304" s="36"/>
      <c r="H304" s="36"/>
      <c r="I304" s="36"/>
      <c r="J304" s="36"/>
      <c r="K304" s="36"/>
      <c r="L304" s="36"/>
      <c r="M304" s="36"/>
      <c r="N304" s="36"/>
      <c r="O304" s="36"/>
      <c r="P304" s="36"/>
      <c r="Q304" s="36"/>
      <c r="R304" s="36"/>
      <c r="S304" s="36"/>
      <c r="T304" s="36"/>
      <c r="U304" s="36"/>
      <c r="V304" s="36"/>
      <c r="W304" s="36"/>
      <c r="X304" s="36"/>
      <c r="Y304" s="36"/>
      <c r="Z304" s="36"/>
      <c r="AA304" s="36"/>
    </row>
    <row r="305" spans="2:27" x14ac:dyDescent="0.3">
      <c r="C305" t="s">
        <v>133</v>
      </c>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row>
    <row r="306" spans="2:27" x14ac:dyDescent="0.3">
      <c r="C306" t="s">
        <v>134</v>
      </c>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row>
    <row r="307" spans="2:27" x14ac:dyDescent="0.3">
      <c r="C307" t="s">
        <v>135</v>
      </c>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row>
    <row r="308" spans="2:27" x14ac:dyDescent="0.3">
      <c r="C308" t="s">
        <v>136</v>
      </c>
      <c r="D308" s="36">
        <v>0</v>
      </c>
      <c r="E308" s="36">
        <v>0</v>
      </c>
      <c r="F308" s="36">
        <v>0</v>
      </c>
      <c r="G308" s="36">
        <v>0</v>
      </c>
      <c r="H308" s="36">
        <v>0</v>
      </c>
      <c r="I308" s="36">
        <v>0</v>
      </c>
      <c r="J308" s="36">
        <v>0</v>
      </c>
      <c r="K308" s="36">
        <v>0</v>
      </c>
      <c r="L308" s="36">
        <v>0</v>
      </c>
      <c r="M308" s="36">
        <v>0</v>
      </c>
      <c r="N308" s="36">
        <v>0</v>
      </c>
      <c r="O308" s="36">
        <v>0</v>
      </c>
      <c r="P308" s="36">
        <v>0</v>
      </c>
      <c r="Q308" s="36">
        <v>0</v>
      </c>
      <c r="R308" s="36">
        <v>0</v>
      </c>
      <c r="S308" s="36">
        <v>0</v>
      </c>
      <c r="T308" s="36">
        <v>0</v>
      </c>
      <c r="U308" s="36">
        <v>0</v>
      </c>
      <c r="V308" s="36">
        <v>0</v>
      </c>
      <c r="W308" s="36">
        <v>0</v>
      </c>
      <c r="X308" s="36">
        <v>0</v>
      </c>
      <c r="Y308" s="36">
        <v>0</v>
      </c>
      <c r="Z308" s="36">
        <v>0</v>
      </c>
      <c r="AA308" s="36">
        <v>0</v>
      </c>
    </row>
    <row r="309" spans="2:27" x14ac:dyDescent="0.3">
      <c r="C309" t="s">
        <v>124</v>
      </c>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row>
    <row r="310" spans="2:27" x14ac:dyDescent="0.3">
      <c r="C310" t="s">
        <v>137</v>
      </c>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row>
    <row r="311" spans="2:27" x14ac:dyDescent="0.3">
      <c r="C311" t="s">
        <v>138</v>
      </c>
      <c r="D311" s="36"/>
      <c r="E311" s="36"/>
      <c r="F311" s="36"/>
      <c r="G311" s="36"/>
      <c r="H311" s="36"/>
      <c r="I311" s="36"/>
      <c r="J311" s="36"/>
      <c r="K311" s="36"/>
      <c r="L311" s="36"/>
      <c r="M311" s="36"/>
      <c r="N311" s="36"/>
      <c r="O311" s="36"/>
      <c r="P311" s="36"/>
      <c r="Q311" s="36"/>
      <c r="R311" s="36"/>
      <c r="S311" s="36"/>
      <c r="T311" s="36"/>
      <c r="U311" s="36"/>
      <c r="V311" s="36"/>
      <c r="W311" s="36"/>
      <c r="X311" s="36"/>
      <c r="Y311" s="36"/>
      <c r="Z311" s="36"/>
      <c r="AA311" s="36"/>
    </row>
    <row r="312" spans="2:27" x14ac:dyDescent="0.3">
      <c r="C312" t="s">
        <v>139</v>
      </c>
      <c r="D312" s="36"/>
      <c r="E312" s="36"/>
      <c r="F312" s="36"/>
      <c r="G312" s="36"/>
      <c r="H312" s="36"/>
      <c r="I312" s="36"/>
      <c r="J312" s="36"/>
      <c r="K312" s="36"/>
      <c r="L312" s="36"/>
      <c r="M312" s="36"/>
      <c r="N312" s="36"/>
      <c r="O312" s="36"/>
      <c r="P312" s="36"/>
      <c r="Q312" s="36"/>
      <c r="R312" s="36"/>
      <c r="S312" s="36"/>
      <c r="T312" s="36"/>
      <c r="U312" s="36"/>
      <c r="V312" s="36"/>
      <c r="W312" s="36"/>
      <c r="X312" s="36"/>
      <c r="Y312" s="36"/>
      <c r="Z312" s="36"/>
      <c r="AA312" s="36"/>
    </row>
    <row r="313" spans="2:27" x14ac:dyDescent="0.3">
      <c r="C313" t="s">
        <v>140</v>
      </c>
      <c r="D313" s="36">
        <v>-1581</v>
      </c>
      <c r="E313" s="36">
        <v>-1737</v>
      </c>
      <c r="F313" s="36">
        <v>-1885</v>
      </c>
      <c r="G313" s="36">
        <v>-2036</v>
      </c>
      <c r="H313" s="36">
        <v>-2181</v>
      </c>
      <c r="I313" s="36">
        <v>-2327</v>
      </c>
      <c r="J313" s="36">
        <v>-2472</v>
      </c>
      <c r="K313" s="36">
        <v>-2617</v>
      </c>
      <c r="L313" s="36">
        <v>-2751</v>
      </c>
      <c r="M313" s="36">
        <v>-2879</v>
      </c>
      <c r="N313" s="36">
        <v>-3004</v>
      </c>
      <c r="O313" s="36">
        <v>-3129</v>
      </c>
      <c r="P313" s="36">
        <v>-3249</v>
      </c>
      <c r="Q313" s="36">
        <v>-3337</v>
      </c>
      <c r="R313" s="36">
        <v>-3424</v>
      </c>
      <c r="S313" s="36">
        <v>-3511</v>
      </c>
      <c r="T313" s="36">
        <v>-3597</v>
      </c>
      <c r="U313" s="36">
        <v>-3689</v>
      </c>
      <c r="V313" s="36">
        <v>-3788</v>
      </c>
      <c r="W313" s="36">
        <v>-3887</v>
      </c>
      <c r="X313" s="36">
        <v>-3983</v>
      </c>
      <c r="Y313" s="36">
        <v>-4049</v>
      </c>
      <c r="Z313" s="36">
        <v>-4103</v>
      </c>
      <c r="AA313" s="36">
        <v>-4158</v>
      </c>
    </row>
    <row r="314" spans="2:27" x14ac:dyDescent="0.3">
      <c r="C314" t="s">
        <v>141</v>
      </c>
      <c r="D314" s="36">
        <v>0</v>
      </c>
      <c r="E314" s="36">
        <v>0</v>
      </c>
      <c r="F314" s="36">
        <v>0</v>
      </c>
      <c r="G314" s="36">
        <v>0</v>
      </c>
      <c r="H314" s="36">
        <v>0</v>
      </c>
      <c r="I314" s="36">
        <v>0</v>
      </c>
      <c r="J314" s="36">
        <v>0</v>
      </c>
      <c r="K314" s="36">
        <v>0</v>
      </c>
      <c r="L314" s="36">
        <v>0</v>
      </c>
      <c r="M314" s="36">
        <v>0</v>
      </c>
      <c r="N314" s="36">
        <v>0</v>
      </c>
      <c r="O314" s="36">
        <v>0</v>
      </c>
      <c r="P314" s="36">
        <v>0</v>
      </c>
      <c r="Q314" s="36">
        <v>0</v>
      </c>
      <c r="R314" s="36">
        <v>0</v>
      </c>
      <c r="S314" s="36">
        <v>0</v>
      </c>
      <c r="T314" s="36">
        <v>0</v>
      </c>
      <c r="U314" s="36">
        <v>0</v>
      </c>
      <c r="V314" s="36">
        <v>0</v>
      </c>
      <c r="W314" s="36">
        <v>0</v>
      </c>
      <c r="X314" s="36">
        <v>0</v>
      </c>
      <c r="Y314" s="36">
        <v>0</v>
      </c>
      <c r="Z314" s="36">
        <v>0</v>
      </c>
      <c r="AA314" s="36">
        <v>0</v>
      </c>
    </row>
    <row r="315" spans="2:27" x14ac:dyDescent="0.3">
      <c r="B315" t="s">
        <v>177</v>
      </c>
      <c r="C315" t="s">
        <v>129</v>
      </c>
      <c r="D315" s="36">
        <v>12067</v>
      </c>
      <c r="E315" s="36"/>
      <c r="F315" s="36"/>
      <c r="G315" s="36"/>
      <c r="H315" s="36"/>
      <c r="I315" s="36"/>
      <c r="J315" s="36"/>
      <c r="K315" s="36"/>
      <c r="L315" s="36"/>
      <c r="M315" s="36"/>
      <c r="N315" s="36"/>
      <c r="O315" s="36"/>
      <c r="P315" s="36"/>
      <c r="Q315" s="36"/>
      <c r="R315" s="36"/>
      <c r="S315" s="36"/>
      <c r="T315" s="36"/>
      <c r="U315" s="36"/>
      <c r="V315" s="36"/>
      <c r="W315" s="36"/>
      <c r="X315" s="36"/>
      <c r="Y315" s="36"/>
      <c r="Z315" s="36"/>
      <c r="AA315" s="36"/>
    </row>
    <row r="316" spans="2:27" x14ac:dyDescent="0.3">
      <c r="C316" t="s">
        <v>131</v>
      </c>
      <c r="D316" s="36">
        <v>4140</v>
      </c>
      <c r="E316" s="36">
        <v>3952</v>
      </c>
      <c r="F316" s="36">
        <v>4103</v>
      </c>
      <c r="G316" s="36">
        <v>3971</v>
      </c>
      <c r="H316" s="36">
        <v>4309</v>
      </c>
      <c r="I316" s="36">
        <v>4318</v>
      </c>
      <c r="J316" s="36">
        <v>4301</v>
      </c>
      <c r="K316" s="36">
        <v>4299</v>
      </c>
      <c r="L316" s="36">
        <v>4370</v>
      </c>
      <c r="M316" s="36">
        <v>4421</v>
      </c>
      <c r="N316" s="36">
        <v>4803</v>
      </c>
      <c r="O316" s="36">
        <v>4796</v>
      </c>
      <c r="P316" s="36">
        <v>4211</v>
      </c>
      <c r="Q316" s="36">
        <v>3973</v>
      </c>
      <c r="R316" s="36">
        <v>3971</v>
      </c>
      <c r="S316" s="36">
        <v>3972</v>
      </c>
      <c r="T316" s="36">
        <v>3969</v>
      </c>
      <c r="U316" s="36">
        <v>3432</v>
      </c>
      <c r="V316" s="36">
        <v>3323</v>
      </c>
      <c r="W316" s="36">
        <v>3323</v>
      </c>
      <c r="X316" s="36">
        <v>3319</v>
      </c>
      <c r="Y316" s="36">
        <v>3114</v>
      </c>
      <c r="Z316" s="36">
        <v>3034</v>
      </c>
      <c r="AA316" s="36">
        <v>3035</v>
      </c>
    </row>
    <row r="317" spans="2:27" x14ac:dyDescent="0.3">
      <c r="C317" t="s">
        <v>132</v>
      </c>
      <c r="D317" s="36">
        <v>8880</v>
      </c>
      <c r="E317" s="36"/>
      <c r="F317" s="36"/>
      <c r="G317" s="36"/>
      <c r="H317" s="36"/>
      <c r="I317" s="36"/>
      <c r="J317" s="36"/>
      <c r="K317" s="36"/>
      <c r="L317" s="36"/>
      <c r="M317" s="36"/>
      <c r="N317" s="36"/>
      <c r="O317" s="36"/>
      <c r="P317" s="36"/>
      <c r="Q317" s="36"/>
      <c r="R317" s="36"/>
      <c r="S317" s="36"/>
      <c r="T317" s="36"/>
      <c r="U317" s="36"/>
      <c r="V317" s="36"/>
      <c r="W317" s="36"/>
      <c r="X317" s="36"/>
      <c r="Y317" s="36"/>
      <c r="Z317" s="36"/>
      <c r="AA317" s="36"/>
    </row>
    <row r="318" spans="2:27" x14ac:dyDescent="0.3">
      <c r="C318" t="s">
        <v>133</v>
      </c>
      <c r="D318" s="36">
        <v>0</v>
      </c>
      <c r="E318" s="36"/>
      <c r="F318" s="36"/>
      <c r="G318" s="36"/>
      <c r="H318" s="36"/>
      <c r="I318" s="36"/>
      <c r="J318" s="36"/>
      <c r="K318" s="36"/>
      <c r="L318" s="36"/>
      <c r="M318" s="36"/>
      <c r="N318" s="36"/>
      <c r="O318" s="36"/>
      <c r="P318" s="36"/>
      <c r="Q318" s="36"/>
      <c r="R318" s="36"/>
      <c r="S318" s="36"/>
      <c r="T318" s="36"/>
      <c r="U318" s="36"/>
      <c r="V318" s="36"/>
      <c r="W318" s="36"/>
      <c r="X318" s="36"/>
      <c r="Y318" s="36"/>
      <c r="Z318" s="36"/>
      <c r="AA318" s="36"/>
    </row>
    <row r="319" spans="2:27" x14ac:dyDescent="0.3">
      <c r="C319" t="s">
        <v>134</v>
      </c>
      <c r="D319" s="36">
        <v>22950</v>
      </c>
      <c r="E319" s="36"/>
      <c r="F319" s="36"/>
      <c r="G319" s="36"/>
      <c r="H319" s="36"/>
      <c r="I319" s="36"/>
      <c r="J319" s="36"/>
      <c r="K319" s="36"/>
      <c r="L319" s="36"/>
      <c r="M319" s="36"/>
      <c r="N319" s="36"/>
      <c r="O319" s="36"/>
      <c r="P319" s="36"/>
      <c r="Q319" s="36"/>
      <c r="R319" s="36"/>
      <c r="S319" s="36"/>
      <c r="T319" s="36"/>
      <c r="U319" s="36"/>
      <c r="V319" s="36"/>
      <c r="W319" s="36"/>
      <c r="X319" s="36"/>
      <c r="Y319" s="36"/>
      <c r="Z319" s="36"/>
      <c r="AA319" s="36"/>
    </row>
    <row r="320" spans="2:27" x14ac:dyDescent="0.3">
      <c r="C320" t="s">
        <v>135</v>
      </c>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row>
    <row r="321" spans="1:27" x14ac:dyDescent="0.3">
      <c r="C321" t="s">
        <v>136</v>
      </c>
      <c r="D321" s="36">
        <v>9216</v>
      </c>
      <c r="E321" s="36">
        <v>0</v>
      </c>
      <c r="F321" s="36">
        <v>10368</v>
      </c>
      <c r="G321" s="36">
        <v>10368</v>
      </c>
      <c r="H321" s="36">
        <v>10368</v>
      </c>
      <c r="I321" s="36">
        <v>19968</v>
      </c>
      <c r="J321" s="36">
        <v>10368</v>
      </c>
      <c r="K321" s="36">
        <v>10368</v>
      </c>
      <c r="L321" s="36">
        <v>10368</v>
      </c>
      <c r="M321" s="36">
        <v>10368</v>
      </c>
      <c r="N321" s="36">
        <v>10368</v>
      </c>
      <c r="O321" s="36">
        <v>10368</v>
      </c>
      <c r="P321" s="36">
        <v>0</v>
      </c>
      <c r="Q321" s="36">
        <v>10368</v>
      </c>
      <c r="R321" s="36">
        <v>0</v>
      </c>
      <c r="S321" s="36">
        <v>0</v>
      </c>
      <c r="T321" s="36">
        <v>0</v>
      </c>
      <c r="U321" s="36">
        <v>0</v>
      </c>
      <c r="V321" s="36">
        <v>0</v>
      </c>
      <c r="W321" s="36">
        <v>0</v>
      </c>
      <c r="X321" s="36">
        <v>0</v>
      </c>
      <c r="Y321" s="36">
        <v>0</v>
      </c>
      <c r="Z321" s="36">
        <v>0</v>
      </c>
      <c r="AA321" s="36">
        <v>0</v>
      </c>
    </row>
    <row r="322" spans="1:27" x14ac:dyDescent="0.3">
      <c r="C322" t="s">
        <v>124</v>
      </c>
      <c r="D322" s="36">
        <v>9216</v>
      </c>
      <c r="E322" s="36"/>
      <c r="F322" s="36">
        <v>10368</v>
      </c>
      <c r="G322" s="36">
        <v>10368</v>
      </c>
      <c r="H322" s="36">
        <v>10368</v>
      </c>
      <c r="I322" s="36">
        <v>19968</v>
      </c>
      <c r="J322" s="36">
        <v>10368</v>
      </c>
      <c r="K322" s="36">
        <v>10368</v>
      </c>
      <c r="L322" s="36">
        <v>10368</v>
      </c>
      <c r="M322" s="36">
        <v>10368</v>
      </c>
      <c r="N322" s="36">
        <v>10368</v>
      </c>
      <c r="O322" s="36">
        <v>10368</v>
      </c>
      <c r="P322" s="36"/>
      <c r="Q322" s="36">
        <v>10368</v>
      </c>
      <c r="R322" s="36"/>
      <c r="S322" s="36"/>
      <c r="T322" s="36"/>
      <c r="U322" s="36"/>
      <c r="V322" s="36"/>
      <c r="W322" s="36"/>
      <c r="X322" s="36"/>
      <c r="Y322" s="36"/>
      <c r="Z322" s="36"/>
      <c r="AA322" s="36"/>
    </row>
    <row r="323" spans="1:27" x14ac:dyDescent="0.3">
      <c r="C323" t="s">
        <v>137</v>
      </c>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row>
    <row r="324" spans="1:27" x14ac:dyDescent="0.3">
      <c r="C324" t="s">
        <v>138</v>
      </c>
      <c r="D324" s="36"/>
      <c r="E324" s="36"/>
      <c r="F324" s="36"/>
      <c r="G324" s="36"/>
      <c r="H324" s="36"/>
      <c r="I324" s="36"/>
      <c r="J324" s="36"/>
      <c r="K324" s="36"/>
      <c r="L324" s="36"/>
      <c r="M324" s="36"/>
      <c r="N324" s="36"/>
      <c r="O324" s="36"/>
      <c r="P324" s="36"/>
      <c r="Q324" s="36"/>
      <c r="R324" s="36"/>
      <c r="S324" s="36"/>
      <c r="T324" s="36"/>
      <c r="U324" s="36"/>
      <c r="V324" s="36"/>
      <c r="W324" s="36"/>
      <c r="X324" s="36"/>
      <c r="Y324" s="36"/>
      <c r="Z324" s="36"/>
      <c r="AA324" s="36"/>
    </row>
    <row r="325" spans="1:27" x14ac:dyDescent="0.3">
      <c r="C325" t="s">
        <v>139</v>
      </c>
      <c r="D325" s="36">
        <v>9216</v>
      </c>
      <c r="E325" s="36"/>
      <c r="F325" s="36">
        <v>10368</v>
      </c>
      <c r="G325" s="36">
        <v>10368</v>
      </c>
      <c r="H325" s="36">
        <v>10368</v>
      </c>
      <c r="I325" s="36">
        <v>19968</v>
      </c>
      <c r="J325" s="36">
        <v>10368</v>
      </c>
      <c r="K325" s="36">
        <v>10368</v>
      </c>
      <c r="L325" s="36">
        <v>10368</v>
      </c>
      <c r="M325" s="36">
        <v>10368</v>
      </c>
      <c r="N325" s="36">
        <v>10368</v>
      </c>
      <c r="O325" s="36">
        <v>10368</v>
      </c>
      <c r="P325" s="36"/>
      <c r="Q325" s="36">
        <v>10368</v>
      </c>
      <c r="R325" s="36"/>
      <c r="S325" s="36"/>
      <c r="T325" s="36"/>
      <c r="U325" s="36"/>
      <c r="V325" s="36"/>
      <c r="W325" s="36"/>
      <c r="X325" s="36"/>
      <c r="Y325" s="36"/>
      <c r="Z325" s="36"/>
      <c r="AA325" s="36"/>
    </row>
    <row r="326" spans="1:27" x14ac:dyDescent="0.3">
      <c r="C326" t="s">
        <v>140</v>
      </c>
      <c r="D326" s="36">
        <v>24839</v>
      </c>
      <c r="E326" s="36">
        <v>20887</v>
      </c>
      <c r="F326" s="36">
        <v>27152</v>
      </c>
      <c r="G326" s="36">
        <v>33549</v>
      </c>
      <c r="H326" s="36">
        <v>39608</v>
      </c>
      <c r="I326" s="36">
        <v>55258</v>
      </c>
      <c r="J326" s="36">
        <v>61325</v>
      </c>
      <c r="K326" s="36">
        <v>67394</v>
      </c>
      <c r="L326" s="36">
        <v>73392</v>
      </c>
      <c r="M326" s="36">
        <v>79339</v>
      </c>
      <c r="N326" s="36">
        <v>84904</v>
      </c>
      <c r="O326" s="36">
        <v>90476</v>
      </c>
      <c r="P326" s="36">
        <v>86265</v>
      </c>
      <c r="Q326" s="36">
        <v>92660</v>
      </c>
      <c r="R326" s="36">
        <v>88689</v>
      </c>
      <c r="S326" s="36">
        <v>84717</v>
      </c>
      <c r="T326" s="36">
        <v>80748</v>
      </c>
      <c r="U326" s="36">
        <v>77316</v>
      </c>
      <c r="V326" s="36">
        <v>73993</v>
      </c>
      <c r="W326" s="36">
        <v>70670</v>
      </c>
      <c r="X326" s="36">
        <v>67351</v>
      </c>
      <c r="Y326" s="36">
        <v>64237</v>
      </c>
      <c r="Z326" s="36">
        <v>61203</v>
      </c>
      <c r="AA326" s="36">
        <v>58168</v>
      </c>
    </row>
    <row r="327" spans="1:27" x14ac:dyDescent="0.3">
      <c r="C327" t="s">
        <v>141</v>
      </c>
      <c r="D327" s="36">
        <v>0</v>
      </c>
      <c r="E327" s="36">
        <v>0</v>
      </c>
      <c r="F327" s="36">
        <v>0</v>
      </c>
      <c r="G327" s="36">
        <v>0</v>
      </c>
      <c r="H327" s="36">
        <v>0</v>
      </c>
      <c r="I327" s="36">
        <v>0</v>
      </c>
      <c r="J327" s="36">
        <v>0</v>
      </c>
      <c r="K327" s="36">
        <v>0</v>
      </c>
      <c r="L327" s="36">
        <v>0</v>
      </c>
      <c r="M327" s="36">
        <v>0</v>
      </c>
      <c r="N327" s="36">
        <v>0</v>
      </c>
      <c r="O327" s="36">
        <v>0</v>
      </c>
      <c r="P327" s="36">
        <v>0</v>
      </c>
      <c r="Q327" s="36">
        <v>0</v>
      </c>
      <c r="R327" s="36">
        <v>0</v>
      </c>
      <c r="S327" s="36">
        <v>0</v>
      </c>
      <c r="T327" s="36">
        <v>0</v>
      </c>
      <c r="U327" s="36">
        <v>0</v>
      </c>
      <c r="V327" s="36">
        <v>0</v>
      </c>
      <c r="W327" s="36">
        <v>0</v>
      </c>
      <c r="X327" s="36">
        <v>0</v>
      </c>
      <c r="Y327" s="36">
        <v>0</v>
      </c>
      <c r="Z327" s="36">
        <v>0</v>
      </c>
      <c r="AA327" s="36">
        <v>0</v>
      </c>
    </row>
    <row r="328" spans="1:27" x14ac:dyDescent="0.3">
      <c r="A328" t="s">
        <v>275</v>
      </c>
      <c r="B328" t="s">
        <v>177</v>
      </c>
      <c r="C328" t="s">
        <v>129</v>
      </c>
      <c r="D328" s="36">
        <v>937</v>
      </c>
      <c r="E328" s="36"/>
      <c r="F328" s="36"/>
      <c r="G328" s="36"/>
      <c r="H328" s="36"/>
      <c r="I328" s="36"/>
      <c r="J328" s="36"/>
      <c r="K328" s="36"/>
      <c r="L328" s="36"/>
      <c r="M328" s="36"/>
      <c r="N328" s="36"/>
      <c r="O328" s="36"/>
      <c r="P328" s="36"/>
      <c r="Q328" s="36"/>
      <c r="R328" s="36"/>
      <c r="S328" s="36"/>
      <c r="T328" s="36"/>
      <c r="U328" s="36"/>
      <c r="V328" s="36"/>
      <c r="W328" s="36"/>
      <c r="X328" s="36"/>
      <c r="Y328" s="36"/>
      <c r="Z328" s="36"/>
      <c r="AA328" s="36"/>
    </row>
    <row r="329" spans="1:27" x14ac:dyDescent="0.3">
      <c r="C329" t="s">
        <v>131</v>
      </c>
      <c r="D329" s="36">
        <v>807</v>
      </c>
      <c r="E329" s="36">
        <v>1295</v>
      </c>
      <c r="F329" s="36">
        <v>801</v>
      </c>
      <c r="G329" s="36">
        <v>778</v>
      </c>
      <c r="H329" s="36">
        <v>1025</v>
      </c>
      <c r="I329" s="36">
        <v>1288</v>
      </c>
      <c r="J329" s="36">
        <v>1260</v>
      </c>
      <c r="K329" s="36">
        <v>1257</v>
      </c>
      <c r="L329" s="36">
        <v>1990</v>
      </c>
      <c r="M329" s="36">
        <v>1873</v>
      </c>
      <c r="N329" s="36">
        <v>1281</v>
      </c>
      <c r="O329" s="36">
        <v>1033</v>
      </c>
      <c r="P329" s="36">
        <v>1004</v>
      </c>
      <c r="Q329" s="36">
        <v>5427</v>
      </c>
      <c r="R329" s="36">
        <v>597</v>
      </c>
      <c r="S329" s="36">
        <v>510</v>
      </c>
      <c r="T329" s="36">
        <v>557</v>
      </c>
      <c r="U329" s="36">
        <v>707</v>
      </c>
      <c r="V329" s="36">
        <v>719</v>
      </c>
      <c r="W329" s="36">
        <v>719</v>
      </c>
      <c r="X329" s="36">
        <v>707</v>
      </c>
      <c r="Y329" s="36">
        <v>549</v>
      </c>
      <c r="Z329" s="36">
        <v>467</v>
      </c>
      <c r="AA329" s="36">
        <v>467</v>
      </c>
    </row>
    <row r="330" spans="1:27" x14ac:dyDescent="0.3">
      <c r="C330" t="s">
        <v>132</v>
      </c>
      <c r="D330" s="36">
        <v>7020</v>
      </c>
      <c r="E330" s="36"/>
      <c r="F330" s="36"/>
      <c r="G330" s="36"/>
      <c r="H330" s="36"/>
      <c r="I330" s="36"/>
      <c r="J330" s="36"/>
      <c r="K330" s="36"/>
      <c r="L330" s="36"/>
      <c r="M330" s="36"/>
      <c r="N330" s="36"/>
      <c r="O330" s="36"/>
      <c r="P330" s="36"/>
      <c r="Q330" s="36"/>
      <c r="R330" s="36"/>
      <c r="S330" s="36"/>
      <c r="T330" s="36"/>
      <c r="U330" s="36"/>
      <c r="V330" s="36"/>
      <c r="W330" s="36"/>
      <c r="X330" s="36"/>
      <c r="Y330" s="36"/>
      <c r="Z330" s="36"/>
      <c r="AA330" s="36"/>
    </row>
    <row r="331" spans="1:27" x14ac:dyDescent="0.3">
      <c r="C331" t="s">
        <v>133</v>
      </c>
      <c r="D331" s="36">
        <v>0</v>
      </c>
      <c r="E331" s="36"/>
      <c r="F331" s="36"/>
      <c r="G331" s="36"/>
      <c r="H331" s="36"/>
      <c r="I331" s="36"/>
      <c r="J331" s="36"/>
      <c r="K331" s="36"/>
      <c r="L331" s="36"/>
      <c r="M331" s="36"/>
      <c r="N331" s="36"/>
      <c r="O331" s="36"/>
      <c r="P331" s="36"/>
      <c r="Q331" s="36"/>
      <c r="R331" s="36"/>
      <c r="S331" s="36"/>
      <c r="T331" s="36"/>
      <c r="U331" s="36"/>
      <c r="V331" s="36"/>
      <c r="W331" s="36"/>
      <c r="X331" s="36"/>
      <c r="Y331" s="36"/>
      <c r="Z331" s="36"/>
      <c r="AA331" s="36"/>
    </row>
    <row r="332" spans="1:27" x14ac:dyDescent="0.3">
      <c r="C332" t="s">
        <v>134</v>
      </c>
      <c r="D332" s="36">
        <v>308</v>
      </c>
      <c r="E332" s="36"/>
      <c r="F332" s="36"/>
      <c r="G332" s="36"/>
      <c r="H332" s="36"/>
      <c r="I332" s="36"/>
      <c r="J332" s="36"/>
      <c r="K332" s="36"/>
      <c r="L332" s="36"/>
      <c r="M332" s="36"/>
      <c r="N332" s="36"/>
      <c r="O332" s="36"/>
      <c r="P332" s="36"/>
      <c r="Q332" s="36"/>
      <c r="R332" s="36"/>
      <c r="S332" s="36"/>
      <c r="T332" s="36"/>
      <c r="U332" s="36"/>
      <c r="V332" s="36"/>
      <c r="W332" s="36"/>
      <c r="X332" s="36"/>
      <c r="Y332" s="36"/>
      <c r="Z332" s="36"/>
      <c r="AA332" s="36"/>
    </row>
    <row r="333" spans="1:27" x14ac:dyDescent="0.3">
      <c r="C333" t="s">
        <v>135</v>
      </c>
      <c r="D333" s="36">
        <v>1440</v>
      </c>
      <c r="E333" s="36"/>
      <c r="F333" s="36"/>
      <c r="G333" s="36"/>
      <c r="H333" s="36"/>
      <c r="I333" s="36"/>
      <c r="J333" s="36"/>
      <c r="K333" s="36"/>
      <c r="L333" s="36"/>
      <c r="M333" s="36"/>
      <c r="N333" s="36"/>
      <c r="O333" s="36"/>
      <c r="P333" s="36"/>
      <c r="Q333" s="36"/>
      <c r="R333" s="36"/>
      <c r="S333" s="36"/>
      <c r="T333" s="36"/>
      <c r="U333" s="36"/>
      <c r="V333" s="36"/>
      <c r="W333" s="36"/>
      <c r="X333" s="36"/>
      <c r="Y333" s="36"/>
      <c r="Z333" s="36"/>
      <c r="AA333" s="36"/>
    </row>
    <row r="334" spans="1:27" x14ac:dyDescent="0.3">
      <c r="C334" t="s">
        <v>136</v>
      </c>
      <c r="D334" s="36">
        <v>0</v>
      </c>
      <c r="E334" s="36">
        <v>576</v>
      </c>
      <c r="F334" s="36">
        <v>1440</v>
      </c>
      <c r="G334" s="36">
        <v>1440</v>
      </c>
      <c r="H334" s="36">
        <v>1440</v>
      </c>
      <c r="I334" s="36">
        <v>1440</v>
      </c>
      <c r="J334" s="36">
        <v>1440</v>
      </c>
      <c r="K334" s="36">
        <v>1440</v>
      </c>
      <c r="L334" s="36">
        <v>1440</v>
      </c>
      <c r="M334" s="36">
        <v>1440</v>
      </c>
      <c r="N334" s="36">
        <v>1440</v>
      </c>
      <c r="O334" s="36">
        <v>1440</v>
      </c>
      <c r="P334" s="36">
        <v>1440</v>
      </c>
      <c r="Q334" s="36">
        <v>1440</v>
      </c>
      <c r="R334" s="36">
        <v>1440</v>
      </c>
      <c r="S334" s="36">
        <v>0</v>
      </c>
      <c r="T334" s="36">
        <v>0</v>
      </c>
      <c r="U334" s="36">
        <v>0</v>
      </c>
      <c r="V334" s="36">
        <v>0</v>
      </c>
      <c r="W334" s="36">
        <v>0</v>
      </c>
      <c r="X334" s="36">
        <v>0</v>
      </c>
      <c r="Y334" s="36">
        <v>0</v>
      </c>
      <c r="Z334" s="36">
        <v>0</v>
      </c>
      <c r="AA334" s="36">
        <v>0</v>
      </c>
    </row>
    <row r="335" spans="1:27" x14ac:dyDescent="0.3">
      <c r="C335" t="s">
        <v>124</v>
      </c>
      <c r="D335" s="36"/>
      <c r="E335" s="36">
        <v>576</v>
      </c>
      <c r="F335" s="36">
        <v>1440</v>
      </c>
      <c r="G335" s="36">
        <v>1440</v>
      </c>
      <c r="H335" s="36">
        <v>1440</v>
      </c>
      <c r="I335" s="36">
        <v>1440</v>
      </c>
      <c r="J335" s="36">
        <v>1440</v>
      </c>
      <c r="K335" s="36">
        <v>1440</v>
      </c>
      <c r="L335" s="36">
        <v>1440</v>
      </c>
      <c r="M335" s="36">
        <v>1440</v>
      </c>
      <c r="N335" s="36">
        <v>1440</v>
      </c>
      <c r="O335" s="36">
        <v>1440</v>
      </c>
      <c r="P335" s="36">
        <v>1440</v>
      </c>
      <c r="Q335" s="36">
        <v>1440</v>
      </c>
      <c r="R335" s="36">
        <v>1440</v>
      </c>
      <c r="S335" s="36"/>
      <c r="T335" s="36"/>
      <c r="U335" s="36"/>
      <c r="V335" s="36"/>
      <c r="W335" s="36"/>
      <c r="X335" s="36"/>
      <c r="Y335" s="36"/>
      <c r="Z335" s="36"/>
      <c r="AA335" s="36"/>
    </row>
    <row r="336" spans="1:27" x14ac:dyDescent="0.3">
      <c r="C336" t="s">
        <v>137</v>
      </c>
      <c r="D336" s="36"/>
      <c r="E336" s="36"/>
      <c r="F336" s="36"/>
      <c r="G336" s="36"/>
      <c r="H336" s="36"/>
      <c r="I336" s="36"/>
      <c r="J336" s="36"/>
      <c r="K336" s="36"/>
      <c r="L336" s="36"/>
      <c r="M336" s="36"/>
      <c r="N336" s="36"/>
      <c r="O336" s="36"/>
      <c r="P336" s="36"/>
      <c r="Q336" s="36"/>
      <c r="R336" s="36"/>
      <c r="S336" s="36"/>
      <c r="T336" s="36"/>
      <c r="U336" s="36"/>
      <c r="V336" s="36"/>
      <c r="W336" s="36"/>
      <c r="X336" s="36"/>
      <c r="Y336" s="36"/>
      <c r="Z336" s="36"/>
      <c r="AA336" s="36"/>
    </row>
    <row r="337" spans="1:27" x14ac:dyDescent="0.3">
      <c r="C337" t="s">
        <v>138</v>
      </c>
      <c r="D337" s="36"/>
      <c r="E337" s="36"/>
      <c r="F337" s="36"/>
      <c r="G337" s="36"/>
      <c r="H337" s="36"/>
      <c r="I337" s="36"/>
      <c r="J337" s="36"/>
      <c r="K337" s="36"/>
      <c r="L337" s="36"/>
      <c r="M337" s="36"/>
      <c r="N337" s="36"/>
      <c r="O337" s="36"/>
      <c r="P337" s="36"/>
      <c r="Q337" s="36"/>
      <c r="R337" s="36"/>
      <c r="S337" s="36"/>
      <c r="T337" s="36"/>
      <c r="U337" s="36"/>
      <c r="V337" s="36"/>
      <c r="W337" s="36"/>
      <c r="X337" s="36"/>
      <c r="Y337" s="36"/>
      <c r="Z337" s="36"/>
      <c r="AA337" s="36"/>
    </row>
    <row r="338" spans="1:27" x14ac:dyDescent="0.3">
      <c r="C338" t="s">
        <v>139</v>
      </c>
      <c r="D338" s="36"/>
      <c r="E338" s="36">
        <v>576</v>
      </c>
      <c r="F338" s="36">
        <v>1440</v>
      </c>
      <c r="G338" s="36">
        <v>1440</v>
      </c>
      <c r="H338" s="36">
        <v>1440</v>
      </c>
      <c r="I338" s="36">
        <v>1440</v>
      </c>
      <c r="J338" s="36">
        <v>1440</v>
      </c>
      <c r="K338" s="36">
        <v>1440</v>
      </c>
      <c r="L338" s="36">
        <v>1440</v>
      </c>
      <c r="M338" s="36">
        <v>1440</v>
      </c>
      <c r="N338" s="36">
        <v>1440</v>
      </c>
      <c r="O338" s="36">
        <v>1440</v>
      </c>
      <c r="P338" s="36">
        <v>1440</v>
      </c>
      <c r="Q338" s="36">
        <v>1440</v>
      </c>
      <c r="R338" s="36">
        <v>1440</v>
      </c>
      <c r="S338" s="36"/>
      <c r="T338" s="36"/>
      <c r="U338" s="36"/>
      <c r="V338" s="36"/>
      <c r="W338" s="36"/>
      <c r="X338" s="36"/>
      <c r="Y338" s="36"/>
      <c r="Z338" s="36"/>
      <c r="AA338" s="36"/>
    </row>
    <row r="339" spans="1:27" x14ac:dyDescent="0.3">
      <c r="C339" t="s">
        <v>140</v>
      </c>
      <c r="D339" s="36">
        <v>7024</v>
      </c>
      <c r="E339" s="36">
        <v>6305</v>
      </c>
      <c r="F339" s="36">
        <v>6944</v>
      </c>
      <c r="G339" s="36">
        <v>7606</v>
      </c>
      <c r="H339" s="36">
        <v>8021</v>
      </c>
      <c r="I339" s="36">
        <v>8173</v>
      </c>
      <c r="J339" s="36">
        <v>8353</v>
      </c>
      <c r="K339" s="36">
        <v>8536</v>
      </c>
      <c r="L339" s="36">
        <v>7986</v>
      </c>
      <c r="M339" s="36">
        <v>7553</v>
      </c>
      <c r="N339" s="36">
        <v>7712</v>
      </c>
      <c r="O339" s="36">
        <v>8119</v>
      </c>
      <c r="P339" s="36">
        <v>8555</v>
      </c>
      <c r="Q339" s="36">
        <v>4568</v>
      </c>
      <c r="R339" s="36">
        <v>5411</v>
      </c>
      <c r="S339" s="36">
        <v>4901</v>
      </c>
      <c r="T339" s="36">
        <v>4344</v>
      </c>
      <c r="U339" s="36">
        <v>3637</v>
      </c>
      <c r="V339" s="36">
        <v>2918</v>
      </c>
      <c r="W339" s="36">
        <v>2199</v>
      </c>
      <c r="X339" s="36">
        <v>1492</v>
      </c>
      <c r="Y339" s="36">
        <v>943</v>
      </c>
      <c r="Z339" s="36">
        <v>476</v>
      </c>
      <c r="AA339" s="36">
        <v>9</v>
      </c>
    </row>
    <row r="340" spans="1:27" x14ac:dyDescent="0.3">
      <c r="C340" t="s">
        <v>141</v>
      </c>
      <c r="D340" s="36">
        <v>0</v>
      </c>
      <c r="E340" s="36">
        <v>0</v>
      </c>
      <c r="F340" s="36">
        <v>0</v>
      </c>
      <c r="G340" s="36">
        <v>0</v>
      </c>
      <c r="H340" s="36">
        <v>0</v>
      </c>
      <c r="I340" s="36">
        <v>0</v>
      </c>
      <c r="J340" s="36">
        <v>0</v>
      </c>
      <c r="K340" s="36">
        <v>0</v>
      </c>
      <c r="L340" s="36">
        <v>0</v>
      </c>
      <c r="M340" s="36">
        <v>0</v>
      </c>
      <c r="N340" s="36">
        <v>0</v>
      </c>
      <c r="O340" s="36">
        <v>0</v>
      </c>
      <c r="P340" s="36">
        <v>0</v>
      </c>
      <c r="Q340" s="36">
        <v>0</v>
      </c>
      <c r="R340" s="36">
        <v>0</v>
      </c>
      <c r="S340" s="36">
        <v>0</v>
      </c>
      <c r="T340" s="36">
        <v>0</v>
      </c>
      <c r="U340" s="36">
        <v>0</v>
      </c>
      <c r="V340" s="36">
        <v>0</v>
      </c>
      <c r="W340" s="36">
        <v>0</v>
      </c>
      <c r="X340" s="36">
        <v>0</v>
      </c>
      <c r="Y340" s="36">
        <v>0</v>
      </c>
      <c r="Z340" s="36">
        <v>0</v>
      </c>
      <c r="AA340" s="36">
        <v>0</v>
      </c>
    </row>
    <row r="341" spans="1:27" x14ac:dyDescent="0.3">
      <c r="A341" t="s">
        <v>249</v>
      </c>
      <c r="B341" t="s">
        <v>177</v>
      </c>
      <c r="C341" t="s">
        <v>129</v>
      </c>
      <c r="D341" s="36">
        <v>5436</v>
      </c>
      <c r="E341" s="36"/>
      <c r="F341" s="36"/>
      <c r="G341" s="36"/>
      <c r="H341" s="36"/>
      <c r="I341" s="36"/>
      <c r="J341" s="36"/>
      <c r="K341" s="36"/>
      <c r="L341" s="36"/>
      <c r="M341" s="36"/>
      <c r="N341" s="36"/>
      <c r="O341" s="36"/>
      <c r="P341" s="36"/>
      <c r="Q341" s="36"/>
      <c r="R341" s="36"/>
      <c r="S341" s="36"/>
      <c r="T341" s="36"/>
      <c r="U341" s="36"/>
      <c r="V341" s="36"/>
      <c r="W341" s="36"/>
      <c r="X341" s="36"/>
      <c r="Y341" s="36"/>
      <c r="Z341" s="36"/>
      <c r="AA341" s="36"/>
    </row>
    <row r="342" spans="1:27" x14ac:dyDescent="0.3">
      <c r="C342" t="s">
        <v>131</v>
      </c>
      <c r="D342" s="36">
        <v>3857</v>
      </c>
      <c r="E342" s="36">
        <v>4058</v>
      </c>
      <c r="F342" s="36">
        <v>3613</v>
      </c>
      <c r="G342" s="36">
        <v>3094</v>
      </c>
      <c r="H342" s="36">
        <v>3695</v>
      </c>
      <c r="I342" s="36">
        <v>3719</v>
      </c>
      <c r="J342" s="36">
        <v>3567</v>
      </c>
      <c r="K342" s="36">
        <v>4857</v>
      </c>
      <c r="L342" s="36">
        <v>5660</v>
      </c>
      <c r="M342" s="36">
        <v>5473</v>
      </c>
      <c r="N342" s="36">
        <v>5470</v>
      </c>
      <c r="O342" s="36">
        <v>5125</v>
      </c>
      <c r="P342" s="36">
        <v>2982</v>
      </c>
      <c r="Q342" s="36">
        <v>2392</v>
      </c>
      <c r="R342" s="36">
        <v>2391</v>
      </c>
      <c r="S342" s="36">
        <v>2392</v>
      </c>
      <c r="T342" s="36">
        <v>2376</v>
      </c>
      <c r="U342" s="36">
        <v>2354</v>
      </c>
      <c r="V342" s="36">
        <v>2346</v>
      </c>
      <c r="W342" s="36">
        <v>2308</v>
      </c>
      <c r="X342" s="36">
        <v>2269</v>
      </c>
      <c r="Y342" s="36">
        <v>774</v>
      </c>
      <c r="Z342" s="36">
        <v>182</v>
      </c>
      <c r="AA342" s="36">
        <v>182</v>
      </c>
    </row>
    <row r="343" spans="1:27" x14ac:dyDescent="0.3">
      <c r="C343" t="s">
        <v>132</v>
      </c>
      <c r="D343" s="36">
        <v>58656</v>
      </c>
      <c r="E343" s="36"/>
      <c r="F343" s="36"/>
      <c r="G343" s="36"/>
      <c r="H343" s="36"/>
      <c r="I343" s="36"/>
      <c r="J343" s="36"/>
      <c r="K343" s="36"/>
      <c r="L343" s="36"/>
      <c r="M343" s="36"/>
      <c r="N343" s="36"/>
      <c r="O343" s="36"/>
      <c r="P343" s="36"/>
      <c r="Q343" s="36"/>
      <c r="R343" s="36"/>
      <c r="S343" s="36"/>
      <c r="T343" s="36"/>
      <c r="U343" s="36"/>
      <c r="V343" s="36"/>
      <c r="W343" s="36"/>
      <c r="X343" s="36"/>
      <c r="Y343" s="36"/>
      <c r="Z343" s="36"/>
      <c r="AA343" s="36"/>
    </row>
    <row r="344" spans="1:27" x14ac:dyDescent="0.3">
      <c r="C344" t="s">
        <v>133</v>
      </c>
      <c r="D344" s="36">
        <v>0</v>
      </c>
      <c r="E344" s="36"/>
      <c r="F344" s="36"/>
      <c r="G344" s="36"/>
      <c r="H344" s="36"/>
      <c r="I344" s="36"/>
      <c r="J344" s="36"/>
      <c r="K344" s="36"/>
      <c r="L344" s="36"/>
      <c r="M344" s="36"/>
      <c r="N344" s="36"/>
      <c r="O344" s="36"/>
      <c r="P344" s="36"/>
      <c r="Q344" s="36"/>
      <c r="R344" s="36"/>
      <c r="S344" s="36"/>
      <c r="T344" s="36"/>
      <c r="U344" s="36"/>
      <c r="V344" s="36"/>
      <c r="W344" s="36"/>
      <c r="X344" s="36"/>
      <c r="Y344" s="36"/>
      <c r="Z344" s="36"/>
      <c r="AA344" s="36"/>
    </row>
    <row r="345" spans="1:27" x14ac:dyDescent="0.3">
      <c r="C345" t="s">
        <v>134</v>
      </c>
      <c r="D345" s="36">
        <v>0</v>
      </c>
      <c r="E345" s="36"/>
      <c r="F345" s="36"/>
      <c r="G345" s="36"/>
      <c r="H345" s="36"/>
      <c r="I345" s="36"/>
      <c r="J345" s="36"/>
      <c r="K345" s="36"/>
      <c r="L345" s="36"/>
      <c r="M345" s="36"/>
      <c r="N345" s="36"/>
      <c r="O345" s="36"/>
      <c r="P345" s="36"/>
      <c r="Q345" s="36"/>
      <c r="R345" s="36"/>
      <c r="S345" s="36"/>
      <c r="T345" s="36"/>
      <c r="U345" s="36"/>
      <c r="V345" s="36"/>
      <c r="W345" s="36"/>
      <c r="X345" s="36"/>
      <c r="Y345" s="36"/>
      <c r="Z345" s="36"/>
      <c r="AA345" s="36"/>
    </row>
    <row r="346" spans="1:27" x14ac:dyDescent="0.3">
      <c r="C346" t="s">
        <v>135</v>
      </c>
      <c r="D346" s="36"/>
      <c r="E346" s="36"/>
      <c r="F346" s="36"/>
      <c r="G346" s="36"/>
      <c r="H346" s="36"/>
      <c r="I346" s="36"/>
      <c r="J346" s="36"/>
      <c r="K346" s="36"/>
      <c r="L346" s="36"/>
      <c r="M346" s="36"/>
      <c r="N346" s="36"/>
      <c r="O346" s="36"/>
      <c r="P346" s="36"/>
      <c r="Q346" s="36"/>
      <c r="R346" s="36"/>
      <c r="S346" s="36"/>
      <c r="T346" s="36"/>
      <c r="U346" s="36"/>
      <c r="V346" s="36"/>
      <c r="W346" s="36"/>
      <c r="X346" s="36"/>
      <c r="Y346" s="36"/>
      <c r="Z346" s="36"/>
      <c r="AA346" s="36"/>
    </row>
    <row r="347" spans="1:27" x14ac:dyDescent="0.3">
      <c r="C347" t="s">
        <v>136</v>
      </c>
      <c r="D347" s="36">
        <v>28800</v>
      </c>
      <c r="E347" s="36">
        <v>0</v>
      </c>
      <c r="F347" s="36">
        <v>14400</v>
      </c>
      <c r="G347" s="36">
        <v>14400</v>
      </c>
      <c r="H347" s="36">
        <v>14400</v>
      </c>
      <c r="I347" s="36">
        <v>0</v>
      </c>
      <c r="J347" s="36">
        <v>0</v>
      </c>
      <c r="K347" s="36">
        <v>14400</v>
      </c>
      <c r="L347" s="36">
        <v>14400</v>
      </c>
      <c r="M347" s="36">
        <v>28800</v>
      </c>
      <c r="N347" s="36">
        <v>0</v>
      </c>
      <c r="O347" s="36">
        <v>14400</v>
      </c>
      <c r="P347" s="36">
        <v>0</v>
      </c>
      <c r="Q347" s="36">
        <v>14400</v>
      </c>
      <c r="R347" s="36">
        <v>0</v>
      </c>
      <c r="S347" s="36">
        <v>0</v>
      </c>
      <c r="T347" s="36">
        <v>0</v>
      </c>
      <c r="U347" s="36">
        <v>0</v>
      </c>
      <c r="V347" s="36">
        <v>0</v>
      </c>
      <c r="W347" s="36">
        <v>0</v>
      </c>
      <c r="X347" s="36">
        <v>0</v>
      </c>
      <c r="Y347" s="36">
        <v>0</v>
      </c>
      <c r="Z347" s="36">
        <v>0</v>
      </c>
      <c r="AA347" s="36">
        <v>0</v>
      </c>
    </row>
    <row r="348" spans="1:27" x14ac:dyDescent="0.3">
      <c r="C348" t="s">
        <v>124</v>
      </c>
      <c r="D348" s="36">
        <v>28800</v>
      </c>
      <c r="E348" s="36"/>
      <c r="F348" s="36">
        <v>14400</v>
      </c>
      <c r="G348" s="36">
        <v>14400</v>
      </c>
      <c r="H348" s="36">
        <v>14400</v>
      </c>
      <c r="I348" s="36"/>
      <c r="J348" s="36"/>
      <c r="K348" s="36">
        <v>14400</v>
      </c>
      <c r="L348" s="36">
        <v>14400</v>
      </c>
      <c r="M348" s="36">
        <v>28800</v>
      </c>
      <c r="N348" s="36"/>
      <c r="O348" s="36">
        <v>14400</v>
      </c>
      <c r="P348" s="36"/>
      <c r="Q348" s="36">
        <v>14400</v>
      </c>
      <c r="R348" s="36"/>
      <c r="S348" s="36"/>
      <c r="T348" s="36"/>
      <c r="U348" s="36"/>
      <c r="V348" s="36"/>
      <c r="W348" s="36"/>
      <c r="X348" s="36"/>
      <c r="Y348" s="36"/>
      <c r="Z348" s="36"/>
      <c r="AA348" s="36"/>
    </row>
    <row r="349" spans="1:27" x14ac:dyDescent="0.3">
      <c r="C349" t="s">
        <v>137</v>
      </c>
      <c r="D349" s="36"/>
      <c r="E349" s="36"/>
      <c r="F349" s="36"/>
      <c r="G349" s="36"/>
      <c r="H349" s="36"/>
      <c r="I349" s="36"/>
      <c r="J349" s="36"/>
      <c r="K349" s="36"/>
      <c r="L349" s="36"/>
      <c r="M349" s="36"/>
      <c r="N349" s="36"/>
      <c r="O349" s="36"/>
      <c r="P349" s="36"/>
      <c r="Q349" s="36"/>
      <c r="R349" s="36"/>
      <c r="S349" s="36"/>
      <c r="T349" s="36"/>
      <c r="U349" s="36"/>
      <c r="V349" s="36"/>
      <c r="W349" s="36"/>
      <c r="X349" s="36"/>
      <c r="Y349" s="36"/>
      <c r="Z349" s="36"/>
      <c r="AA349" s="36"/>
    </row>
    <row r="350" spans="1:27" x14ac:dyDescent="0.3">
      <c r="C350" t="s">
        <v>138</v>
      </c>
      <c r="D350" s="36"/>
      <c r="E350" s="36"/>
      <c r="F350" s="36"/>
      <c r="G350" s="36"/>
      <c r="H350" s="36"/>
      <c r="I350" s="36"/>
      <c r="J350" s="36"/>
      <c r="K350" s="36"/>
      <c r="L350" s="36"/>
      <c r="M350" s="36"/>
      <c r="N350" s="36"/>
      <c r="O350" s="36"/>
      <c r="P350" s="36"/>
      <c r="Q350" s="36"/>
      <c r="R350" s="36"/>
      <c r="S350" s="36"/>
      <c r="T350" s="36"/>
      <c r="U350" s="36"/>
      <c r="V350" s="36"/>
      <c r="W350" s="36"/>
      <c r="X350" s="36"/>
      <c r="Y350" s="36"/>
      <c r="Z350" s="36"/>
      <c r="AA350" s="36"/>
    </row>
    <row r="351" spans="1:27" x14ac:dyDescent="0.3">
      <c r="C351" t="s">
        <v>139</v>
      </c>
      <c r="D351" s="36">
        <v>28800</v>
      </c>
      <c r="E351" s="36"/>
      <c r="F351" s="36">
        <v>14400</v>
      </c>
      <c r="G351" s="36">
        <v>14400</v>
      </c>
      <c r="H351" s="36">
        <v>14400</v>
      </c>
      <c r="I351" s="36"/>
      <c r="J351" s="36"/>
      <c r="K351" s="36">
        <v>14400</v>
      </c>
      <c r="L351" s="36">
        <v>14400</v>
      </c>
      <c r="M351" s="36">
        <v>28800</v>
      </c>
      <c r="N351" s="36"/>
      <c r="O351" s="36">
        <v>14400</v>
      </c>
      <c r="P351" s="36"/>
      <c r="Q351" s="36">
        <v>14400</v>
      </c>
      <c r="R351" s="36"/>
      <c r="S351" s="36"/>
      <c r="T351" s="36"/>
      <c r="U351" s="36"/>
      <c r="V351" s="36"/>
      <c r="W351" s="36"/>
      <c r="X351" s="36"/>
      <c r="Y351" s="36"/>
      <c r="Z351" s="36"/>
      <c r="AA351" s="36"/>
    </row>
    <row r="352" spans="1:27" x14ac:dyDescent="0.3">
      <c r="C352" t="s">
        <v>140</v>
      </c>
      <c r="D352" s="36">
        <v>78163</v>
      </c>
      <c r="E352" s="36">
        <v>74105</v>
      </c>
      <c r="F352" s="36">
        <v>84892</v>
      </c>
      <c r="G352" s="36">
        <v>96198</v>
      </c>
      <c r="H352" s="36">
        <v>106903</v>
      </c>
      <c r="I352" s="36">
        <v>103184</v>
      </c>
      <c r="J352" s="36">
        <v>99617</v>
      </c>
      <c r="K352" s="36">
        <v>109160</v>
      </c>
      <c r="L352" s="36">
        <v>117900</v>
      </c>
      <c r="M352" s="36">
        <v>141227</v>
      </c>
      <c r="N352" s="36">
        <v>135757</v>
      </c>
      <c r="O352" s="36">
        <v>145032</v>
      </c>
      <c r="P352" s="36">
        <v>142050</v>
      </c>
      <c r="Q352" s="36">
        <v>154058</v>
      </c>
      <c r="R352" s="36">
        <v>151667</v>
      </c>
      <c r="S352" s="36">
        <v>149275</v>
      </c>
      <c r="T352" s="36">
        <v>146899</v>
      </c>
      <c r="U352" s="36">
        <v>144545</v>
      </c>
      <c r="V352" s="36">
        <v>142199</v>
      </c>
      <c r="W352" s="36">
        <v>139891</v>
      </c>
      <c r="X352" s="36">
        <v>137622</v>
      </c>
      <c r="Y352" s="36">
        <v>136848</v>
      </c>
      <c r="Z352" s="36">
        <v>136666</v>
      </c>
      <c r="AA352" s="36">
        <v>136484</v>
      </c>
    </row>
    <row r="353" spans="1:27" x14ac:dyDescent="0.3">
      <c r="C353" t="s">
        <v>141</v>
      </c>
      <c r="D353" s="36">
        <v>0</v>
      </c>
      <c r="E353" s="36">
        <v>0</v>
      </c>
      <c r="F353" s="36">
        <v>0</v>
      </c>
      <c r="G353" s="36">
        <v>0</v>
      </c>
      <c r="H353" s="36">
        <v>0</v>
      </c>
      <c r="I353" s="36">
        <v>0</v>
      </c>
      <c r="J353" s="36">
        <v>0</v>
      </c>
      <c r="K353" s="36">
        <v>0</v>
      </c>
      <c r="L353" s="36">
        <v>0</v>
      </c>
      <c r="M353" s="36">
        <v>0</v>
      </c>
      <c r="N353" s="36">
        <v>0</v>
      </c>
      <c r="O353" s="36">
        <v>0</v>
      </c>
      <c r="P353" s="36">
        <v>0</v>
      </c>
      <c r="Q353" s="36">
        <v>0</v>
      </c>
      <c r="R353" s="36">
        <v>0</v>
      </c>
      <c r="S353" s="36">
        <v>0</v>
      </c>
      <c r="T353" s="36">
        <v>0</v>
      </c>
      <c r="U353" s="36">
        <v>0</v>
      </c>
      <c r="V353" s="36">
        <v>0</v>
      </c>
      <c r="W353" s="36">
        <v>0</v>
      </c>
      <c r="X353" s="36">
        <v>0</v>
      </c>
      <c r="Y353" s="36">
        <v>0</v>
      </c>
      <c r="Z353" s="36">
        <v>0</v>
      </c>
      <c r="AA353" s="36">
        <v>0</v>
      </c>
    </row>
    <row r="354" spans="1:27" x14ac:dyDescent="0.3">
      <c r="A354" t="s">
        <v>197</v>
      </c>
      <c r="B354" t="s">
        <v>195</v>
      </c>
      <c r="C354" t="s">
        <v>129</v>
      </c>
      <c r="D354" s="36">
        <v>43733</v>
      </c>
      <c r="E354" s="36"/>
      <c r="F354" s="36"/>
      <c r="G354" s="36"/>
      <c r="H354" s="36"/>
      <c r="I354" s="36"/>
      <c r="J354" s="36"/>
      <c r="K354" s="36"/>
      <c r="L354" s="36"/>
      <c r="M354" s="36"/>
      <c r="N354" s="36"/>
      <c r="O354" s="36"/>
      <c r="P354" s="36"/>
      <c r="Q354" s="36"/>
      <c r="R354" s="36"/>
      <c r="S354" s="36"/>
      <c r="T354" s="36"/>
      <c r="U354" s="36"/>
      <c r="V354" s="36"/>
      <c r="W354" s="36"/>
      <c r="X354" s="36"/>
      <c r="Y354" s="36"/>
      <c r="Z354" s="36"/>
      <c r="AA354" s="36"/>
    </row>
    <row r="355" spans="1:27" x14ac:dyDescent="0.3">
      <c r="C355" t="s">
        <v>131</v>
      </c>
      <c r="D355" s="36">
        <v>37786</v>
      </c>
      <c r="E355" s="36">
        <v>47079</v>
      </c>
      <c r="F355" s="36">
        <v>41454</v>
      </c>
      <c r="G355" s="36">
        <v>47144</v>
      </c>
      <c r="H355" s="36">
        <v>46178</v>
      </c>
      <c r="I355" s="36">
        <v>72759</v>
      </c>
      <c r="J355" s="36">
        <v>45242</v>
      </c>
      <c r="K355" s="36">
        <v>36732</v>
      </c>
      <c r="L355" s="36">
        <v>43303</v>
      </c>
      <c r="M355" s="36">
        <v>40231</v>
      </c>
      <c r="N355" s="36">
        <v>57379</v>
      </c>
      <c r="O355" s="36">
        <v>32677</v>
      </c>
      <c r="P355" s="36">
        <v>30728</v>
      </c>
      <c r="Q355" s="36">
        <v>20644</v>
      </c>
      <c r="R355" s="36">
        <v>19694</v>
      </c>
      <c r="S355" s="36">
        <v>19191</v>
      </c>
      <c r="T355" s="36">
        <v>18741</v>
      </c>
      <c r="U355" s="36">
        <v>24449</v>
      </c>
      <c r="V355" s="36">
        <v>26111</v>
      </c>
      <c r="W355" s="36">
        <v>26108</v>
      </c>
      <c r="X355" s="36">
        <v>26110</v>
      </c>
      <c r="Y355" s="36">
        <v>22889</v>
      </c>
      <c r="Z355" s="36">
        <v>21547</v>
      </c>
      <c r="AA355" s="36">
        <v>21546</v>
      </c>
    </row>
    <row r="356" spans="1:27" x14ac:dyDescent="0.3">
      <c r="C356" t="s">
        <v>132</v>
      </c>
      <c r="D356" s="36">
        <v>98136</v>
      </c>
      <c r="E356" s="36"/>
      <c r="F356" s="36"/>
      <c r="G356" s="36"/>
      <c r="H356" s="36"/>
      <c r="I356" s="36"/>
      <c r="J356" s="36"/>
      <c r="K356" s="36"/>
      <c r="L356" s="36"/>
      <c r="M356" s="36"/>
      <c r="N356" s="36"/>
      <c r="O356" s="36"/>
      <c r="P356" s="36"/>
      <c r="Q356" s="36"/>
      <c r="R356" s="36"/>
      <c r="S356" s="36"/>
      <c r="T356" s="36"/>
      <c r="U356" s="36"/>
      <c r="V356" s="36"/>
      <c r="W356" s="36"/>
      <c r="X356" s="36"/>
      <c r="Y356" s="36"/>
      <c r="Z356" s="36"/>
      <c r="AA356" s="36"/>
    </row>
    <row r="357" spans="1:27" x14ac:dyDescent="0.3">
      <c r="C357" t="s">
        <v>133</v>
      </c>
      <c r="D357" s="36">
        <v>0</v>
      </c>
      <c r="E357" s="36"/>
      <c r="F357" s="36"/>
      <c r="G357" s="36"/>
      <c r="H357" s="36"/>
      <c r="I357" s="36"/>
      <c r="J357" s="36"/>
      <c r="K357" s="36"/>
      <c r="L357" s="36"/>
      <c r="M357" s="36"/>
      <c r="N357" s="36"/>
      <c r="O357" s="36"/>
      <c r="P357" s="36"/>
      <c r="Q357" s="36"/>
      <c r="R357" s="36"/>
      <c r="S357" s="36"/>
      <c r="T357" s="36"/>
      <c r="U357" s="36"/>
      <c r="V357" s="36"/>
      <c r="W357" s="36"/>
      <c r="X357" s="36"/>
      <c r="Y357" s="36"/>
      <c r="Z357" s="36"/>
      <c r="AA357" s="36"/>
    </row>
    <row r="358" spans="1:27" x14ac:dyDescent="0.3">
      <c r="C358" t="s">
        <v>134</v>
      </c>
      <c r="D358" s="36">
        <v>10539</v>
      </c>
      <c r="E358" s="36"/>
      <c r="F358" s="36"/>
      <c r="G358" s="36"/>
      <c r="H358" s="36"/>
      <c r="I358" s="36"/>
      <c r="J358" s="36"/>
      <c r="K358" s="36"/>
      <c r="L358" s="36"/>
      <c r="M358" s="36"/>
      <c r="N358" s="36"/>
      <c r="O358" s="36"/>
      <c r="P358" s="36"/>
      <c r="Q358" s="36"/>
      <c r="R358" s="36"/>
      <c r="S358" s="36"/>
      <c r="T358" s="36"/>
      <c r="U358" s="36"/>
      <c r="V358" s="36"/>
      <c r="W358" s="36"/>
      <c r="X358" s="36"/>
      <c r="Y358" s="36"/>
      <c r="Z358" s="36"/>
      <c r="AA358" s="36"/>
    </row>
    <row r="359" spans="1:27" x14ac:dyDescent="0.3">
      <c r="C359" t="s">
        <v>135</v>
      </c>
      <c r="D359" s="36"/>
      <c r="E359" s="36"/>
      <c r="F359" s="36"/>
      <c r="G359" s="36"/>
      <c r="H359" s="36"/>
      <c r="I359" s="36"/>
      <c r="J359" s="36"/>
      <c r="K359" s="36"/>
      <c r="L359" s="36"/>
      <c r="M359" s="36"/>
      <c r="N359" s="36"/>
      <c r="O359" s="36"/>
      <c r="P359" s="36"/>
      <c r="Q359" s="36"/>
      <c r="R359" s="36"/>
      <c r="S359" s="36"/>
      <c r="T359" s="36"/>
      <c r="U359" s="36"/>
      <c r="V359" s="36"/>
      <c r="W359" s="36"/>
      <c r="X359" s="36"/>
      <c r="Y359" s="36"/>
      <c r="Z359" s="36"/>
      <c r="AA359" s="36"/>
    </row>
    <row r="360" spans="1:27" x14ac:dyDescent="0.3">
      <c r="C360" t="s">
        <v>136</v>
      </c>
      <c r="D360" s="36">
        <v>0</v>
      </c>
      <c r="E360" s="36">
        <v>0</v>
      </c>
      <c r="F360" s="36">
        <v>0</v>
      </c>
      <c r="G360" s="36">
        <v>0</v>
      </c>
      <c r="H360" s="36">
        <v>0</v>
      </c>
      <c r="I360" s="36">
        <v>0</v>
      </c>
      <c r="J360" s="36">
        <v>0</v>
      </c>
      <c r="K360" s="36">
        <v>0</v>
      </c>
      <c r="L360" s="36">
        <v>0</v>
      </c>
      <c r="M360" s="36">
        <v>0</v>
      </c>
      <c r="N360" s="36">
        <v>0</v>
      </c>
      <c r="O360" s="36">
        <v>3240</v>
      </c>
      <c r="P360" s="36">
        <v>3240</v>
      </c>
      <c r="Q360" s="36">
        <v>1620</v>
      </c>
      <c r="R360" s="36">
        <v>1620</v>
      </c>
      <c r="S360" s="36">
        <v>3240</v>
      </c>
      <c r="T360" s="36">
        <v>0</v>
      </c>
      <c r="U360" s="36">
        <v>0</v>
      </c>
      <c r="V360" s="36">
        <v>0</v>
      </c>
      <c r="W360" s="36">
        <v>0</v>
      </c>
      <c r="X360" s="36">
        <v>0</v>
      </c>
      <c r="Y360" s="36">
        <v>0</v>
      </c>
      <c r="Z360" s="36">
        <v>0</v>
      </c>
      <c r="AA360" s="36">
        <v>0</v>
      </c>
    </row>
    <row r="361" spans="1:27" x14ac:dyDescent="0.3">
      <c r="C361" t="s">
        <v>124</v>
      </c>
      <c r="D361" s="36"/>
      <c r="E361" s="36"/>
      <c r="F361" s="36"/>
      <c r="G361" s="36"/>
      <c r="H361" s="36"/>
      <c r="I361" s="36"/>
      <c r="J361" s="36"/>
      <c r="K361" s="36"/>
      <c r="L361" s="36"/>
      <c r="M361" s="36"/>
      <c r="N361" s="36"/>
      <c r="O361" s="36">
        <v>3240</v>
      </c>
      <c r="P361" s="36">
        <v>3240</v>
      </c>
      <c r="Q361" s="36">
        <v>1620</v>
      </c>
      <c r="R361" s="36">
        <v>1620</v>
      </c>
      <c r="S361" s="36">
        <v>3240</v>
      </c>
      <c r="T361" s="36"/>
      <c r="U361" s="36"/>
      <c r="V361" s="36"/>
      <c r="W361" s="36"/>
      <c r="X361" s="36"/>
      <c r="Y361" s="36"/>
      <c r="Z361" s="36"/>
      <c r="AA361" s="36"/>
    </row>
    <row r="362" spans="1:27" x14ac:dyDescent="0.3">
      <c r="C362" t="s">
        <v>137</v>
      </c>
      <c r="D362" s="36"/>
      <c r="E362" s="36"/>
      <c r="F362" s="36"/>
      <c r="G362" s="36"/>
      <c r="H362" s="36"/>
      <c r="I362" s="36"/>
      <c r="J362" s="36"/>
      <c r="K362" s="36"/>
      <c r="L362" s="36"/>
      <c r="M362" s="36"/>
      <c r="N362" s="36"/>
      <c r="O362" s="36"/>
      <c r="P362" s="36"/>
      <c r="Q362" s="36"/>
      <c r="R362" s="36"/>
      <c r="S362" s="36"/>
      <c r="T362" s="36"/>
      <c r="U362" s="36"/>
      <c r="V362" s="36"/>
      <c r="W362" s="36"/>
      <c r="X362" s="36"/>
      <c r="Y362" s="36"/>
      <c r="Z362" s="36"/>
      <c r="AA362" s="36"/>
    </row>
    <row r="363" spans="1:27" x14ac:dyDescent="0.3">
      <c r="C363" t="s">
        <v>138</v>
      </c>
      <c r="D363" s="36"/>
      <c r="E363" s="36"/>
      <c r="F363" s="36"/>
      <c r="G363" s="36"/>
      <c r="H363" s="36"/>
      <c r="I363" s="36"/>
      <c r="J363" s="36"/>
      <c r="K363" s="36"/>
      <c r="L363" s="36"/>
      <c r="M363" s="36"/>
      <c r="N363" s="36"/>
      <c r="O363" s="36"/>
      <c r="P363" s="36"/>
      <c r="Q363" s="36"/>
      <c r="R363" s="36"/>
      <c r="S363" s="36"/>
      <c r="T363" s="36"/>
      <c r="U363" s="36"/>
      <c r="V363" s="36"/>
      <c r="W363" s="36"/>
      <c r="X363" s="36"/>
      <c r="Y363" s="36"/>
      <c r="Z363" s="36"/>
      <c r="AA363" s="36"/>
    </row>
    <row r="364" spans="1:27" x14ac:dyDescent="0.3">
      <c r="C364" t="s">
        <v>139</v>
      </c>
      <c r="D364" s="36"/>
      <c r="E364" s="36"/>
      <c r="F364" s="36"/>
      <c r="G364" s="36"/>
      <c r="H364" s="36"/>
      <c r="I364" s="36"/>
      <c r="J364" s="36"/>
      <c r="K364" s="36"/>
      <c r="L364" s="36"/>
      <c r="M364" s="36"/>
      <c r="N364" s="36"/>
      <c r="O364" s="36">
        <v>3240</v>
      </c>
      <c r="P364" s="36">
        <v>3240</v>
      </c>
      <c r="Q364" s="36">
        <v>1620</v>
      </c>
      <c r="R364" s="36">
        <v>1620</v>
      </c>
      <c r="S364" s="36">
        <v>3240</v>
      </c>
      <c r="T364" s="36"/>
      <c r="U364" s="36"/>
      <c r="V364" s="36"/>
      <c r="W364" s="36"/>
      <c r="X364" s="36"/>
      <c r="Y364" s="36"/>
      <c r="Z364" s="36"/>
      <c r="AA364" s="36"/>
    </row>
    <row r="365" spans="1:27" x14ac:dyDescent="0.3">
      <c r="C365" t="s">
        <v>140</v>
      </c>
      <c r="D365" s="36">
        <v>27156</v>
      </c>
      <c r="E365" s="36">
        <v>-19923</v>
      </c>
      <c r="F365" s="36">
        <v>-61377</v>
      </c>
      <c r="G365" s="36">
        <v>-108521</v>
      </c>
      <c r="H365" s="36">
        <v>-154699</v>
      </c>
      <c r="I365" s="36">
        <v>-227458</v>
      </c>
      <c r="J365" s="36">
        <v>-272700</v>
      </c>
      <c r="K365" s="36">
        <v>-309432</v>
      </c>
      <c r="L365" s="36">
        <v>-352735</v>
      </c>
      <c r="M365" s="36">
        <v>-392966</v>
      </c>
      <c r="N365" s="36">
        <v>-450345</v>
      </c>
      <c r="O365" s="36">
        <v>-479782</v>
      </c>
      <c r="P365" s="36">
        <v>-507270</v>
      </c>
      <c r="Q365" s="36">
        <v>-526294</v>
      </c>
      <c r="R365" s="36">
        <v>-544368</v>
      </c>
      <c r="S365" s="36">
        <v>-560319</v>
      </c>
      <c r="T365" s="36">
        <v>-579060</v>
      </c>
      <c r="U365" s="36">
        <v>-603509</v>
      </c>
      <c r="V365" s="36">
        <v>-629620</v>
      </c>
      <c r="W365" s="36">
        <v>-655728</v>
      </c>
      <c r="X365" s="36">
        <v>-681838</v>
      </c>
      <c r="Y365" s="36">
        <v>-704727</v>
      </c>
      <c r="Z365" s="36">
        <v>-726274</v>
      </c>
      <c r="AA365" s="36">
        <v>-747820</v>
      </c>
    </row>
    <row r="366" spans="1:27" x14ac:dyDescent="0.3">
      <c r="C366" t="s">
        <v>141</v>
      </c>
      <c r="D366" s="36">
        <v>0</v>
      </c>
      <c r="E366" s="36">
        <v>0</v>
      </c>
      <c r="F366" s="36">
        <v>0</v>
      </c>
      <c r="G366" s="36">
        <v>0</v>
      </c>
      <c r="H366" s="36">
        <v>0</v>
      </c>
      <c r="I366" s="36">
        <v>0</v>
      </c>
      <c r="J366" s="36">
        <v>0</v>
      </c>
      <c r="K366" s="36">
        <v>0</v>
      </c>
      <c r="L366" s="36">
        <v>0</v>
      </c>
      <c r="M366" s="36">
        <v>0</v>
      </c>
      <c r="N366" s="36">
        <v>0</v>
      </c>
      <c r="O366" s="36">
        <v>0</v>
      </c>
      <c r="P366" s="36">
        <v>0</v>
      </c>
      <c r="Q366" s="36">
        <v>0</v>
      </c>
      <c r="R366" s="36">
        <v>0</v>
      </c>
      <c r="S366" s="36">
        <v>0</v>
      </c>
      <c r="T366" s="36">
        <v>0</v>
      </c>
      <c r="U366" s="36">
        <v>0</v>
      </c>
      <c r="V366" s="36">
        <v>0</v>
      </c>
      <c r="W366" s="36">
        <v>0</v>
      </c>
      <c r="X366" s="36">
        <v>0</v>
      </c>
      <c r="Y366" s="36">
        <v>0</v>
      </c>
      <c r="Z366" s="36">
        <v>0</v>
      </c>
      <c r="AA366" s="36">
        <v>0</v>
      </c>
    </row>
    <row r="367" spans="1:27" x14ac:dyDescent="0.3">
      <c r="B367" t="s">
        <v>177</v>
      </c>
      <c r="C367" t="s">
        <v>129</v>
      </c>
      <c r="D367" s="36">
        <v>534152</v>
      </c>
      <c r="E367" s="36"/>
      <c r="F367" s="36"/>
      <c r="G367" s="36"/>
      <c r="H367" s="36"/>
      <c r="I367" s="36"/>
      <c r="J367" s="36"/>
      <c r="K367" s="36"/>
      <c r="L367" s="36"/>
      <c r="M367" s="36"/>
      <c r="N367" s="36"/>
      <c r="O367" s="36"/>
      <c r="P367" s="36"/>
      <c r="Q367" s="36"/>
      <c r="R367" s="36"/>
      <c r="S367" s="36"/>
      <c r="T367" s="36"/>
      <c r="U367" s="36"/>
      <c r="V367" s="36"/>
      <c r="W367" s="36"/>
      <c r="X367" s="36"/>
      <c r="Y367" s="36"/>
      <c r="Z367" s="36"/>
      <c r="AA367" s="36"/>
    </row>
    <row r="368" spans="1:27" x14ac:dyDescent="0.3">
      <c r="C368" t="s">
        <v>131</v>
      </c>
      <c r="D368" s="36">
        <v>269917</v>
      </c>
      <c r="E368" s="36">
        <v>361900</v>
      </c>
      <c r="F368" s="36">
        <v>415329</v>
      </c>
      <c r="G368" s="36">
        <v>289004</v>
      </c>
      <c r="H368" s="36">
        <v>348532</v>
      </c>
      <c r="I368" s="36">
        <v>389125</v>
      </c>
      <c r="J368" s="36">
        <v>299365</v>
      </c>
      <c r="K368" s="36">
        <v>287607</v>
      </c>
      <c r="L368" s="36">
        <v>283558</v>
      </c>
      <c r="M368" s="36">
        <v>312187</v>
      </c>
      <c r="N368" s="36">
        <v>268601</v>
      </c>
      <c r="O368" s="36">
        <v>285396</v>
      </c>
      <c r="P368" s="36">
        <v>272783</v>
      </c>
      <c r="Q368" s="36">
        <v>218397</v>
      </c>
      <c r="R368" s="36">
        <v>231083</v>
      </c>
      <c r="S368" s="36">
        <v>231433</v>
      </c>
      <c r="T368" s="36">
        <v>221172</v>
      </c>
      <c r="U368" s="36">
        <v>153708</v>
      </c>
      <c r="V368" s="36">
        <v>125470</v>
      </c>
      <c r="W368" s="36">
        <v>130120</v>
      </c>
      <c r="X368" s="36">
        <v>128604</v>
      </c>
      <c r="Y368" s="36">
        <v>97429</v>
      </c>
      <c r="Z368" s="36">
        <v>84055</v>
      </c>
      <c r="AA368" s="36">
        <v>83428</v>
      </c>
    </row>
    <row r="369" spans="1:27" x14ac:dyDescent="0.3">
      <c r="C369" t="s">
        <v>132</v>
      </c>
      <c r="D369" s="36">
        <v>1715472</v>
      </c>
      <c r="E369" s="36"/>
      <c r="F369" s="36"/>
      <c r="G369" s="36"/>
      <c r="H369" s="36"/>
      <c r="I369" s="36"/>
      <c r="J369" s="36"/>
      <c r="K369" s="36"/>
      <c r="L369" s="36"/>
      <c r="M369" s="36"/>
      <c r="N369" s="36"/>
      <c r="O369" s="36"/>
      <c r="P369" s="36"/>
      <c r="Q369" s="36"/>
      <c r="R369" s="36"/>
      <c r="S369" s="36"/>
      <c r="T369" s="36"/>
      <c r="U369" s="36"/>
      <c r="V369" s="36"/>
      <c r="W369" s="36"/>
      <c r="X369" s="36"/>
      <c r="Y369" s="36"/>
      <c r="Z369" s="36"/>
      <c r="AA369" s="36"/>
    </row>
    <row r="370" spans="1:27" x14ac:dyDescent="0.3">
      <c r="C370" t="s">
        <v>133</v>
      </c>
      <c r="D370" s="36">
        <v>0</v>
      </c>
      <c r="E370" s="36"/>
      <c r="F370" s="36"/>
      <c r="G370" s="36"/>
      <c r="H370" s="36"/>
      <c r="I370" s="36"/>
      <c r="J370" s="36"/>
      <c r="K370" s="36"/>
      <c r="L370" s="36"/>
      <c r="M370" s="36"/>
      <c r="N370" s="36"/>
      <c r="O370" s="36"/>
      <c r="P370" s="36"/>
      <c r="Q370" s="36"/>
      <c r="R370" s="36"/>
      <c r="S370" s="36"/>
      <c r="T370" s="36"/>
      <c r="U370" s="36"/>
      <c r="V370" s="36"/>
      <c r="W370" s="36"/>
      <c r="X370" s="36"/>
      <c r="Y370" s="36"/>
      <c r="Z370" s="36"/>
      <c r="AA370" s="36"/>
    </row>
    <row r="371" spans="1:27" x14ac:dyDescent="0.3">
      <c r="C371" t="s">
        <v>134</v>
      </c>
      <c r="D371" s="36">
        <v>107291</v>
      </c>
      <c r="E371" s="36"/>
      <c r="F371" s="36"/>
      <c r="G371" s="36"/>
      <c r="H371" s="36"/>
      <c r="I371" s="36"/>
      <c r="J371" s="36"/>
      <c r="K371" s="36"/>
      <c r="L371" s="36"/>
      <c r="M371" s="36"/>
      <c r="N371" s="36"/>
      <c r="O371" s="36"/>
      <c r="P371" s="36"/>
      <c r="Q371" s="36"/>
      <c r="R371" s="36"/>
      <c r="S371" s="36"/>
      <c r="T371" s="36"/>
      <c r="U371" s="36"/>
      <c r="V371" s="36"/>
      <c r="W371" s="36"/>
      <c r="X371" s="36"/>
      <c r="Y371" s="36"/>
      <c r="Z371" s="36"/>
      <c r="AA371" s="36"/>
    </row>
    <row r="372" spans="1:27" x14ac:dyDescent="0.3">
      <c r="C372" t="s">
        <v>135</v>
      </c>
      <c r="D372" s="36">
        <v>183024</v>
      </c>
      <c r="E372" s="36"/>
      <c r="F372" s="36"/>
      <c r="G372" s="36"/>
      <c r="H372" s="36"/>
      <c r="I372" s="36"/>
      <c r="J372" s="36"/>
      <c r="K372" s="36"/>
      <c r="L372" s="36"/>
      <c r="M372" s="36"/>
      <c r="N372" s="36"/>
      <c r="O372" s="36"/>
      <c r="P372" s="36"/>
      <c r="Q372" s="36"/>
      <c r="R372" s="36"/>
      <c r="S372" s="36"/>
      <c r="T372" s="36"/>
      <c r="U372" s="36"/>
      <c r="V372" s="36"/>
      <c r="W372" s="36"/>
      <c r="X372" s="36"/>
      <c r="Y372" s="36"/>
      <c r="Z372" s="36"/>
      <c r="AA372" s="36"/>
    </row>
    <row r="373" spans="1:27" x14ac:dyDescent="0.3">
      <c r="C373" t="s">
        <v>136</v>
      </c>
      <c r="D373" s="36">
        <v>202702</v>
      </c>
      <c r="E373" s="36">
        <v>0</v>
      </c>
      <c r="F373" s="36">
        <v>428640</v>
      </c>
      <c r="G373" s="36">
        <v>353940</v>
      </c>
      <c r="H373" s="36">
        <v>353940</v>
      </c>
      <c r="I373" s="36">
        <v>357180</v>
      </c>
      <c r="J373" s="36">
        <v>249580</v>
      </c>
      <c r="K373" s="36">
        <v>249580</v>
      </c>
      <c r="L373" s="36">
        <v>299580</v>
      </c>
      <c r="M373" s="36">
        <v>299580</v>
      </c>
      <c r="N373" s="36">
        <v>34380</v>
      </c>
      <c r="O373" s="36">
        <v>149580</v>
      </c>
      <c r="P373" s="36">
        <v>313160</v>
      </c>
      <c r="Q373" s="36">
        <v>94280</v>
      </c>
      <c r="R373" s="36">
        <v>159480</v>
      </c>
      <c r="S373" s="36">
        <v>9720</v>
      </c>
      <c r="T373" s="36">
        <v>0</v>
      </c>
      <c r="U373" s="36">
        <v>0</v>
      </c>
      <c r="V373" s="36">
        <v>0</v>
      </c>
      <c r="W373" s="36">
        <v>0</v>
      </c>
      <c r="X373" s="36">
        <v>0</v>
      </c>
      <c r="Y373" s="36">
        <v>0</v>
      </c>
      <c r="Z373" s="36">
        <v>0</v>
      </c>
      <c r="AA373" s="36">
        <v>0</v>
      </c>
    </row>
    <row r="374" spans="1:27" x14ac:dyDescent="0.3">
      <c r="C374" t="s">
        <v>124</v>
      </c>
      <c r="D374" s="36">
        <v>202702</v>
      </c>
      <c r="E374" s="36"/>
      <c r="F374" s="36">
        <v>428640</v>
      </c>
      <c r="G374" s="36">
        <v>353940</v>
      </c>
      <c r="H374" s="36">
        <v>353940</v>
      </c>
      <c r="I374" s="36">
        <v>357180</v>
      </c>
      <c r="J374" s="36">
        <v>249580</v>
      </c>
      <c r="K374" s="36">
        <v>249580</v>
      </c>
      <c r="L374" s="36">
        <v>299580</v>
      </c>
      <c r="M374" s="36">
        <v>299580</v>
      </c>
      <c r="N374" s="36">
        <v>34380</v>
      </c>
      <c r="O374" s="36">
        <v>149580</v>
      </c>
      <c r="P374" s="36">
        <v>313160</v>
      </c>
      <c r="Q374" s="36">
        <v>94280</v>
      </c>
      <c r="R374" s="36">
        <v>159480</v>
      </c>
      <c r="S374" s="36">
        <v>9720</v>
      </c>
      <c r="T374" s="36"/>
      <c r="U374" s="36"/>
      <c r="V374" s="36"/>
      <c r="W374" s="36"/>
      <c r="X374" s="36"/>
      <c r="Y374" s="36"/>
      <c r="Z374" s="36"/>
      <c r="AA374" s="36"/>
    </row>
    <row r="375" spans="1:27" x14ac:dyDescent="0.3">
      <c r="C375" t="s">
        <v>137</v>
      </c>
      <c r="D375" s="36"/>
      <c r="E375" s="36"/>
      <c r="F375" s="36"/>
      <c r="G375" s="36"/>
      <c r="H375" s="36"/>
      <c r="I375" s="36"/>
      <c r="J375" s="36"/>
      <c r="K375" s="36"/>
      <c r="L375" s="36"/>
      <c r="M375" s="36"/>
      <c r="N375" s="36"/>
      <c r="O375" s="36"/>
      <c r="P375" s="36"/>
      <c r="Q375" s="36"/>
      <c r="R375" s="36"/>
      <c r="S375" s="36"/>
      <c r="T375" s="36"/>
      <c r="U375" s="36"/>
      <c r="V375" s="36"/>
      <c r="W375" s="36"/>
      <c r="X375" s="36"/>
      <c r="Y375" s="36"/>
      <c r="Z375" s="36"/>
      <c r="AA375" s="36"/>
    </row>
    <row r="376" spans="1:27" x14ac:dyDescent="0.3">
      <c r="C376" t="s">
        <v>138</v>
      </c>
      <c r="D376" s="36"/>
      <c r="E376" s="36"/>
      <c r="F376" s="36"/>
      <c r="G376" s="36"/>
      <c r="H376" s="36"/>
      <c r="I376" s="36"/>
      <c r="J376" s="36"/>
      <c r="K376" s="36"/>
      <c r="L376" s="36"/>
      <c r="M376" s="36"/>
      <c r="N376" s="36"/>
      <c r="O376" s="36"/>
      <c r="P376" s="36"/>
      <c r="Q376" s="36"/>
      <c r="R376" s="36"/>
      <c r="S376" s="36"/>
      <c r="T376" s="36"/>
      <c r="U376" s="36"/>
      <c r="V376" s="36"/>
      <c r="W376" s="36"/>
      <c r="X376" s="36"/>
      <c r="Y376" s="36"/>
      <c r="Z376" s="36"/>
      <c r="AA376" s="36"/>
    </row>
    <row r="377" spans="1:27" x14ac:dyDescent="0.3">
      <c r="C377" t="s">
        <v>139</v>
      </c>
      <c r="D377" s="36">
        <v>202702</v>
      </c>
      <c r="E377" s="36"/>
      <c r="F377" s="36">
        <v>428640</v>
      </c>
      <c r="G377" s="36">
        <v>353940</v>
      </c>
      <c r="H377" s="36">
        <v>353940</v>
      </c>
      <c r="I377" s="36">
        <v>357180</v>
      </c>
      <c r="J377" s="36">
        <v>249580</v>
      </c>
      <c r="K377" s="36">
        <v>249580</v>
      </c>
      <c r="L377" s="36">
        <v>299580</v>
      </c>
      <c r="M377" s="36">
        <v>299580</v>
      </c>
      <c r="N377" s="36">
        <v>34380</v>
      </c>
      <c r="O377" s="36">
        <v>149580</v>
      </c>
      <c r="P377" s="36">
        <v>313160</v>
      </c>
      <c r="Q377" s="36">
        <v>94280</v>
      </c>
      <c r="R377" s="36">
        <v>159480</v>
      </c>
      <c r="S377" s="36">
        <v>9720</v>
      </c>
      <c r="T377" s="36"/>
      <c r="U377" s="36"/>
      <c r="V377" s="36"/>
      <c r="W377" s="36"/>
      <c r="X377" s="36"/>
      <c r="Y377" s="36"/>
      <c r="Z377" s="36"/>
      <c r="AA377" s="36"/>
    </row>
    <row r="378" spans="1:27" x14ac:dyDescent="0.3">
      <c r="C378" t="s">
        <v>140</v>
      </c>
      <c r="D378" s="36">
        <v>1404420</v>
      </c>
      <c r="E378" s="36">
        <v>1042520</v>
      </c>
      <c r="F378" s="36">
        <v>1055831</v>
      </c>
      <c r="G378" s="36">
        <v>1120767</v>
      </c>
      <c r="H378" s="36">
        <v>1126175</v>
      </c>
      <c r="I378" s="36">
        <v>1094230</v>
      </c>
      <c r="J378" s="36">
        <v>1044445</v>
      </c>
      <c r="K378" s="36">
        <v>1006418</v>
      </c>
      <c r="L378" s="36">
        <v>1022440</v>
      </c>
      <c r="M378" s="36">
        <v>1009833</v>
      </c>
      <c r="N378" s="36">
        <v>775612</v>
      </c>
      <c r="O378" s="36">
        <v>639796</v>
      </c>
      <c r="P378" s="36">
        <v>680173</v>
      </c>
      <c r="Q378" s="36">
        <v>556056</v>
      </c>
      <c r="R378" s="36">
        <v>484453</v>
      </c>
      <c r="S378" s="36">
        <v>262740</v>
      </c>
      <c r="T378" s="36">
        <v>41568</v>
      </c>
      <c r="U378" s="36">
        <v>-112140</v>
      </c>
      <c r="V378" s="36">
        <v>-237610</v>
      </c>
      <c r="W378" s="36">
        <v>-367730</v>
      </c>
      <c r="X378" s="36">
        <v>-496334</v>
      </c>
      <c r="Y378" s="36">
        <v>-593763</v>
      </c>
      <c r="Z378" s="36">
        <v>-677818</v>
      </c>
      <c r="AA378" s="36">
        <v>-761246</v>
      </c>
    </row>
    <row r="379" spans="1:27" x14ac:dyDescent="0.3">
      <c r="C379" t="s">
        <v>141</v>
      </c>
      <c r="D379" s="36">
        <v>0</v>
      </c>
      <c r="E379" s="36">
        <v>0</v>
      </c>
      <c r="F379" s="36">
        <v>0</v>
      </c>
      <c r="G379" s="36">
        <v>0</v>
      </c>
      <c r="H379" s="36">
        <v>0</v>
      </c>
      <c r="I379" s="36">
        <v>0</v>
      </c>
      <c r="J379" s="36">
        <v>0</v>
      </c>
      <c r="K379" s="36">
        <v>0</v>
      </c>
      <c r="L379" s="36">
        <v>0</v>
      </c>
      <c r="M379" s="36">
        <v>0</v>
      </c>
      <c r="N379" s="36">
        <v>0</v>
      </c>
      <c r="O379" s="36">
        <v>0</v>
      </c>
      <c r="P379" s="36">
        <v>0</v>
      </c>
      <c r="Q379" s="36">
        <v>0</v>
      </c>
      <c r="R379" s="36">
        <v>0</v>
      </c>
      <c r="S379" s="36">
        <v>0</v>
      </c>
      <c r="T379" s="36">
        <v>0</v>
      </c>
      <c r="U379" s="36">
        <v>0</v>
      </c>
      <c r="V379" s="36">
        <v>0</v>
      </c>
      <c r="W379" s="36">
        <v>0</v>
      </c>
      <c r="X379" s="36">
        <v>0</v>
      </c>
      <c r="Y379" s="36">
        <v>0</v>
      </c>
      <c r="Z379" s="36">
        <v>0</v>
      </c>
      <c r="AA379" s="36">
        <v>0</v>
      </c>
    </row>
    <row r="380" spans="1:27" x14ac:dyDescent="0.3">
      <c r="A380" t="s">
        <v>182</v>
      </c>
      <c r="B380" t="s">
        <v>195</v>
      </c>
      <c r="C380" t="s">
        <v>129</v>
      </c>
      <c r="D380" s="36">
        <v>544</v>
      </c>
      <c r="E380" s="36"/>
      <c r="F380" s="36"/>
      <c r="G380" s="36"/>
      <c r="H380" s="36"/>
      <c r="I380" s="36"/>
      <c r="J380" s="36"/>
      <c r="K380" s="36"/>
      <c r="L380" s="36"/>
      <c r="M380" s="36"/>
      <c r="N380" s="36"/>
      <c r="O380" s="36"/>
      <c r="P380" s="36"/>
      <c r="Q380" s="36"/>
      <c r="R380" s="36"/>
      <c r="S380" s="36"/>
      <c r="T380" s="36"/>
      <c r="U380" s="36"/>
      <c r="V380" s="36"/>
      <c r="W380" s="36"/>
      <c r="X380" s="36"/>
      <c r="Y380" s="36"/>
      <c r="Z380" s="36"/>
      <c r="AA380" s="36"/>
    </row>
    <row r="381" spans="1:27" x14ac:dyDescent="0.3">
      <c r="C381" t="s">
        <v>131</v>
      </c>
      <c r="D381" s="36">
        <v>60</v>
      </c>
      <c r="E381" s="36">
        <v>2105</v>
      </c>
      <c r="F381" s="36">
        <v>2202</v>
      </c>
      <c r="G381" s="36">
        <v>7851</v>
      </c>
      <c r="H381" s="36">
        <v>4382</v>
      </c>
      <c r="I381" s="36">
        <v>4631</v>
      </c>
      <c r="J381" s="36">
        <v>3831</v>
      </c>
      <c r="K381" s="36">
        <v>709</v>
      </c>
      <c r="L381" s="36">
        <v>571</v>
      </c>
      <c r="M381" s="36">
        <v>604</v>
      </c>
      <c r="N381" s="36">
        <v>462</v>
      </c>
      <c r="O381" s="36">
        <v>163</v>
      </c>
      <c r="P381" s="36">
        <v>263</v>
      </c>
      <c r="Q381" s="36">
        <v>114</v>
      </c>
      <c r="R381" s="36">
        <v>113</v>
      </c>
      <c r="S381" s="36">
        <v>112</v>
      </c>
      <c r="T381" s="36">
        <v>118</v>
      </c>
      <c r="U381" s="36">
        <v>122</v>
      </c>
      <c r="V381" s="36">
        <v>126</v>
      </c>
      <c r="W381" s="36">
        <v>125</v>
      </c>
      <c r="X381" s="36">
        <v>71</v>
      </c>
      <c r="Y381" s="36">
        <v>14</v>
      </c>
      <c r="Z381" s="36">
        <v>0</v>
      </c>
      <c r="AA381" s="36">
        <v>0</v>
      </c>
    </row>
    <row r="382" spans="1:27" x14ac:dyDescent="0.3">
      <c r="C382" t="s">
        <v>132</v>
      </c>
      <c r="D382" s="36">
        <v>0</v>
      </c>
      <c r="E382" s="36"/>
      <c r="F382" s="36"/>
      <c r="G382" s="36"/>
      <c r="H382" s="36"/>
      <c r="I382" s="36"/>
      <c r="J382" s="36"/>
      <c r="K382" s="36"/>
      <c r="L382" s="36"/>
      <c r="M382" s="36"/>
      <c r="N382" s="36"/>
      <c r="O382" s="36"/>
      <c r="P382" s="36"/>
      <c r="Q382" s="36"/>
      <c r="R382" s="36"/>
      <c r="S382" s="36"/>
      <c r="T382" s="36"/>
      <c r="U382" s="36"/>
      <c r="V382" s="36"/>
      <c r="W382" s="36"/>
      <c r="X382" s="36"/>
      <c r="Y382" s="36"/>
      <c r="Z382" s="36"/>
      <c r="AA382" s="36"/>
    </row>
    <row r="383" spans="1:27" x14ac:dyDescent="0.3">
      <c r="C383" t="s">
        <v>133</v>
      </c>
      <c r="D383" s="36">
        <v>0</v>
      </c>
      <c r="E383" s="36"/>
      <c r="F383" s="36"/>
      <c r="G383" s="36"/>
      <c r="H383" s="36"/>
      <c r="I383" s="36"/>
      <c r="J383" s="36"/>
      <c r="K383" s="36"/>
      <c r="L383" s="36"/>
      <c r="M383" s="36"/>
      <c r="N383" s="36"/>
      <c r="O383" s="36"/>
      <c r="P383" s="36"/>
      <c r="Q383" s="36"/>
      <c r="R383" s="36"/>
      <c r="S383" s="36"/>
      <c r="T383" s="36"/>
      <c r="U383" s="36"/>
      <c r="V383" s="36"/>
      <c r="W383" s="36"/>
      <c r="X383" s="36"/>
      <c r="Y383" s="36"/>
      <c r="Z383" s="36"/>
      <c r="AA383" s="36"/>
    </row>
    <row r="384" spans="1:27" x14ac:dyDescent="0.3">
      <c r="C384" t="s">
        <v>134</v>
      </c>
      <c r="D384" s="36">
        <v>10</v>
      </c>
      <c r="E384" s="36"/>
      <c r="F384" s="36"/>
      <c r="G384" s="36"/>
      <c r="H384" s="36"/>
      <c r="I384" s="36"/>
      <c r="J384" s="36"/>
      <c r="K384" s="36"/>
      <c r="L384" s="36"/>
      <c r="M384" s="36"/>
      <c r="N384" s="36"/>
      <c r="O384" s="36"/>
      <c r="P384" s="36"/>
      <c r="Q384" s="36"/>
      <c r="R384" s="36"/>
      <c r="S384" s="36"/>
      <c r="T384" s="36"/>
      <c r="U384" s="36"/>
      <c r="V384" s="36"/>
      <c r="W384" s="36"/>
      <c r="X384" s="36"/>
      <c r="Y384" s="36"/>
      <c r="Z384" s="36"/>
      <c r="AA384" s="36"/>
    </row>
    <row r="385" spans="2:27" x14ac:dyDescent="0.3">
      <c r="C385" t="s">
        <v>135</v>
      </c>
      <c r="D385" s="36"/>
      <c r="E385" s="36"/>
      <c r="F385" s="36"/>
      <c r="G385" s="36"/>
      <c r="H385" s="36"/>
      <c r="I385" s="36"/>
      <c r="J385" s="36"/>
      <c r="K385" s="36"/>
      <c r="L385" s="36"/>
      <c r="M385" s="36"/>
      <c r="N385" s="36"/>
      <c r="O385" s="36"/>
      <c r="P385" s="36"/>
      <c r="Q385" s="36"/>
      <c r="R385" s="36"/>
      <c r="S385" s="36"/>
      <c r="T385" s="36"/>
      <c r="U385" s="36"/>
      <c r="V385" s="36"/>
      <c r="W385" s="36"/>
      <c r="X385" s="36"/>
      <c r="Y385" s="36"/>
      <c r="Z385" s="36"/>
      <c r="AA385" s="36"/>
    </row>
    <row r="386" spans="2:27" x14ac:dyDescent="0.3">
      <c r="C386" t="s">
        <v>136</v>
      </c>
      <c r="D386" s="36">
        <v>0</v>
      </c>
      <c r="E386" s="36">
        <v>0</v>
      </c>
      <c r="F386" s="36">
        <v>0</v>
      </c>
      <c r="G386" s="36">
        <v>0</v>
      </c>
      <c r="H386" s="36">
        <v>0</v>
      </c>
      <c r="I386" s="36">
        <v>0</v>
      </c>
      <c r="J386" s="36">
        <v>0</v>
      </c>
      <c r="K386" s="36">
        <v>0</v>
      </c>
      <c r="L386" s="36">
        <v>0</v>
      </c>
      <c r="M386" s="36">
        <v>0</v>
      </c>
      <c r="N386" s="36">
        <v>0</v>
      </c>
      <c r="O386" s="36">
        <v>0</v>
      </c>
      <c r="P386" s="36">
        <v>0</v>
      </c>
      <c r="Q386" s="36">
        <v>0</v>
      </c>
      <c r="R386" s="36">
        <v>0</v>
      </c>
      <c r="S386" s="36">
        <v>0</v>
      </c>
      <c r="T386" s="36">
        <v>0</v>
      </c>
      <c r="U386" s="36">
        <v>0</v>
      </c>
      <c r="V386" s="36">
        <v>0</v>
      </c>
      <c r="W386" s="36">
        <v>0</v>
      </c>
      <c r="X386" s="36">
        <v>0</v>
      </c>
      <c r="Y386" s="36">
        <v>0</v>
      </c>
      <c r="Z386" s="36">
        <v>0</v>
      </c>
      <c r="AA386" s="36">
        <v>0</v>
      </c>
    </row>
    <row r="387" spans="2:27" x14ac:dyDescent="0.3">
      <c r="C387" t="s">
        <v>124</v>
      </c>
      <c r="D387" s="36"/>
      <c r="E387" s="36"/>
      <c r="F387" s="36"/>
      <c r="G387" s="36"/>
      <c r="H387" s="36"/>
      <c r="I387" s="36"/>
      <c r="J387" s="36"/>
      <c r="K387" s="36"/>
      <c r="L387" s="36"/>
      <c r="M387" s="36"/>
      <c r="N387" s="36"/>
      <c r="O387" s="36"/>
      <c r="P387" s="36"/>
      <c r="Q387" s="36"/>
      <c r="R387" s="36"/>
      <c r="S387" s="36"/>
      <c r="T387" s="36"/>
      <c r="U387" s="36"/>
      <c r="V387" s="36"/>
      <c r="W387" s="36"/>
      <c r="X387" s="36"/>
      <c r="Y387" s="36"/>
      <c r="Z387" s="36"/>
      <c r="AA387" s="36"/>
    </row>
    <row r="388" spans="2:27" x14ac:dyDescent="0.3">
      <c r="C388" t="s">
        <v>137</v>
      </c>
      <c r="D388" s="36"/>
      <c r="E388" s="36"/>
      <c r="F388" s="36"/>
      <c r="G388" s="36"/>
      <c r="H388" s="36"/>
      <c r="I388" s="36"/>
      <c r="J388" s="36"/>
      <c r="K388" s="36"/>
      <c r="L388" s="36"/>
      <c r="M388" s="36"/>
      <c r="N388" s="36"/>
      <c r="O388" s="36"/>
      <c r="P388" s="36"/>
      <c r="Q388" s="36"/>
      <c r="R388" s="36"/>
      <c r="S388" s="36"/>
      <c r="T388" s="36"/>
      <c r="U388" s="36"/>
      <c r="V388" s="36"/>
      <c r="W388" s="36"/>
      <c r="X388" s="36"/>
      <c r="Y388" s="36"/>
      <c r="Z388" s="36"/>
      <c r="AA388" s="36"/>
    </row>
    <row r="389" spans="2:27" x14ac:dyDescent="0.3">
      <c r="C389" t="s">
        <v>138</v>
      </c>
      <c r="D389" s="36"/>
      <c r="E389" s="36"/>
      <c r="F389" s="36"/>
      <c r="G389" s="36"/>
      <c r="H389" s="36"/>
      <c r="I389" s="36"/>
      <c r="J389" s="36"/>
      <c r="K389" s="36"/>
      <c r="L389" s="36"/>
      <c r="M389" s="36"/>
      <c r="N389" s="36"/>
      <c r="O389" s="36"/>
      <c r="P389" s="36"/>
      <c r="Q389" s="36"/>
      <c r="R389" s="36"/>
      <c r="S389" s="36"/>
      <c r="T389" s="36"/>
      <c r="U389" s="36"/>
      <c r="V389" s="36"/>
      <c r="W389" s="36"/>
      <c r="X389" s="36"/>
      <c r="Y389" s="36"/>
      <c r="Z389" s="36"/>
      <c r="AA389" s="36"/>
    </row>
    <row r="390" spans="2:27" x14ac:dyDescent="0.3">
      <c r="C390" t="s">
        <v>139</v>
      </c>
      <c r="D390" s="36"/>
      <c r="E390" s="36"/>
      <c r="F390" s="36"/>
      <c r="G390" s="36"/>
      <c r="H390" s="36"/>
      <c r="I390" s="36"/>
      <c r="J390" s="36"/>
      <c r="K390" s="36"/>
      <c r="L390" s="36"/>
      <c r="M390" s="36"/>
      <c r="N390" s="36"/>
      <c r="O390" s="36"/>
      <c r="P390" s="36"/>
      <c r="Q390" s="36"/>
      <c r="R390" s="36"/>
      <c r="S390" s="36"/>
      <c r="T390" s="36"/>
      <c r="U390" s="36"/>
      <c r="V390" s="36"/>
      <c r="W390" s="36"/>
      <c r="X390" s="36"/>
      <c r="Y390" s="36"/>
      <c r="Z390" s="36"/>
      <c r="AA390" s="36"/>
    </row>
    <row r="391" spans="2:27" x14ac:dyDescent="0.3">
      <c r="C391" t="s">
        <v>140</v>
      </c>
      <c r="D391" s="36">
        <v>-594</v>
      </c>
      <c r="E391" s="36">
        <v>-2699</v>
      </c>
      <c r="F391" s="36">
        <v>-4901</v>
      </c>
      <c r="G391" s="36">
        <v>-12752</v>
      </c>
      <c r="H391" s="36">
        <v>-17134</v>
      </c>
      <c r="I391" s="36">
        <v>-21765</v>
      </c>
      <c r="J391" s="36">
        <v>-25596</v>
      </c>
      <c r="K391" s="36">
        <v>-26305</v>
      </c>
      <c r="L391" s="36">
        <v>-26876</v>
      </c>
      <c r="M391" s="36">
        <v>-27480</v>
      </c>
      <c r="N391" s="36">
        <v>-27942</v>
      </c>
      <c r="O391" s="36">
        <v>-28105</v>
      </c>
      <c r="P391" s="36">
        <v>-28368</v>
      </c>
      <c r="Q391" s="36">
        <v>-28482</v>
      </c>
      <c r="R391" s="36">
        <v>-28595</v>
      </c>
      <c r="S391" s="36">
        <v>-28707</v>
      </c>
      <c r="T391" s="36">
        <v>-28825</v>
      </c>
      <c r="U391" s="36">
        <v>-28947</v>
      </c>
      <c r="V391" s="36">
        <v>-29073</v>
      </c>
      <c r="W391" s="36">
        <v>-29198</v>
      </c>
      <c r="X391" s="36">
        <v>-29269</v>
      </c>
      <c r="Y391" s="36">
        <v>-29283</v>
      </c>
      <c r="Z391" s="36">
        <v>-29283</v>
      </c>
      <c r="AA391" s="36">
        <v>-29283</v>
      </c>
    </row>
    <row r="392" spans="2:27" x14ac:dyDescent="0.3">
      <c r="C392" t="s">
        <v>141</v>
      </c>
      <c r="D392" s="36">
        <v>0</v>
      </c>
      <c r="E392" s="36">
        <v>0</v>
      </c>
      <c r="F392" s="36">
        <v>0</v>
      </c>
      <c r="G392" s="36">
        <v>0</v>
      </c>
      <c r="H392" s="36">
        <v>0</v>
      </c>
      <c r="I392" s="36">
        <v>0</v>
      </c>
      <c r="J392" s="36">
        <v>0</v>
      </c>
      <c r="K392" s="36">
        <v>0</v>
      </c>
      <c r="L392" s="36">
        <v>0</v>
      </c>
      <c r="M392" s="36">
        <v>0</v>
      </c>
      <c r="N392" s="36">
        <v>0</v>
      </c>
      <c r="O392" s="36">
        <v>0</v>
      </c>
      <c r="P392" s="36">
        <v>0</v>
      </c>
      <c r="Q392" s="36">
        <v>0</v>
      </c>
      <c r="R392" s="36">
        <v>0</v>
      </c>
      <c r="S392" s="36">
        <v>0</v>
      </c>
      <c r="T392" s="36">
        <v>0</v>
      </c>
      <c r="U392" s="36">
        <v>0</v>
      </c>
      <c r="V392" s="36">
        <v>0</v>
      </c>
      <c r="W392" s="36">
        <v>0</v>
      </c>
      <c r="X392" s="36">
        <v>0</v>
      </c>
      <c r="Y392" s="36">
        <v>0</v>
      </c>
      <c r="Z392" s="36">
        <v>0</v>
      </c>
      <c r="AA392" s="36">
        <v>0</v>
      </c>
    </row>
    <row r="393" spans="2:27" x14ac:dyDescent="0.3">
      <c r="B393" t="s">
        <v>177</v>
      </c>
      <c r="C393" t="s">
        <v>129</v>
      </c>
      <c r="D393" s="36">
        <v>109843</v>
      </c>
      <c r="E393" s="36"/>
      <c r="F393" s="36"/>
      <c r="G393" s="36"/>
      <c r="H393" s="36"/>
      <c r="I393" s="36"/>
      <c r="J393" s="36"/>
      <c r="K393" s="36"/>
      <c r="L393" s="36"/>
      <c r="M393" s="36"/>
      <c r="N393" s="36"/>
      <c r="O393" s="36"/>
      <c r="P393" s="36"/>
      <c r="Q393" s="36"/>
      <c r="R393" s="36"/>
      <c r="S393" s="36"/>
      <c r="T393" s="36"/>
      <c r="U393" s="36"/>
      <c r="V393" s="36"/>
      <c r="W393" s="36"/>
      <c r="X393" s="36"/>
      <c r="Y393" s="36"/>
      <c r="Z393" s="36"/>
      <c r="AA393" s="36"/>
    </row>
    <row r="394" spans="2:27" x14ac:dyDescent="0.3">
      <c r="C394" t="s">
        <v>131</v>
      </c>
      <c r="D394" s="36">
        <v>63247</v>
      </c>
      <c r="E394" s="36">
        <v>74725</v>
      </c>
      <c r="F394" s="36">
        <v>88038</v>
      </c>
      <c r="G394" s="36">
        <v>57119</v>
      </c>
      <c r="H394" s="36">
        <v>90035</v>
      </c>
      <c r="I394" s="36">
        <v>74941</v>
      </c>
      <c r="J394" s="36">
        <v>73551</v>
      </c>
      <c r="K394" s="36">
        <v>69619</v>
      </c>
      <c r="L394" s="36">
        <v>60811</v>
      </c>
      <c r="M394" s="36">
        <v>59448</v>
      </c>
      <c r="N394" s="36">
        <v>56719</v>
      </c>
      <c r="O394" s="36">
        <v>55117</v>
      </c>
      <c r="P394" s="36">
        <v>56609</v>
      </c>
      <c r="Q394" s="36">
        <v>62764</v>
      </c>
      <c r="R394" s="36">
        <v>62366</v>
      </c>
      <c r="S394" s="36">
        <v>62232</v>
      </c>
      <c r="T394" s="36">
        <v>62237</v>
      </c>
      <c r="U394" s="36">
        <v>51787</v>
      </c>
      <c r="V394" s="36">
        <v>48286</v>
      </c>
      <c r="W394" s="36">
        <v>47448</v>
      </c>
      <c r="X394" s="36">
        <v>47532</v>
      </c>
      <c r="Y394" s="36">
        <v>42675</v>
      </c>
      <c r="Z394" s="36">
        <v>42435</v>
      </c>
      <c r="AA394" s="36">
        <v>42845</v>
      </c>
    </row>
    <row r="395" spans="2:27" x14ac:dyDescent="0.3">
      <c r="C395" t="s">
        <v>132</v>
      </c>
      <c r="D395" s="36">
        <v>689700</v>
      </c>
      <c r="E395" s="36"/>
      <c r="F395" s="36"/>
      <c r="G395" s="36"/>
      <c r="H395" s="36"/>
      <c r="I395" s="36"/>
      <c r="J395" s="36"/>
      <c r="K395" s="36"/>
      <c r="L395" s="36"/>
      <c r="M395" s="36"/>
      <c r="N395" s="36"/>
      <c r="O395" s="36"/>
      <c r="P395" s="36"/>
      <c r="Q395" s="36"/>
      <c r="R395" s="36"/>
      <c r="S395" s="36"/>
      <c r="T395" s="36"/>
      <c r="U395" s="36"/>
      <c r="V395" s="36"/>
      <c r="W395" s="36"/>
      <c r="X395" s="36"/>
      <c r="Y395" s="36"/>
      <c r="Z395" s="36"/>
      <c r="AA395" s="36"/>
    </row>
    <row r="396" spans="2:27" x14ac:dyDescent="0.3">
      <c r="C396" t="s">
        <v>133</v>
      </c>
      <c r="D396" s="36">
        <v>0</v>
      </c>
      <c r="E396" s="36"/>
      <c r="F396" s="36"/>
      <c r="G396" s="36"/>
      <c r="H396" s="36"/>
      <c r="I396" s="36"/>
      <c r="J396" s="36"/>
      <c r="K396" s="36"/>
      <c r="L396" s="36"/>
      <c r="M396" s="36"/>
      <c r="N396" s="36"/>
      <c r="O396" s="36"/>
      <c r="P396" s="36"/>
      <c r="Q396" s="36"/>
      <c r="R396" s="36"/>
      <c r="S396" s="36"/>
      <c r="T396" s="36"/>
      <c r="U396" s="36"/>
      <c r="V396" s="36"/>
      <c r="W396" s="36"/>
      <c r="X396" s="36"/>
      <c r="Y396" s="36"/>
      <c r="Z396" s="36"/>
      <c r="AA396" s="36"/>
    </row>
    <row r="397" spans="2:27" x14ac:dyDescent="0.3">
      <c r="C397" t="s">
        <v>134</v>
      </c>
      <c r="D397" s="36">
        <v>13118</v>
      </c>
      <c r="E397" s="36"/>
      <c r="F397" s="36"/>
      <c r="G397" s="36"/>
      <c r="H397" s="36"/>
      <c r="I397" s="36"/>
      <c r="J397" s="36"/>
      <c r="K397" s="36"/>
      <c r="L397" s="36"/>
      <c r="M397" s="36"/>
      <c r="N397" s="36"/>
      <c r="O397" s="36"/>
      <c r="P397" s="36"/>
      <c r="Q397" s="36"/>
      <c r="R397" s="36"/>
      <c r="S397" s="36"/>
      <c r="T397" s="36"/>
      <c r="U397" s="36"/>
      <c r="V397" s="36"/>
      <c r="W397" s="36"/>
      <c r="X397" s="36"/>
      <c r="Y397" s="36"/>
      <c r="Z397" s="36"/>
      <c r="AA397" s="36"/>
    </row>
    <row r="398" spans="2:27" x14ac:dyDescent="0.3">
      <c r="C398" t="s">
        <v>135</v>
      </c>
      <c r="D398" s="36">
        <v>66888</v>
      </c>
      <c r="E398" s="36"/>
      <c r="F398" s="36"/>
      <c r="G398" s="36"/>
      <c r="H398" s="36"/>
      <c r="I398" s="36"/>
      <c r="J398" s="36"/>
      <c r="K398" s="36"/>
      <c r="L398" s="36"/>
      <c r="M398" s="36"/>
      <c r="N398" s="36"/>
      <c r="O398" s="36"/>
      <c r="P398" s="36"/>
      <c r="Q398" s="36"/>
      <c r="R398" s="36"/>
      <c r="S398" s="36"/>
      <c r="T398" s="36"/>
      <c r="U398" s="36"/>
      <c r="V398" s="36"/>
      <c r="W398" s="36"/>
      <c r="X398" s="36"/>
      <c r="Y398" s="36"/>
      <c r="Z398" s="36"/>
      <c r="AA398" s="36"/>
    </row>
    <row r="399" spans="2:27" x14ac:dyDescent="0.3">
      <c r="C399" t="s">
        <v>136</v>
      </c>
      <c r="D399" s="36">
        <v>0</v>
      </c>
      <c r="E399" s="36">
        <v>36864</v>
      </c>
      <c r="F399" s="36">
        <v>58788</v>
      </c>
      <c r="G399" s="36">
        <v>58788</v>
      </c>
      <c r="H399" s="36">
        <v>63788</v>
      </c>
      <c r="I399" s="36">
        <v>28100</v>
      </c>
      <c r="J399" s="36">
        <v>58788</v>
      </c>
      <c r="K399" s="36">
        <v>58788</v>
      </c>
      <c r="L399" s="36">
        <v>58788</v>
      </c>
      <c r="M399" s="36">
        <v>8100</v>
      </c>
      <c r="N399" s="36">
        <v>8100</v>
      </c>
      <c r="O399" s="36">
        <v>16200</v>
      </c>
      <c r="P399" s="36">
        <v>36200</v>
      </c>
      <c r="Q399" s="36">
        <v>38100</v>
      </c>
      <c r="R399" s="36">
        <v>8100</v>
      </c>
      <c r="S399" s="36">
        <v>10400</v>
      </c>
      <c r="T399" s="36">
        <v>0</v>
      </c>
      <c r="U399" s="36">
        <v>0</v>
      </c>
      <c r="V399" s="36">
        <v>0</v>
      </c>
      <c r="W399" s="36">
        <v>0</v>
      </c>
      <c r="X399" s="36">
        <v>0</v>
      </c>
      <c r="Y399" s="36">
        <v>0</v>
      </c>
      <c r="Z399" s="36">
        <v>0</v>
      </c>
      <c r="AA399" s="36">
        <v>0</v>
      </c>
    </row>
    <row r="400" spans="2:27" x14ac:dyDescent="0.3">
      <c r="C400" t="s">
        <v>124</v>
      </c>
      <c r="D400" s="36"/>
      <c r="E400" s="36">
        <v>36864</v>
      </c>
      <c r="F400" s="36">
        <v>58788</v>
      </c>
      <c r="G400" s="36">
        <v>58788</v>
      </c>
      <c r="H400" s="36">
        <v>63788</v>
      </c>
      <c r="I400" s="36">
        <v>28100</v>
      </c>
      <c r="J400" s="36">
        <v>58788</v>
      </c>
      <c r="K400" s="36">
        <v>58788</v>
      </c>
      <c r="L400" s="36">
        <v>58788</v>
      </c>
      <c r="M400" s="36">
        <v>8100</v>
      </c>
      <c r="N400" s="36">
        <v>8100</v>
      </c>
      <c r="O400" s="36">
        <v>16200</v>
      </c>
      <c r="P400" s="36">
        <v>36200</v>
      </c>
      <c r="Q400" s="36">
        <v>38100</v>
      </c>
      <c r="R400" s="36">
        <v>8100</v>
      </c>
      <c r="S400" s="36">
        <v>10400</v>
      </c>
      <c r="T400" s="36"/>
      <c r="U400" s="36"/>
      <c r="V400" s="36"/>
      <c r="W400" s="36"/>
      <c r="X400" s="36"/>
      <c r="Y400" s="36"/>
      <c r="Z400" s="36"/>
      <c r="AA400" s="36"/>
    </row>
    <row r="401" spans="1:27" x14ac:dyDescent="0.3">
      <c r="C401" t="s">
        <v>137</v>
      </c>
      <c r="D401" s="36"/>
      <c r="E401" s="36"/>
      <c r="F401" s="36"/>
      <c r="G401" s="36"/>
      <c r="H401" s="36"/>
      <c r="I401" s="36"/>
      <c r="J401" s="36"/>
      <c r="K401" s="36"/>
      <c r="L401" s="36"/>
      <c r="M401" s="36"/>
      <c r="N401" s="36"/>
      <c r="O401" s="36"/>
      <c r="P401" s="36"/>
      <c r="Q401" s="36"/>
      <c r="R401" s="36"/>
      <c r="S401" s="36"/>
      <c r="T401" s="36"/>
      <c r="U401" s="36"/>
      <c r="V401" s="36"/>
      <c r="W401" s="36"/>
      <c r="X401" s="36"/>
      <c r="Y401" s="36"/>
      <c r="Z401" s="36"/>
      <c r="AA401" s="36"/>
    </row>
    <row r="402" spans="1:27" x14ac:dyDescent="0.3">
      <c r="C402" t="s">
        <v>138</v>
      </c>
      <c r="D402" s="36"/>
      <c r="E402" s="36"/>
      <c r="F402" s="36"/>
      <c r="G402" s="36"/>
      <c r="H402" s="36"/>
      <c r="I402" s="36"/>
      <c r="J402" s="36"/>
      <c r="K402" s="36"/>
      <c r="L402" s="36"/>
      <c r="M402" s="36"/>
      <c r="N402" s="36"/>
      <c r="O402" s="36"/>
      <c r="P402" s="36"/>
      <c r="Q402" s="36"/>
      <c r="R402" s="36"/>
      <c r="S402" s="36"/>
      <c r="T402" s="36"/>
      <c r="U402" s="36"/>
      <c r="V402" s="36"/>
      <c r="W402" s="36"/>
      <c r="X402" s="36"/>
      <c r="Y402" s="36"/>
      <c r="Z402" s="36"/>
      <c r="AA402" s="36"/>
    </row>
    <row r="403" spans="1:27" x14ac:dyDescent="0.3">
      <c r="C403" t="s">
        <v>139</v>
      </c>
      <c r="D403" s="36"/>
      <c r="E403" s="36">
        <v>36864</v>
      </c>
      <c r="F403" s="36">
        <v>58788</v>
      </c>
      <c r="G403" s="36">
        <v>58788</v>
      </c>
      <c r="H403" s="36">
        <v>63788</v>
      </c>
      <c r="I403" s="36">
        <v>28100</v>
      </c>
      <c r="J403" s="36">
        <v>58788</v>
      </c>
      <c r="K403" s="36">
        <v>58788</v>
      </c>
      <c r="L403" s="36">
        <v>58788</v>
      </c>
      <c r="M403" s="36">
        <v>8100</v>
      </c>
      <c r="N403" s="36">
        <v>8100</v>
      </c>
      <c r="O403" s="36">
        <v>16200</v>
      </c>
      <c r="P403" s="36">
        <v>36200</v>
      </c>
      <c r="Q403" s="36">
        <v>38100</v>
      </c>
      <c r="R403" s="36">
        <v>8100</v>
      </c>
      <c r="S403" s="36">
        <v>10400</v>
      </c>
      <c r="T403" s="36"/>
      <c r="U403" s="36"/>
      <c r="V403" s="36"/>
      <c r="W403" s="36"/>
      <c r="X403" s="36"/>
      <c r="Y403" s="36"/>
      <c r="Z403" s="36"/>
      <c r="AA403" s="36"/>
    </row>
    <row r="404" spans="1:27" x14ac:dyDescent="0.3">
      <c r="C404" t="s">
        <v>140</v>
      </c>
      <c r="D404" s="36">
        <v>596616</v>
      </c>
      <c r="E404" s="36">
        <v>558755</v>
      </c>
      <c r="F404" s="36">
        <v>529505</v>
      </c>
      <c r="G404" s="36">
        <v>531174</v>
      </c>
      <c r="H404" s="36">
        <v>504927</v>
      </c>
      <c r="I404" s="36">
        <v>458086</v>
      </c>
      <c r="J404" s="36">
        <v>443323</v>
      </c>
      <c r="K404" s="36">
        <v>432492</v>
      </c>
      <c r="L404" s="36">
        <v>430469</v>
      </c>
      <c r="M404" s="36">
        <v>379121</v>
      </c>
      <c r="N404" s="36">
        <v>330502</v>
      </c>
      <c r="O404" s="36">
        <v>291585</v>
      </c>
      <c r="P404" s="36">
        <v>271176</v>
      </c>
      <c r="Q404" s="36">
        <v>246512</v>
      </c>
      <c r="R404" s="36">
        <v>192246</v>
      </c>
      <c r="S404" s="36">
        <v>140414</v>
      </c>
      <c r="T404" s="36">
        <v>78177</v>
      </c>
      <c r="U404" s="36">
        <v>26390</v>
      </c>
      <c r="V404" s="36">
        <v>-21896</v>
      </c>
      <c r="W404" s="36">
        <v>-69344</v>
      </c>
      <c r="X404" s="36">
        <v>-116876</v>
      </c>
      <c r="Y404" s="36">
        <v>-159551</v>
      </c>
      <c r="Z404" s="36">
        <v>-201986</v>
      </c>
      <c r="AA404" s="36">
        <v>-244831</v>
      </c>
    </row>
    <row r="405" spans="1:27" x14ac:dyDescent="0.3">
      <c r="C405" t="s">
        <v>141</v>
      </c>
      <c r="D405" s="36">
        <v>0</v>
      </c>
      <c r="E405" s="36">
        <v>0</v>
      </c>
      <c r="F405" s="36">
        <v>0</v>
      </c>
      <c r="G405" s="36">
        <v>0</v>
      </c>
      <c r="H405" s="36">
        <v>0</v>
      </c>
      <c r="I405" s="36">
        <v>0</v>
      </c>
      <c r="J405" s="36">
        <v>0</v>
      </c>
      <c r="K405" s="36">
        <v>0</v>
      </c>
      <c r="L405" s="36">
        <v>0</v>
      </c>
      <c r="M405" s="36">
        <v>0</v>
      </c>
      <c r="N405" s="36">
        <v>0</v>
      </c>
      <c r="O405" s="36">
        <v>0</v>
      </c>
      <c r="P405" s="36">
        <v>0</v>
      </c>
      <c r="Q405" s="36">
        <v>0</v>
      </c>
      <c r="R405" s="36">
        <v>0</v>
      </c>
      <c r="S405" s="36">
        <v>0</v>
      </c>
      <c r="T405" s="36">
        <v>0</v>
      </c>
      <c r="U405" s="36">
        <v>0</v>
      </c>
      <c r="V405" s="36">
        <v>0</v>
      </c>
      <c r="W405" s="36">
        <v>0</v>
      </c>
      <c r="X405" s="36">
        <v>0</v>
      </c>
      <c r="Y405" s="36">
        <v>0</v>
      </c>
      <c r="Z405" s="36">
        <v>0</v>
      </c>
      <c r="AA405" s="36">
        <v>0</v>
      </c>
    </row>
    <row r="406" spans="1:27" x14ac:dyDescent="0.3">
      <c r="A406" t="s">
        <v>212</v>
      </c>
      <c r="B406" t="s">
        <v>177</v>
      </c>
      <c r="C406" t="s">
        <v>129</v>
      </c>
      <c r="D406" s="36">
        <v>0</v>
      </c>
      <c r="E406" s="36"/>
      <c r="F406" s="36"/>
      <c r="G406" s="36"/>
      <c r="H406" s="36"/>
      <c r="I406" s="36"/>
      <c r="J406" s="36"/>
      <c r="K406" s="36"/>
      <c r="L406" s="36"/>
      <c r="M406" s="36"/>
      <c r="N406" s="36"/>
      <c r="O406" s="36"/>
      <c r="P406" s="36"/>
      <c r="Q406" s="36"/>
      <c r="R406" s="36"/>
      <c r="S406" s="36"/>
      <c r="T406" s="36"/>
      <c r="U406" s="36"/>
      <c r="V406" s="36"/>
      <c r="W406" s="36"/>
      <c r="X406" s="36"/>
      <c r="Y406" s="36"/>
      <c r="Z406" s="36"/>
      <c r="AA406" s="36"/>
    </row>
    <row r="407" spans="1:27" x14ac:dyDescent="0.3">
      <c r="C407" t="s">
        <v>131</v>
      </c>
      <c r="D407" s="36">
        <v>2</v>
      </c>
      <c r="E407" s="36">
        <v>2</v>
      </c>
      <c r="F407" s="36">
        <v>1</v>
      </c>
      <c r="G407" s="36">
        <v>1</v>
      </c>
      <c r="H407" s="36">
        <v>4</v>
      </c>
      <c r="I407" s="36">
        <v>4</v>
      </c>
      <c r="J407" s="36">
        <v>3</v>
      </c>
      <c r="K407" s="36">
        <v>3</v>
      </c>
      <c r="L407" s="36">
        <v>4</v>
      </c>
      <c r="M407" s="36">
        <v>5</v>
      </c>
      <c r="N407" s="36">
        <v>5</v>
      </c>
      <c r="O407" s="36">
        <v>4</v>
      </c>
      <c r="P407" s="36">
        <v>5</v>
      </c>
      <c r="Q407" s="36">
        <v>7</v>
      </c>
      <c r="R407" s="36">
        <v>6</v>
      </c>
      <c r="S407" s="36">
        <v>6</v>
      </c>
      <c r="T407" s="36">
        <v>6</v>
      </c>
      <c r="U407" s="36">
        <v>6</v>
      </c>
      <c r="V407" s="36">
        <v>8</v>
      </c>
      <c r="W407" s="36">
        <v>8</v>
      </c>
      <c r="X407" s="36">
        <v>7</v>
      </c>
      <c r="Y407" s="36">
        <v>7</v>
      </c>
      <c r="Z407" s="36">
        <v>7</v>
      </c>
      <c r="AA407" s="36">
        <v>7</v>
      </c>
    </row>
    <row r="408" spans="1:27" x14ac:dyDescent="0.3">
      <c r="C408" t="s">
        <v>132</v>
      </c>
      <c r="D408" s="36"/>
      <c r="E408" s="36"/>
      <c r="F408" s="36"/>
      <c r="G408" s="36"/>
      <c r="H408" s="36"/>
      <c r="I408" s="36"/>
      <c r="J408" s="36"/>
      <c r="K408" s="36"/>
      <c r="L408" s="36"/>
      <c r="M408" s="36"/>
      <c r="N408" s="36"/>
      <c r="O408" s="36"/>
      <c r="P408" s="36"/>
      <c r="Q408" s="36"/>
      <c r="R408" s="36"/>
      <c r="S408" s="36"/>
      <c r="T408" s="36"/>
      <c r="U408" s="36"/>
      <c r="V408" s="36"/>
      <c r="W408" s="36"/>
      <c r="X408" s="36"/>
      <c r="Y408" s="36"/>
      <c r="Z408" s="36"/>
      <c r="AA408" s="36"/>
    </row>
    <row r="409" spans="1:27" x14ac:dyDescent="0.3">
      <c r="C409" t="s">
        <v>133</v>
      </c>
      <c r="D409" s="36"/>
      <c r="E409" s="36"/>
      <c r="F409" s="36"/>
      <c r="G409" s="36"/>
      <c r="H409" s="36"/>
      <c r="I409" s="36"/>
      <c r="J409" s="36"/>
      <c r="K409" s="36"/>
      <c r="L409" s="36"/>
      <c r="M409" s="36"/>
      <c r="N409" s="36"/>
      <c r="O409" s="36"/>
      <c r="P409" s="36"/>
      <c r="Q409" s="36"/>
      <c r="R409" s="36"/>
      <c r="S409" s="36"/>
      <c r="T409" s="36"/>
      <c r="U409" s="36"/>
      <c r="V409" s="36"/>
      <c r="W409" s="36"/>
      <c r="X409" s="36"/>
      <c r="Y409" s="36"/>
      <c r="Z409" s="36"/>
      <c r="AA409" s="36"/>
    </row>
    <row r="410" spans="1:27" x14ac:dyDescent="0.3">
      <c r="C410" t="s">
        <v>134</v>
      </c>
      <c r="D410" s="36"/>
      <c r="E410" s="36"/>
      <c r="F410" s="36"/>
      <c r="G410" s="36"/>
      <c r="H410" s="36"/>
      <c r="I410" s="36"/>
      <c r="J410" s="36"/>
      <c r="K410" s="36"/>
      <c r="L410" s="36"/>
      <c r="M410" s="36"/>
      <c r="N410" s="36"/>
      <c r="O410" s="36"/>
      <c r="P410" s="36"/>
      <c r="Q410" s="36"/>
      <c r="R410" s="36"/>
      <c r="S410" s="36"/>
      <c r="T410" s="36"/>
      <c r="U410" s="36"/>
      <c r="V410" s="36"/>
      <c r="W410" s="36"/>
      <c r="X410" s="36"/>
      <c r="Y410" s="36"/>
      <c r="Z410" s="36"/>
      <c r="AA410" s="36"/>
    </row>
    <row r="411" spans="1:27" x14ac:dyDescent="0.3">
      <c r="C411" t="s">
        <v>135</v>
      </c>
      <c r="D411" s="36"/>
      <c r="E411" s="36"/>
      <c r="F411" s="36"/>
      <c r="G411" s="36"/>
      <c r="H411" s="36"/>
      <c r="I411" s="36"/>
      <c r="J411" s="36"/>
      <c r="K411" s="36"/>
      <c r="L411" s="36"/>
      <c r="M411" s="36"/>
      <c r="N411" s="36"/>
      <c r="O411" s="36"/>
      <c r="P411" s="36"/>
      <c r="Q411" s="36"/>
      <c r="R411" s="36"/>
      <c r="S411" s="36"/>
      <c r="T411" s="36"/>
      <c r="U411" s="36"/>
      <c r="V411" s="36"/>
      <c r="W411" s="36"/>
      <c r="X411" s="36"/>
      <c r="Y411" s="36"/>
      <c r="Z411" s="36"/>
      <c r="AA411" s="36"/>
    </row>
    <row r="412" spans="1:27" x14ac:dyDescent="0.3">
      <c r="C412" t="s">
        <v>136</v>
      </c>
      <c r="D412" s="36">
        <v>0</v>
      </c>
      <c r="E412" s="36">
        <v>0</v>
      </c>
      <c r="F412" s="36">
        <v>0</v>
      </c>
      <c r="G412" s="36">
        <v>0</v>
      </c>
      <c r="H412" s="36">
        <v>0</v>
      </c>
      <c r="I412" s="36">
        <v>0</v>
      </c>
      <c r="J412" s="36">
        <v>0</v>
      </c>
      <c r="K412" s="36">
        <v>0</v>
      </c>
      <c r="L412" s="36">
        <v>0</v>
      </c>
      <c r="M412" s="36">
        <v>0</v>
      </c>
      <c r="N412" s="36">
        <v>0</v>
      </c>
      <c r="O412" s="36">
        <v>0</v>
      </c>
      <c r="P412" s="36">
        <v>0</v>
      </c>
      <c r="Q412" s="36">
        <v>0</v>
      </c>
      <c r="R412" s="36">
        <v>0</v>
      </c>
      <c r="S412" s="36">
        <v>0</v>
      </c>
      <c r="T412" s="36">
        <v>0</v>
      </c>
      <c r="U412" s="36">
        <v>0</v>
      </c>
      <c r="V412" s="36">
        <v>0</v>
      </c>
      <c r="W412" s="36">
        <v>0</v>
      </c>
      <c r="X412" s="36">
        <v>0</v>
      </c>
      <c r="Y412" s="36">
        <v>0</v>
      </c>
      <c r="Z412" s="36">
        <v>0</v>
      </c>
      <c r="AA412" s="36">
        <v>0</v>
      </c>
    </row>
    <row r="413" spans="1:27" x14ac:dyDescent="0.3">
      <c r="C413" t="s">
        <v>124</v>
      </c>
      <c r="D413" s="36"/>
      <c r="E413" s="36"/>
      <c r="F413" s="36"/>
      <c r="G413" s="36"/>
      <c r="H413" s="36"/>
      <c r="I413" s="36"/>
      <c r="J413" s="36"/>
      <c r="K413" s="36"/>
      <c r="L413" s="36"/>
      <c r="M413" s="36"/>
      <c r="N413" s="36"/>
      <c r="O413" s="36"/>
      <c r="P413" s="36"/>
      <c r="Q413" s="36"/>
      <c r="R413" s="36"/>
      <c r="S413" s="36"/>
      <c r="T413" s="36"/>
      <c r="U413" s="36"/>
      <c r="V413" s="36"/>
      <c r="W413" s="36"/>
      <c r="X413" s="36"/>
      <c r="Y413" s="36"/>
      <c r="Z413" s="36"/>
      <c r="AA413" s="36"/>
    </row>
    <row r="414" spans="1:27" x14ac:dyDescent="0.3">
      <c r="C414" t="s">
        <v>137</v>
      </c>
      <c r="D414" s="36"/>
      <c r="E414" s="36"/>
      <c r="F414" s="36"/>
      <c r="G414" s="36"/>
      <c r="H414" s="36"/>
      <c r="I414" s="36"/>
      <c r="J414" s="36"/>
      <c r="K414" s="36"/>
      <c r="L414" s="36"/>
      <c r="M414" s="36"/>
      <c r="N414" s="36"/>
      <c r="O414" s="36"/>
      <c r="P414" s="36"/>
      <c r="Q414" s="36"/>
      <c r="R414" s="36"/>
      <c r="S414" s="36"/>
      <c r="T414" s="36"/>
      <c r="U414" s="36"/>
      <c r="V414" s="36"/>
      <c r="W414" s="36"/>
      <c r="X414" s="36"/>
      <c r="Y414" s="36"/>
      <c r="Z414" s="36"/>
      <c r="AA414" s="36"/>
    </row>
    <row r="415" spans="1:27" x14ac:dyDescent="0.3">
      <c r="C415" t="s">
        <v>138</v>
      </c>
      <c r="D415" s="36"/>
      <c r="E415" s="36"/>
      <c r="F415" s="36"/>
      <c r="G415" s="36"/>
      <c r="H415" s="36"/>
      <c r="I415" s="36"/>
      <c r="J415" s="36"/>
      <c r="K415" s="36"/>
      <c r="L415" s="36"/>
      <c r="M415" s="36"/>
      <c r="N415" s="36"/>
      <c r="O415" s="36"/>
      <c r="P415" s="36"/>
      <c r="Q415" s="36"/>
      <c r="R415" s="36"/>
      <c r="S415" s="36"/>
      <c r="T415" s="36"/>
      <c r="U415" s="36"/>
      <c r="V415" s="36"/>
      <c r="W415" s="36"/>
      <c r="X415" s="36"/>
      <c r="Y415" s="36"/>
      <c r="Z415" s="36"/>
      <c r="AA415" s="36"/>
    </row>
    <row r="416" spans="1:27" x14ac:dyDescent="0.3">
      <c r="C416" t="s">
        <v>139</v>
      </c>
      <c r="D416" s="36"/>
      <c r="E416" s="36"/>
      <c r="F416" s="36"/>
      <c r="G416" s="36"/>
      <c r="H416" s="36"/>
      <c r="I416" s="36"/>
      <c r="J416" s="36"/>
      <c r="K416" s="36"/>
      <c r="L416" s="36"/>
      <c r="M416" s="36"/>
      <c r="N416" s="36"/>
      <c r="O416" s="36"/>
      <c r="P416" s="36"/>
      <c r="Q416" s="36"/>
      <c r="R416" s="36"/>
      <c r="S416" s="36"/>
      <c r="T416" s="36"/>
      <c r="U416" s="36"/>
      <c r="V416" s="36"/>
      <c r="W416" s="36"/>
      <c r="X416" s="36"/>
      <c r="Y416" s="36"/>
      <c r="Z416" s="36"/>
      <c r="AA416" s="36"/>
    </row>
    <row r="417" spans="1:27" x14ac:dyDescent="0.3">
      <c r="C417" t="s">
        <v>140</v>
      </c>
      <c r="D417" s="36">
        <v>-2</v>
      </c>
      <c r="E417" s="36">
        <v>-4</v>
      </c>
      <c r="F417" s="36">
        <v>-5</v>
      </c>
      <c r="G417" s="36">
        <v>-6</v>
      </c>
      <c r="H417" s="36">
        <v>-10</v>
      </c>
      <c r="I417" s="36">
        <v>-14</v>
      </c>
      <c r="J417" s="36">
        <v>-17</v>
      </c>
      <c r="K417" s="36">
        <v>-20</v>
      </c>
      <c r="L417" s="36">
        <v>-24</v>
      </c>
      <c r="M417" s="36">
        <v>-29</v>
      </c>
      <c r="N417" s="36">
        <v>-34</v>
      </c>
      <c r="O417" s="36">
        <v>-38</v>
      </c>
      <c r="P417" s="36">
        <v>-43</v>
      </c>
      <c r="Q417" s="36">
        <v>-50</v>
      </c>
      <c r="R417" s="36">
        <v>-56</v>
      </c>
      <c r="S417" s="36">
        <v>-62</v>
      </c>
      <c r="T417" s="36">
        <v>-68</v>
      </c>
      <c r="U417" s="36">
        <v>-74</v>
      </c>
      <c r="V417" s="36">
        <v>-82</v>
      </c>
      <c r="W417" s="36">
        <v>-90</v>
      </c>
      <c r="X417" s="36">
        <v>-97</v>
      </c>
      <c r="Y417" s="36">
        <v>-104</v>
      </c>
      <c r="Z417" s="36">
        <v>-111</v>
      </c>
      <c r="AA417" s="36">
        <v>-118</v>
      </c>
    </row>
    <row r="418" spans="1:27" x14ac:dyDescent="0.3">
      <c r="C418" t="s">
        <v>141</v>
      </c>
      <c r="D418" s="36">
        <v>0</v>
      </c>
      <c r="E418" s="36">
        <v>0</v>
      </c>
      <c r="F418" s="36">
        <v>0</v>
      </c>
      <c r="G418" s="36">
        <v>0</v>
      </c>
      <c r="H418" s="36">
        <v>0</v>
      </c>
      <c r="I418" s="36">
        <v>0</v>
      </c>
      <c r="J418" s="36">
        <v>0</v>
      </c>
      <c r="K418" s="36">
        <v>0</v>
      </c>
      <c r="L418" s="36">
        <v>0</v>
      </c>
      <c r="M418" s="36">
        <v>0</v>
      </c>
      <c r="N418" s="36">
        <v>0</v>
      </c>
      <c r="O418" s="36">
        <v>0</v>
      </c>
      <c r="P418" s="36">
        <v>0</v>
      </c>
      <c r="Q418" s="36">
        <v>0</v>
      </c>
      <c r="R418" s="36">
        <v>0</v>
      </c>
      <c r="S418" s="36">
        <v>0</v>
      </c>
      <c r="T418" s="36">
        <v>0</v>
      </c>
      <c r="U418" s="36">
        <v>0</v>
      </c>
      <c r="V418" s="36">
        <v>0</v>
      </c>
      <c r="W418" s="36">
        <v>0</v>
      </c>
      <c r="X418" s="36">
        <v>0</v>
      </c>
      <c r="Y418" s="36">
        <v>0</v>
      </c>
      <c r="Z418" s="36">
        <v>0</v>
      </c>
      <c r="AA418" s="36">
        <v>0</v>
      </c>
    </row>
    <row r="419" spans="1:27" x14ac:dyDescent="0.3">
      <c r="A419" t="s">
        <v>258</v>
      </c>
      <c r="B419" t="s">
        <v>195</v>
      </c>
      <c r="C419" t="s">
        <v>129</v>
      </c>
      <c r="D419" s="36">
        <v>8578</v>
      </c>
      <c r="E419" s="36"/>
      <c r="F419" s="36"/>
      <c r="G419" s="36"/>
      <c r="H419" s="36"/>
      <c r="I419" s="36"/>
      <c r="J419" s="36"/>
      <c r="K419" s="36"/>
      <c r="L419" s="36"/>
      <c r="M419" s="36"/>
      <c r="N419" s="36"/>
      <c r="O419" s="36"/>
      <c r="P419" s="36"/>
      <c r="Q419" s="36"/>
      <c r="R419" s="36"/>
      <c r="S419" s="36"/>
      <c r="T419" s="36"/>
      <c r="U419" s="36"/>
      <c r="V419" s="36"/>
      <c r="W419" s="36"/>
      <c r="X419" s="36"/>
      <c r="Y419" s="36"/>
      <c r="Z419" s="36"/>
      <c r="AA419" s="36"/>
    </row>
    <row r="420" spans="1:27" x14ac:dyDescent="0.3">
      <c r="C420" t="s">
        <v>131</v>
      </c>
      <c r="D420" s="36">
        <v>4804</v>
      </c>
      <c r="E420" s="36">
        <v>5942</v>
      </c>
      <c r="F420" s="36">
        <v>4019</v>
      </c>
      <c r="G420" s="36">
        <v>3261</v>
      </c>
      <c r="H420" s="36">
        <v>2993</v>
      </c>
      <c r="I420" s="36">
        <v>3834</v>
      </c>
      <c r="J420" s="36">
        <v>2932</v>
      </c>
      <c r="K420" s="36">
        <v>2931</v>
      </c>
      <c r="L420" s="36">
        <v>2933</v>
      </c>
      <c r="M420" s="36">
        <v>3506</v>
      </c>
      <c r="N420" s="36">
        <v>2613</v>
      </c>
      <c r="O420" s="36">
        <v>2808</v>
      </c>
      <c r="P420" s="36">
        <v>2417</v>
      </c>
      <c r="Q420" s="36">
        <v>1427</v>
      </c>
      <c r="R420" s="36">
        <v>2309</v>
      </c>
      <c r="S420" s="36">
        <v>1409</v>
      </c>
      <c r="T420" s="36">
        <v>1409</v>
      </c>
      <c r="U420" s="36">
        <v>1397</v>
      </c>
      <c r="V420" s="36">
        <v>2260</v>
      </c>
      <c r="W420" s="36">
        <v>1359</v>
      </c>
      <c r="X420" s="36">
        <v>1359</v>
      </c>
      <c r="Y420" s="36">
        <v>388</v>
      </c>
      <c r="Z420" s="36">
        <v>0</v>
      </c>
      <c r="AA420" s="36">
        <v>0</v>
      </c>
    </row>
    <row r="421" spans="1:27" x14ac:dyDescent="0.3">
      <c r="C421" t="s">
        <v>132</v>
      </c>
      <c r="D421" s="36">
        <v>4656</v>
      </c>
      <c r="E421" s="36"/>
      <c r="F421" s="36"/>
      <c r="G421" s="36"/>
      <c r="H421" s="36"/>
      <c r="I421" s="36"/>
      <c r="J421" s="36"/>
      <c r="K421" s="36"/>
      <c r="L421" s="36"/>
      <c r="M421" s="36"/>
      <c r="N421" s="36"/>
      <c r="O421" s="36"/>
      <c r="P421" s="36"/>
      <c r="Q421" s="36"/>
      <c r="R421" s="36"/>
      <c r="S421" s="36"/>
      <c r="T421" s="36"/>
      <c r="U421" s="36"/>
      <c r="V421" s="36"/>
      <c r="W421" s="36"/>
      <c r="X421" s="36"/>
      <c r="Y421" s="36"/>
      <c r="Z421" s="36"/>
      <c r="AA421" s="36"/>
    </row>
    <row r="422" spans="1:27" x14ac:dyDescent="0.3">
      <c r="C422" t="s">
        <v>133</v>
      </c>
      <c r="D422" s="36">
        <v>0</v>
      </c>
      <c r="E422" s="36"/>
      <c r="F422" s="36"/>
      <c r="G422" s="36"/>
      <c r="H422" s="36"/>
      <c r="I422" s="36"/>
      <c r="J422" s="36"/>
      <c r="K422" s="36"/>
      <c r="L422" s="36"/>
      <c r="M422" s="36"/>
      <c r="N422" s="36"/>
      <c r="O422" s="36"/>
      <c r="P422" s="36"/>
      <c r="Q422" s="36"/>
      <c r="R422" s="36"/>
      <c r="S422" s="36"/>
      <c r="T422" s="36"/>
      <c r="U422" s="36"/>
      <c r="V422" s="36"/>
      <c r="W422" s="36"/>
      <c r="X422" s="36"/>
      <c r="Y422" s="36"/>
      <c r="Z422" s="36"/>
      <c r="AA422" s="36"/>
    </row>
    <row r="423" spans="1:27" x14ac:dyDescent="0.3">
      <c r="C423" t="s">
        <v>134</v>
      </c>
      <c r="D423" s="36">
        <v>1110</v>
      </c>
      <c r="E423" s="36"/>
      <c r="F423" s="36"/>
      <c r="G423" s="36"/>
      <c r="H423" s="36"/>
      <c r="I423" s="36"/>
      <c r="J423" s="36"/>
      <c r="K423" s="36"/>
      <c r="L423" s="36"/>
      <c r="M423" s="36"/>
      <c r="N423" s="36"/>
      <c r="O423" s="36"/>
      <c r="P423" s="36"/>
      <c r="Q423" s="36"/>
      <c r="R423" s="36"/>
      <c r="S423" s="36"/>
      <c r="T423" s="36"/>
      <c r="U423" s="36"/>
      <c r="V423" s="36"/>
      <c r="W423" s="36"/>
      <c r="X423" s="36"/>
      <c r="Y423" s="36"/>
      <c r="Z423" s="36"/>
      <c r="AA423" s="36"/>
    </row>
    <row r="424" spans="1:27" x14ac:dyDescent="0.3">
      <c r="C424" t="s">
        <v>135</v>
      </c>
      <c r="D424" s="36"/>
      <c r="E424" s="36"/>
      <c r="F424" s="36"/>
      <c r="G424" s="36"/>
      <c r="H424" s="36"/>
      <c r="I424" s="36"/>
      <c r="J424" s="36"/>
      <c r="K424" s="36"/>
      <c r="L424" s="36"/>
      <c r="M424" s="36"/>
      <c r="N424" s="36"/>
      <c r="O424" s="36"/>
      <c r="P424" s="36"/>
      <c r="Q424" s="36"/>
      <c r="R424" s="36"/>
      <c r="S424" s="36"/>
      <c r="T424" s="36"/>
      <c r="U424" s="36"/>
      <c r="V424" s="36"/>
      <c r="W424" s="36"/>
      <c r="X424" s="36"/>
      <c r="Y424" s="36"/>
      <c r="Z424" s="36"/>
      <c r="AA424" s="36"/>
    </row>
    <row r="425" spans="1:27" x14ac:dyDescent="0.3">
      <c r="C425" t="s">
        <v>136</v>
      </c>
      <c r="D425" s="36">
        <v>0</v>
      </c>
      <c r="E425" s="36">
        <v>0</v>
      </c>
      <c r="F425" s="36">
        <v>0</v>
      </c>
      <c r="G425" s="36">
        <v>14400</v>
      </c>
      <c r="H425" s="36">
        <v>0</v>
      </c>
      <c r="I425" s="36">
        <v>14400</v>
      </c>
      <c r="J425" s="36">
        <v>0</v>
      </c>
      <c r="K425" s="36">
        <v>0</v>
      </c>
      <c r="L425" s="36">
        <v>0</v>
      </c>
      <c r="M425" s="36">
        <v>0</v>
      </c>
      <c r="N425" s="36">
        <v>0</v>
      </c>
      <c r="O425" s="36">
        <v>0</v>
      </c>
      <c r="P425" s="36">
        <v>7200</v>
      </c>
      <c r="Q425" s="36">
        <v>0</v>
      </c>
      <c r="R425" s="36">
        <v>0</v>
      </c>
      <c r="S425" s="36">
        <v>0</v>
      </c>
      <c r="T425" s="36">
        <v>0</v>
      </c>
      <c r="U425" s="36">
        <v>0</v>
      </c>
      <c r="V425" s="36">
        <v>0</v>
      </c>
      <c r="W425" s="36">
        <v>0</v>
      </c>
      <c r="X425" s="36">
        <v>0</v>
      </c>
      <c r="Y425" s="36">
        <v>0</v>
      </c>
      <c r="Z425" s="36">
        <v>0</v>
      </c>
      <c r="AA425" s="36">
        <v>0</v>
      </c>
    </row>
    <row r="426" spans="1:27" x14ac:dyDescent="0.3">
      <c r="C426" t="s">
        <v>124</v>
      </c>
      <c r="D426" s="36"/>
      <c r="E426" s="36"/>
      <c r="F426" s="36"/>
      <c r="G426" s="36">
        <v>14400</v>
      </c>
      <c r="H426" s="36"/>
      <c r="I426" s="36">
        <v>14400</v>
      </c>
      <c r="J426" s="36"/>
      <c r="K426" s="36"/>
      <c r="L426" s="36"/>
      <c r="M426" s="36"/>
      <c r="N426" s="36"/>
      <c r="O426" s="36"/>
      <c r="P426" s="36">
        <v>7200</v>
      </c>
      <c r="Q426" s="36"/>
      <c r="R426" s="36"/>
      <c r="S426" s="36"/>
      <c r="T426" s="36"/>
      <c r="U426" s="36"/>
      <c r="V426" s="36"/>
      <c r="W426" s="36"/>
      <c r="X426" s="36"/>
      <c r="Y426" s="36"/>
      <c r="Z426" s="36"/>
      <c r="AA426" s="36"/>
    </row>
    <row r="427" spans="1:27" x14ac:dyDescent="0.3">
      <c r="C427" t="s">
        <v>137</v>
      </c>
      <c r="D427" s="36"/>
      <c r="E427" s="36"/>
      <c r="F427" s="36"/>
      <c r="G427" s="36"/>
      <c r="H427" s="36"/>
      <c r="I427" s="36"/>
      <c r="J427" s="36"/>
      <c r="K427" s="36"/>
      <c r="L427" s="36"/>
      <c r="M427" s="36"/>
      <c r="N427" s="36"/>
      <c r="O427" s="36"/>
      <c r="P427" s="36"/>
      <c r="Q427" s="36"/>
      <c r="R427" s="36"/>
      <c r="S427" s="36"/>
      <c r="T427" s="36"/>
      <c r="U427" s="36"/>
      <c r="V427" s="36"/>
      <c r="W427" s="36"/>
      <c r="X427" s="36"/>
      <c r="Y427" s="36"/>
      <c r="Z427" s="36"/>
      <c r="AA427" s="36"/>
    </row>
    <row r="428" spans="1:27" x14ac:dyDescent="0.3">
      <c r="C428" t="s">
        <v>138</v>
      </c>
      <c r="D428" s="36"/>
      <c r="E428" s="36"/>
      <c r="F428" s="36"/>
      <c r="G428" s="36"/>
      <c r="H428" s="36"/>
      <c r="I428" s="36"/>
      <c r="J428" s="36"/>
      <c r="K428" s="36"/>
      <c r="L428" s="36"/>
      <c r="M428" s="36"/>
      <c r="N428" s="36"/>
      <c r="O428" s="36"/>
      <c r="P428" s="36"/>
      <c r="Q428" s="36"/>
      <c r="R428" s="36"/>
      <c r="S428" s="36"/>
      <c r="T428" s="36"/>
      <c r="U428" s="36"/>
      <c r="V428" s="36"/>
      <c r="W428" s="36"/>
      <c r="X428" s="36"/>
      <c r="Y428" s="36"/>
      <c r="Z428" s="36"/>
      <c r="AA428" s="36"/>
    </row>
    <row r="429" spans="1:27" x14ac:dyDescent="0.3">
      <c r="C429" t="s">
        <v>139</v>
      </c>
      <c r="D429" s="36"/>
      <c r="E429" s="36"/>
      <c r="F429" s="36"/>
      <c r="G429" s="36">
        <v>14400</v>
      </c>
      <c r="H429" s="36"/>
      <c r="I429" s="36">
        <v>14400</v>
      </c>
      <c r="J429" s="36"/>
      <c r="K429" s="36"/>
      <c r="L429" s="36"/>
      <c r="M429" s="36"/>
      <c r="N429" s="36"/>
      <c r="O429" s="36"/>
      <c r="P429" s="36">
        <v>7200</v>
      </c>
      <c r="Q429" s="36"/>
      <c r="R429" s="36"/>
      <c r="S429" s="36"/>
      <c r="T429" s="36"/>
      <c r="U429" s="36"/>
      <c r="V429" s="36"/>
      <c r="W429" s="36"/>
      <c r="X429" s="36"/>
      <c r="Y429" s="36"/>
      <c r="Z429" s="36"/>
      <c r="AA429" s="36"/>
    </row>
    <row r="430" spans="1:27" x14ac:dyDescent="0.3">
      <c r="C430" t="s">
        <v>140</v>
      </c>
      <c r="D430" s="36">
        <v>-7616</v>
      </c>
      <c r="E430" s="36">
        <v>-13558</v>
      </c>
      <c r="F430" s="36">
        <v>-17577</v>
      </c>
      <c r="G430" s="36">
        <v>-6438</v>
      </c>
      <c r="H430" s="36">
        <v>-9431</v>
      </c>
      <c r="I430" s="36">
        <v>1135</v>
      </c>
      <c r="J430" s="36">
        <v>-1797</v>
      </c>
      <c r="K430" s="36">
        <v>-4728</v>
      </c>
      <c r="L430" s="36">
        <v>-7661</v>
      </c>
      <c r="M430" s="36">
        <v>-11167</v>
      </c>
      <c r="N430" s="36">
        <v>-13780</v>
      </c>
      <c r="O430" s="36">
        <v>-16588</v>
      </c>
      <c r="P430" s="36">
        <v>-11805</v>
      </c>
      <c r="Q430" s="36">
        <v>-13232</v>
      </c>
      <c r="R430" s="36">
        <v>-15541</v>
      </c>
      <c r="S430" s="36">
        <v>-16950</v>
      </c>
      <c r="T430" s="36">
        <v>-18359</v>
      </c>
      <c r="U430" s="36">
        <v>-19756</v>
      </c>
      <c r="V430" s="36">
        <v>-22016</v>
      </c>
      <c r="W430" s="36">
        <v>-23375</v>
      </c>
      <c r="X430" s="36">
        <v>-24734</v>
      </c>
      <c r="Y430" s="36">
        <v>-25122</v>
      </c>
      <c r="Z430" s="36">
        <v>-25122</v>
      </c>
      <c r="AA430" s="36">
        <v>-25122</v>
      </c>
    </row>
    <row r="431" spans="1:27" x14ac:dyDescent="0.3">
      <c r="C431" t="s">
        <v>141</v>
      </c>
      <c r="D431" s="36">
        <v>0</v>
      </c>
      <c r="E431" s="36">
        <v>0</v>
      </c>
      <c r="F431" s="36">
        <v>0</v>
      </c>
      <c r="G431" s="36">
        <v>0</v>
      </c>
      <c r="H431" s="36">
        <v>0</v>
      </c>
      <c r="I431" s="36">
        <v>0</v>
      </c>
      <c r="J431" s="36">
        <v>0</v>
      </c>
      <c r="K431" s="36">
        <v>0</v>
      </c>
      <c r="L431" s="36">
        <v>0</v>
      </c>
      <c r="M431" s="36">
        <v>0</v>
      </c>
      <c r="N431" s="36">
        <v>0</v>
      </c>
      <c r="O431" s="36">
        <v>0</v>
      </c>
      <c r="P431" s="36">
        <v>0</v>
      </c>
      <c r="Q431" s="36">
        <v>0</v>
      </c>
      <c r="R431" s="36">
        <v>0</v>
      </c>
      <c r="S431" s="36">
        <v>0</v>
      </c>
      <c r="T431" s="36">
        <v>0</v>
      </c>
      <c r="U431" s="36">
        <v>0</v>
      </c>
      <c r="V431" s="36">
        <v>0</v>
      </c>
      <c r="W431" s="36">
        <v>0</v>
      </c>
      <c r="X431" s="36">
        <v>0</v>
      </c>
      <c r="Y431" s="36">
        <v>0</v>
      </c>
      <c r="Z431" s="36">
        <v>0</v>
      </c>
      <c r="AA431" s="36">
        <v>0</v>
      </c>
    </row>
    <row r="432" spans="1:27" x14ac:dyDescent="0.3">
      <c r="B432" t="s">
        <v>177</v>
      </c>
      <c r="C432" t="s">
        <v>129</v>
      </c>
      <c r="D432" s="36">
        <v>89849.000000000015</v>
      </c>
      <c r="E432" s="36"/>
      <c r="F432" s="36"/>
      <c r="G432" s="36"/>
      <c r="H432" s="36"/>
      <c r="I432" s="36"/>
      <c r="J432" s="36"/>
      <c r="K432" s="36"/>
      <c r="L432" s="36"/>
      <c r="M432" s="36"/>
      <c r="N432" s="36"/>
      <c r="O432" s="36"/>
      <c r="P432" s="36"/>
      <c r="Q432" s="36"/>
      <c r="R432" s="36"/>
      <c r="S432" s="36"/>
      <c r="T432" s="36"/>
      <c r="U432" s="36"/>
      <c r="V432" s="36"/>
      <c r="W432" s="36"/>
      <c r="X432" s="36"/>
      <c r="Y432" s="36"/>
      <c r="Z432" s="36"/>
      <c r="AA432" s="36"/>
    </row>
    <row r="433" spans="1:27" x14ac:dyDescent="0.3">
      <c r="C433" t="s">
        <v>131</v>
      </c>
      <c r="D433" s="36">
        <v>93171.999999999985</v>
      </c>
      <c r="E433" s="36">
        <v>81844</v>
      </c>
      <c r="F433" s="36">
        <v>76877.999999999985</v>
      </c>
      <c r="G433" s="36">
        <v>64291</v>
      </c>
      <c r="H433" s="36">
        <v>78379.000000000015</v>
      </c>
      <c r="I433" s="36">
        <v>79087.999999999985</v>
      </c>
      <c r="J433" s="36">
        <v>77425</v>
      </c>
      <c r="K433" s="36">
        <v>77988</v>
      </c>
      <c r="L433" s="36">
        <v>81290</v>
      </c>
      <c r="M433" s="36">
        <v>80678</v>
      </c>
      <c r="N433" s="36">
        <v>79461.000000000015</v>
      </c>
      <c r="O433" s="36">
        <v>79539</v>
      </c>
      <c r="P433" s="36">
        <v>76549.999999999985</v>
      </c>
      <c r="Q433" s="36">
        <v>58596.999999999993</v>
      </c>
      <c r="R433" s="36">
        <v>58586</v>
      </c>
      <c r="S433" s="36">
        <v>58831</v>
      </c>
      <c r="T433" s="36">
        <v>58531</v>
      </c>
      <c r="U433" s="36">
        <v>59162</v>
      </c>
      <c r="V433" s="36">
        <v>60085.999999999993</v>
      </c>
      <c r="W433" s="36">
        <v>59495.000000000007</v>
      </c>
      <c r="X433" s="36">
        <v>59602.000000000007</v>
      </c>
      <c r="Y433" s="36">
        <v>51590.999999999993</v>
      </c>
      <c r="Z433" s="36">
        <v>48460</v>
      </c>
      <c r="AA433" s="36">
        <v>48465.999999999993</v>
      </c>
    </row>
    <row r="434" spans="1:27" x14ac:dyDescent="0.3">
      <c r="C434" t="s">
        <v>132</v>
      </c>
      <c r="D434" s="36">
        <v>428094</v>
      </c>
      <c r="E434" s="36"/>
      <c r="F434" s="36"/>
      <c r="G434" s="36"/>
      <c r="H434" s="36"/>
      <c r="I434" s="36"/>
      <c r="J434" s="36"/>
      <c r="K434" s="36"/>
      <c r="L434" s="36"/>
      <c r="M434" s="36"/>
      <c r="N434" s="36"/>
      <c r="O434" s="36"/>
      <c r="P434" s="36"/>
      <c r="Q434" s="36"/>
      <c r="R434" s="36"/>
      <c r="S434" s="36"/>
      <c r="T434" s="36"/>
      <c r="U434" s="36"/>
      <c r="V434" s="36"/>
      <c r="W434" s="36"/>
      <c r="X434" s="36"/>
      <c r="Y434" s="36"/>
      <c r="Z434" s="36"/>
      <c r="AA434" s="36"/>
    </row>
    <row r="435" spans="1:27" x14ac:dyDescent="0.3">
      <c r="C435" t="s">
        <v>133</v>
      </c>
      <c r="D435" s="36">
        <v>1908</v>
      </c>
      <c r="E435" s="36"/>
      <c r="F435" s="36"/>
      <c r="G435" s="36"/>
      <c r="H435" s="36"/>
      <c r="I435" s="36"/>
      <c r="J435" s="36"/>
      <c r="K435" s="36"/>
      <c r="L435" s="36"/>
      <c r="M435" s="36"/>
      <c r="N435" s="36"/>
      <c r="O435" s="36"/>
      <c r="P435" s="36"/>
      <c r="Q435" s="36"/>
      <c r="R435" s="36"/>
      <c r="S435" s="36"/>
      <c r="T435" s="36"/>
      <c r="U435" s="36"/>
      <c r="V435" s="36"/>
      <c r="W435" s="36"/>
      <c r="X435" s="36"/>
      <c r="Y435" s="36"/>
      <c r="Z435" s="36"/>
      <c r="AA435" s="36"/>
    </row>
    <row r="436" spans="1:27" x14ac:dyDescent="0.3">
      <c r="C436" t="s">
        <v>134</v>
      </c>
      <c r="D436" s="36">
        <v>7350</v>
      </c>
      <c r="E436" s="36"/>
      <c r="F436" s="36"/>
      <c r="G436" s="36"/>
      <c r="H436" s="36"/>
      <c r="I436" s="36"/>
      <c r="J436" s="36"/>
      <c r="K436" s="36"/>
      <c r="L436" s="36"/>
      <c r="M436" s="36"/>
      <c r="N436" s="36"/>
      <c r="O436" s="36"/>
      <c r="P436" s="36"/>
      <c r="Q436" s="36"/>
      <c r="R436" s="36"/>
      <c r="S436" s="36"/>
      <c r="T436" s="36"/>
      <c r="U436" s="36"/>
      <c r="V436" s="36"/>
      <c r="W436" s="36"/>
      <c r="X436" s="36"/>
      <c r="Y436" s="36"/>
      <c r="Z436" s="36"/>
      <c r="AA436" s="36"/>
    </row>
    <row r="437" spans="1:27" x14ac:dyDescent="0.3">
      <c r="C437" t="s">
        <v>135</v>
      </c>
      <c r="D437" s="36">
        <v>31824</v>
      </c>
      <c r="E437" s="36"/>
      <c r="F437" s="36"/>
      <c r="G437" s="36"/>
      <c r="H437" s="36"/>
      <c r="I437" s="36"/>
      <c r="J437" s="36"/>
      <c r="K437" s="36"/>
      <c r="L437" s="36"/>
      <c r="M437" s="36"/>
      <c r="N437" s="36"/>
      <c r="O437" s="36"/>
      <c r="P437" s="36"/>
      <c r="Q437" s="36"/>
      <c r="R437" s="36"/>
      <c r="S437" s="36"/>
      <c r="T437" s="36"/>
      <c r="U437" s="36"/>
      <c r="V437" s="36"/>
      <c r="W437" s="36"/>
      <c r="X437" s="36"/>
      <c r="Y437" s="36"/>
      <c r="Z437" s="36"/>
      <c r="AA437" s="36"/>
    </row>
    <row r="438" spans="1:27" x14ac:dyDescent="0.3">
      <c r="C438" t="s">
        <v>136</v>
      </c>
      <c r="D438" s="36">
        <v>28080</v>
      </c>
      <c r="E438" s="36">
        <v>0</v>
      </c>
      <c r="F438" s="36">
        <v>62400</v>
      </c>
      <c r="G438" s="36">
        <v>50400</v>
      </c>
      <c r="H438" s="36">
        <v>88800</v>
      </c>
      <c r="I438" s="36">
        <v>100400</v>
      </c>
      <c r="J438" s="36">
        <v>21600</v>
      </c>
      <c r="K438" s="36">
        <v>69600</v>
      </c>
      <c r="L438" s="36">
        <v>100400</v>
      </c>
      <c r="M438" s="36">
        <v>167600</v>
      </c>
      <c r="N438" s="36">
        <v>50400</v>
      </c>
      <c r="O438" s="36">
        <v>28800</v>
      </c>
      <c r="P438" s="36">
        <v>43200</v>
      </c>
      <c r="Q438" s="36">
        <v>43200</v>
      </c>
      <c r="R438" s="36">
        <v>14400</v>
      </c>
      <c r="S438" s="36">
        <v>0</v>
      </c>
      <c r="T438" s="36">
        <v>0</v>
      </c>
      <c r="U438" s="36">
        <v>0</v>
      </c>
      <c r="V438" s="36">
        <v>0</v>
      </c>
      <c r="W438" s="36">
        <v>0</v>
      </c>
      <c r="X438" s="36">
        <v>0</v>
      </c>
      <c r="Y438" s="36">
        <v>0</v>
      </c>
      <c r="Z438" s="36">
        <v>0</v>
      </c>
      <c r="AA438" s="36">
        <v>0</v>
      </c>
    </row>
    <row r="439" spans="1:27" x14ac:dyDescent="0.3">
      <c r="C439" t="s">
        <v>124</v>
      </c>
      <c r="D439" s="36">
        <v>28080</v>
      </c>
      <c r="E439" s="36"/>
      <c r="F439" s="36">
        <v>62400</v>
      </c>
      <c r="G439" s="36">
        <v>50400</v>
      </c>
      <c r="H439" s="36">
        <v>88800</v>
      </c>
      <c r="I439" s="36">
        <v>100400</v>
      </c>
      <c r="J439" s="36">
        <v>21600</v>
      </c>
      <c r="K439" s="36">
        <v>69600</v>
      </c>
      <c r="L439" s="36">
        <v>100400</v>
      </c>
      <c r="M439" s="36">
        <v>167600</v>
      </c>
      <c r="N439" s="36">
        <v>50400</v>
      </c>
      <c r="O439" s="36">
        <v>28800</v>
      </c>
      <c r="P439" s="36">
        <v>43200</v>
      </c>
      <c r="Q439" s="36">
        <v>43200</v>
      </c>
      <c r="R439" s="36">
        <v>14400</v>
      </c>
      <c r="S439" s="36"/>
      <c r="T439" s="36"/>
      <c r="U439" s="36"/>
      <c r="V439" s="36"/>
      <c r="W439" s="36"/>
      <c r="X439" s="36"/>
      <c r="Y439" s="36"/>
      <c r="Z439" s="36"/>
      <c r="AA439" s="36"/>
    </row>
    <row r="440" spans="1:27" x14ac:dyDescent="0.3">
      <c r="C440" t="s">
        <v>137</v>
      </c>
      <c r="D440" s="36"/>
      <c r="E440" s="36"/>
      <c r="F440" s="36"/>
      <c r="G440" s="36"/>
      <c r="H440" s="36"/>
      <c r="I440" s="36"/>
      <c r="J440" s="36"/>
      <c r="K440" s="36"/>
      <c r="L440" s="36"/>
      <c r="M440" s="36"/>
      <c r="N440" s="36"/>
      <c r="O440" s="36"/>
      <c r="P440" s="36"/>
      <c r="Q440" s="36"/>
      <c r="R440" s="36"/>
      <c r="S440" s="36"/>
      <c r="T440" s="36"/>
      <c r="U440" s="36"/>
      <c r="V440" s="36"/>
      <c r="W440" s="36"/>
      <c r="X440" s="36"/>
      <c r="Y440" s="36"/>
      <c r="Z440" s="36"/>
      <c r="AA440" s="36"/>
    </row>
    <row r="441" spans="1:27" x14ac:dyDescent="0.3">
      <c r="C441" t="s">
        <v>138</v>
      </c>
      <c r="D441" s="36"/>
      <c r="E441" s="36"/>
      <c r="F441" s="36"/>
      <c r="G441" s="36"/>
      <c r="H441" s="36"/>
      <c r="I441" s="36"/>
      <c r="J441" s="36"/>
      <c r="K441" s="36"/>
      <c r="L441" s="36"/>
      <c r="M441" s="36"/>
      <c r="N441" s="36"/>
      <c r="O441" s="36"/>
      <c r="P441" s="36"/>
      <c r="Q441" s="36"/>
      <c r="R441" s="36"/>
      <c r="S441" s="36"/>
      <c r="T441" s="36"/>
      <c r="U441" s="36"/>
      <c r="V441" s="36"/>
      <c r="W441" s="36"/>
      <c r="X441" s="36"/>
      <c r="Y441" s="36"/>
      <c r="Z441" s="36"/>
      <c r="AA441" s="36"/>
    </row>
    <row r="442" spans="1:27" x14ac:dyDescent="0.3">
      <c r="C442" t="s">
        <v>139</v>
      </c>
      <c r="D442" s="36">
        <v>28080</v>
      </c>
      <c r="E442" s="36"/>
      <c r="F442" s="36">
        <v>62400</v>
      </c>
      <c r="G442" s="36">
        <v>50400</v>
      </c>
      <c r="H442" s="36">
        <v>88800</v>
      </c>
      <c r="I442" s="36">
        <v>100400</v>
      </c>
      <c r="J442" s="36">
        <v>21600</v>
      </c>
      <c r="K442" s="36">
        <v>69600</v>
      </c>
      <c r="L442" s="36">
        <v>100400</v>
      </c>
      <c r="M442" s="36">
        <v>167600</v>
      </c>
      <c r="N442" s="36">
        <v>50400</v>
      </c>
      <c r="O442" s="36">
        <v>28800</v>
      </c>
      <c r="P442" s="36">
        <v>43200</v>
      </c>
      <c r="Q442" s="36">
        <v>43200</v>
      </c>
      <c r="R442" s="36">
        <v>14400</v>
      </c>
      <c r="S442" s="36"/>
      <c r="T442" s="36"/>
      <c r="U442" s="36"/>
      <c r="V442" s="36"/>
      <c r="W442" s="36"/>
      <c r="X442" s="36"/>
      <c r="Y442" s="36"/>
      <c r="Z442" s="36"/>
      <c r="AA442" s="36"/>
    </row>
    <row r="443" spans="1:27" x14ac:dyDescent="0.3">
      <c r="C443" t="s">
        <v>140</v>
      </c>
      <c r="D443" s="36">
        <v>314235</v>
      </c>
      <c r="E443" s="36">
        <v>232391</v>
      </c>
      <c r="F443" s="36">
        <v>217913</v>
      </c>
      <c r="G443" s="36">
        <v>204022</v>
      </c>
      <c r="H443" s="36">
        <v>214443</v>
      </c>
      <c r="I443" s="36">
        <v>235755</v>
      </c>
      <c r="J443" s="36">
        <v>179930.00000000006</v>
      </c>
      <c r="K443" s="36">
        <v>171542.00000000006</v>
      </c>
      <c r="L443" s="36">
        <v>190652.00000000006</v>
      </c>
      <c r="M443" s="36">
        <v>277574</v>
      </c>
      <c r="N443" s="36">
        <v>248513</v>
      </c>
      <c r="O443" s="36">
        <v>197773.99999999997</v>
      </c>
      <c r="P443" s="36">
        <v>164423.99999999997</v>
      </c>
      <c r="Q443" s="36">
        <v>149026.99999999997</v>
      </c>
      <c r="R443" s="36">
        <v>104840.99999999997</v>
      </c>
      <c r="S443" s="36">
        <v>46010</v>
      </c>
      <c r="T443" s="36">
        <v>-12521</v>
      </c>
      <c r="U443" s="36">
        <v>-71683</v>
      </c>
      <c r="V443" s="36">
        <v>-131769</v>
      </c>
      <c r="W443" s="36">
        <v>-191264.00000000003</v>
      </c>
      <c r="X443" s="36">
        <v>-250866.00000000006</v>
      </c>
      <c r="Y443" s="36">
        <v>-302457.00000000012</v>
      </c>
      <c r="Z443" s="36">
        <v>-350917.00000000012</v>
      </c>
      <c r="AA443" s="36">
        <v>-399383.00000000017</v>
      </c>
    </row>
    <row r="444" spans="1:27" x14ac:dyDescent="0.3">
      <c r="C444" t="s">
        <v>141</v>
      </c>
      <c r="D444" s="36">
        <v>0</v>
      </c>
      <c r="E444" s="36">
        <v>0</v>
      </c>
      <c r="F444" s="36">
        <v>0</v>
      </c>
      <c r="G444" s="36">
        <v>0</v>
      </c>
      <c r="H444" s="36">
        <v>0</v>
      </c>
      <c r="I444" s="36">
        <v>0</v>
      </c>
      <c r="J444" s="36">
        <v>0</v>
      </c>
      <c r="K444" s="36">
        <v>0</v>
      </c>
      <c r="L444" s="36">
        <v>0</v>
      </c>
      <c r="M444" s="36">
        <v>0</v>
      </c>
      <c r="N444" s="36">
        <v>0</v>
      </c>
      <c r="O444" s="36">
        <v>0</v>
      </c>
      <c r="P444" s="36">
        <v>0</v>
      </c>
      <c r="Q444" s="36">
        <v>0</v>
      </c>
      <c r="R444" s="36">
        <v>0</v>
      </c>
      <c r="S444" s="36">
        <v>0</v>
      </c>
      <c r="T444" s="36">
        <v>0</v>
      </c>
      <c r="U444" s="36">
        <v>0</v>
      </c>
      <c r="V444" s="36">
        <v>0</v>
      </c>
      <c r="W444" s="36">
        <v>0</v>
      </c>
      <c r="X444" s="36">
        <v>0</v>
      </c>
      <c r="Y444" s="36">
        <v>0</v>
      </c>
      <c r="Z444" s="36">
        <v>0</v>
      </c>
      <c r="AA444" s="36">
        <v>0</v>
      </c>
    </row>
    <row r="445" spans="1:27" x14ac:dyDescent="0.3">
      <c r="A445" t="s">
        <v>209</v>
      </c>
      <c r="B445" t="s">
        <v>195</v>
      </c>
      <c r="C445" t="s">
        <v>129</v>
      </c>
      <c r="D445" s="36">
        <v>10328</v>
      </c>
      <c r="E445" s="36"/>
      <c r="F445" s="36"/>
      <c r="G445" s="36"/>
      <c r="H445" s="36"/>
      <c r="I445" s="36"/>
      <c r="J445" s="36"/>
      <c r="K445" s="36"/>
      <c r="L445" s="36"/>
      <c r="M445" s="36"/>
      <c r="N445" s="36"/>
      <c r="O445" s="36"/>
      <c r="P445" s="36"/>
      <c r="Q445" s="36"/>
      <c r="R445" s="36"/>
      <c r="S445" s="36"/>
      <c r="T445" s="36"/>
      <c r="U445" s="36"/>
      <c r="V445" s="36"/>
      <c r="W445" s="36"/>
      <c r="X445" s="36"/>
      <c r="Y445" s="36"/>
      <c r="Z445" s="36"/>
      <c r="AA445" s="36"/>
    </row>
    <row r="446" spans="1:27" x14ac:dyDescent="0.3">
      <c r="C446" t="s">
        <v>131</v>
      </c>
      <c r="D446" s="36">
        <v>7628</v>
      </c>
      <c r="E446" s="36">
        <v>2987</v>
      </c>
      <c r="F446" s="36">
        <v>4315</v>
      </c>
      <c r="G446" s="36">
        <v>5371</v>
      </c>
      <c r="H446" s="36">
        <v>3043</v>
      </c>
      <c r="I446" s="36">
        <v>3116</v>
      </c>
      <c r="J446" s="36">
        <v>3114</v>
      </c>
      <c r="K446" s="36">
        <v>3113</v>
      </c>
      <c r="L446" s="36">
        <v>2968</v>
      </c>
      <c r="M446" s="36">
        <v>2856</v>
      </c>
      <c r="N446" s="36">
        <v>2854</v>
      </c>
      <c r="O446" s="36">
        <v>2852</v>
      </c>
      <c r="P446" s="36">
        <v>2683</v>
      </c>
      <c r="Q446" s="36">
        <v>1661</v>
      </c>
      <c r="R446" s="36">
        <v>1660</v>
      </c>
      <c r="S446" s="36">
        <v>1660</v>
      </c>
      <c r="T446" s="36">
        <v>1658</v>
      </c>
      <c r="U446" s="36">
        <v>2024</v>
      </c>
      <c r="V446" s="36">
        <v>2177</v>
      </c>
      <c r="W446" s="36">
        <v>2175</v>
      </c>
      <c r="X446" s="36">
        <v>2175</v>
      </c>
      <c r="Y446" s="36">
        <v>1750</v>
      </c>
      <c r="Z446" s="36">
        <v>1580</v>
      </c>
      <c r="AA446" s="36">
        <v>1580</v>
      </c>
    </row>
    <row r="447" spans="1:27" x14ac:dyDescent="0.3">
      <c r="C447" t="s">
        <v>132</v>
      </c>
      <c r="D447" s="36">
        <v>0</v>
      </c>
      <c r="E447" s="36"/>
      <c r="F447" s="36"/>
      <c r="G447" s="36"/>
      <c r="H447" s="36"/>
      <c r="I447" s="36"/>
      <c r="J447" s="36"/>
      <c r="K447" s="36"/>
      <c r="L447" s="36"/>
      <c r="M447" s="36"/>
      <c r="N447" s="36"/>
      <c r="O447" s="36"/>
      <c r="P447" s="36"/>
      <c r="Q447" s="36"/>
      <c r="R447" s="36"/>
      <c r="S447" s="36"/>
      <c r="T447" s="36"/>
      <c r="U447" s="36"/>
      <c r="V447" s="36"/>
      <c r="W447" s="36"/>
      <c r="X447" s="36"/>
      <c r="Y447" s="36"/>
      <c r="Z447" s="36"/>
      <c r="AA447" s="36"/>
    </row>
    <row r="448" spans="1:27" x14ac:dyDescent="0.3">
      <c r="C448" t="s">
        <v>133</v>
      </c>
      <c r="D448" s="36">
        <v>0</v>
      </c>
      <c r="E448" s="36"/>
      <c r="F448" s="36"/>
      <c r="G448" s="36"/>
      <c r="H448" s="36"/>
      <c r="I448" s="36"/>
      <c r="J448" s="36"/>
      <c r="K448" s="36"/>
      <c r="L448" s="36"/>
      <c r="M448" s="36"/>
      <c r="N448" s="36"/>
      <c r="O448" s="36"/>
      <c r="P448" s="36"/>
      <c r="Q448" s="36"/>
      <c r="R448" s="36"/>
      <c r="S448" s="36"/>
      <c r="T448" s="36"/>
      <c r="U448" s="36"/>
      <c r="V448" s="36"/>
      <c r="W448" s="36"/>
      <c r="X448" s="36"/>
      <c r="Y448" s="36"/>
      <c r="Z448" s="36"/>
      <c r="AA448" s="36"/>
    </row>
    <row r="449" spans="2:27" x14ac:dyDescent="0.3">
      <c r="C449" t="s">
        <v>134</v>
      </c>
      <c r="D449" s="36">
        <v>222</v>
      </c>
      <c r="E449" s="36"/>
      <c r="F449" s="36"/>
      <c r="G449" s="36"/>
      <c r="H449" s="36"/>
      <c r="I449" s="36"/>
      <c r="J449" s="36"/>
      <c r="K449" s="36"/>
      <c r="L449" s="36"/>
      <c r="M449" s="36"/>
      <c r="N449" s="36"/>
      <c r="O449" s="36"/>
      <c r="P449" s="36"/>
      <c r="Q449" s="36"/>
      <c r="R449" s="36"/>
      <c r="S449" s="36"/>
      <c r="T449" s="36"/>
      <c r="U449" s="36"/>
      <c r="V449" s="36"/>
      <c r="W449" s="36"/>
      <c r="X449" s="36"/>
      <c r="Y449" s="36"/>
      <c r="Z449" s="36"/>
      <c r="AA449" s="36"/>
    </row>
    <row r="450" spans="2:27" x14ac:dyDescent="0.3">
      <c r="C450" t="s">
        <v>135</v>
      </c>
      <c r="D450" s="36"/>
      <c r="E450" s="36"/>
      <c r="F450" s="36"/>
      <c r="G450" s="36"/>
      <c r="H450" s="36"/>
      <c r="I450" s="36"/>
      <c r="J450" s="36"/>
      <c r="K450" s="36"/>
      <c r="L450" s="36"/>
      <c r="M450" s="36"/>
      <c r="N450" s="36"/>
      <c r="O450" s="36"/>
      <c r="P450" s="36"/>
      <c r="Q450" s="36"/>
      <c r="R450" s="36"/>
      <c r="S450" s="36"/>
      <c r="T450" s="36"/>
      <c r="U450" s="36"/>
      <c r="V450" s="36"/>
      <c r="W450" s="36"/>
      <c r="X450" s="36"/>
      <c r="Y450" s="36"/>
      <c r="Z450" s="36"/>
      <c r="AA450" s="36"/>
    </row>
    <row r="451" spans="2:27" x14ac:dyDescent="0.3">
      <c r="C451" t="s">
        <v>136</v>
      </c>
      <c r="D451" s="36">
        <v>0</v>
      </c>
      <c r="E451" s="36">
        <v>0</v>
      </c>
      <c r="F451" s="36">
        <v>0</v>
      </c>
      <c r="G451" s="36">
        <v>0</v>
      </c>
      <c r="H451" s="36">
        <v>0</v>
      </c>
      <c r="I451" s="36">
        <v>0</v>
      </c>
      <c r="J451" s="36">
        <v>0</v>
      </c>
      <c r="K451" s="36">
        <v>0</v>
      </c>
      <c r="L451" s="36">
        <v>0</v>
      </c>
      <c r="M451" s="36">
        <v>0</v>
      </c>
      <c r="N451" s="36">
        <v>0</v>
      </c>
      <c r="O451" s="36">
        <v>0</v>
      </c>
      <c r="P451" s="36">
        <v>0</v>
      </c>
      <c r="Q451" s="36">
        <v>0</v>
      </c>
      <c r="R451" s="36">
        <v>0</v>
      </c>
      <c r="S451" s="36">
        <v>0</v>
      </c>
      <c r="T451" s="36">
        <v>0</v>
      </c>
      <c r="U451" s="36">
        <v>0</v>
      </c>
      <c r="V451" s="36">
        <v>0</v>
      </c>
      <c r="W451" s="36">
        <v>0</v>
      </c>
      <c r="X451" s="36">
        <v>0</v>
      </c>
      <c r="Y451" s="36">
        <v>0</v>
      </c>
      <c r="Z451" s="36">
        <v>0</v>
      </c>
      <c r="AA451" s="36">
        <v>0</v>
      </c>
    </row>
    <row r="452" spans="2:27" x14ac:dyDescent="0.3">
      <c r="C452" t="s">
        <v>124</v>
      </c>
      <c r="D452" s="36"/>
      <c r="E452" s="36"/>
      <c r="F452" s="36"/>
      <c r="G452" s="36"/>
      <c r="H452" s="36"/>
      <c r="I452" s="36"/>
      <c r="J452" s="36"/>
      <c r="K452" s="36"/>
      <c r="L452" s="36"/>
      <c r="M452" s="36"/>
      <c r="N452" s="36"/>
      <c r="O452" s="36"/>
      <c r="P452" s="36"/>
      <c r="Q452" s="36"/>
      <c r="R452" s="36"/>
      <c r="S452" s="36"/>
      <c r="T452" s="36"/>
      <c r="U452" s="36"/>
      <c r="V452" s="36"/>
      <c r="W452" s="36"/>
      <c r="X452" s="36"/>
      <c r="Y452" s="36"/>
      <c r="Z452" s="36"/>
      <c r="AA452" s="36"/>
    </row>
    <row r="453" spans="2:27" x14ac:dyDescent="0.3">
      <c r="C453" t="s">
        <v>137</v>
      </c>
      <c r="D453" s="36"/>
      <c r="E453" s="36"/>
      <c r="F453" s="36"/>
      <c r="G453" s="36"/>
      <c r="H453" s="36"/>
      <c r="I453" s="36"/>
      <c r="J453" s="36"/>
      <c r="K453" s="36"/>
      <c r="L453" s="36"/>
      <c r="M453" s="36"/>
      <c r="N453" s="36"/>
      <c r="O453" s="36"/>
      <c r="P453" s="36"/>
      <c r="Q453" s="36"/>
      <c r="R453" s="36"/>
      <c r="S453" s="36"/>
      <c r="T453" s="36"/>
      <c r="U453" s="36"/>
      <c r="V453" s="36"/>
      <c r="W453" s="36"/>
      <c r="X453" s="36"/>
      <c r="Y453" s="36"/>
      <c r="Z453" s="36"/>
      <c r="AA453" s="36"/>
    </row>
    <row r="454" spans="2:27" x14ac:dyDescent="0.3">
      <c r="C454" t="s">
        <v>138</v>
      </c>
      <c r="D454" s="36"/>
      <c r="E454" s="36"/>
      <c r="F454" s="36"/>
      <c r="G454" s="36"/>
      <c r="H454" s="36"/>
      <c r="I454" s="36"/>
      <c r="J454" s="36"/>
      <c r="K454" s="36"/>
      <c r="L454" s="36"/>
      <c r="M454" s="36"/>
      <c r="N454" s="36"/>
      <c r="O454" s="36"/>
      <c r="P454" s="36"/>
      <c r="Q454" s="36"/>
      <c r="R454" s="36"/>
      <c r="S454" s="36"/>
      <c r="T454" s="36"/>
      <c r="U454" s="36"/>
      <c r="V454" s="36"/>
      <c r="W454" s="36"/>
      <c r="X454" s="36"/>
      <c r="Y454" s="36"/>
      <c r="Z454" s="36"/>
      <c r="AA454" s="36"/>
    </row>
    <row r="455" spans="2:27" x14ac:dyDescent="0.3">
      <c r="C455" t="s">
        <v>139</v>
      </c>
      <c r="D455" s="36"/>
      <c r="E455" s="36"/>
      <c r="F455" s="36"/>
      <c r="G455" s="36"/>
      <c r="H455" s="36"/>
      <c r="I455" s="36"/>
      <c r="J455" s="36"/>
      <c r="K455" s="36"/>
      <c r="L455" s="36"/>
      <c r="M455" s="36"/>
      <c r="N455" s="36"/>
      <c r="O455" s="36"/>
      <c r="P455" s="36"/>
      <c r="Q455" s="36"/>
      <c r="R455" s="36"/>
      <c r="S455" s="36"/>
      <c r="T455" s="36"/>
      <c r="U455" s="36"/>
      <c r="V455" s="36"/>
      <c r="W455" s="36"/>
      <c r="X455" s="36"/>
      <c r="Y455" s="36"/>
      <c r="Z455" s="36"/>
      <c r="AA455" s="36"/>
    </row>
    <row r="456" spans="2:27" x14ac:dyDescent="0.3">
      <c r="C456" t="s">
        <v>140</v>
      </c>
      <c r="D456" s="36">
        <v>-17734</v>
      </c>
      <c r="E456" s="36">
        <v>-20721</v>
      </c>
      <c r="F456" s="36">
        <v>-25036</v>
      </c>
      <c r="G456" s="36">
        <v>-30407</v>
      </c>
      <c r="H456" s="36">
        <v>-33450</v>
      </c>
      <c r="I456" s="36">
        <v>-36566</v>
      </c>
      <c r="J456" s="36">
        <v>-39680</v>
      </c>
      <c r="K456" s="36">
        <v>-42793</v>
      </c>
      <c r="L456" s="36">
        <v>-45761</v>
      </c>
      <c r="M456" s="36">
        <v>-48617</v>
      </c>
      <c r="N456" s="36">
        <v>-51471</v>
      </c>
      <c r="O456" s="36">
        <v>-54323</v>
      </c>
      <c r="P456" s="36">
        <v>-57006</v>
      </c>
      <c r="Q456" s="36">
        <v>-58667</v>
      </c>
      <c r="R456" s="36">
        <v>-60327</v>
      </c>
      <c r="S456" s="36">
        <v>-61987</v>
      </c>
      <c r="T456" s="36">
        <v>-63645</v>
      </c>
      <c r="U456" s="36">
        <v>-65669</v>
      </c>
      <c r="V456" s="36">
        <v>-67846</v>
      </c>
      <c r="W456" s="36">
        <v>-70021</v>
      </c>
      <c r="X456" s="36">
        <v>-72196</v>
      </c>
      <c r="Y456" s="36">
        <v>-73946</v>
      </c>
      <c r="Z456" s="36">
        <v>-75526</v>
      </c>
      <c r="AA456" s="36">
        <v>-77106</v>
      </c>
    </row>
    <row r="457" spans="2:27" x14ac:dyDescent="0.3">
      <c r="C457" t="s">
        <v>141</v>
      </c>
      <c r="D457" s="36">
        <v>0</v>
      </c>
      <c r="E457" s="36">
        <v>0</v>
      </c>
      <c r="F457" s="36">
        <v>0</v>
      </c>
      <c r="G457" s="36">
        <v>0</v>
      </c>
      <c r="H457" s="36">
        <v>0</v>
      </c>
      <c r="I457" s="36">
        <v>0</v>
      </c>
      <c r="J457" s="36">
        <v>0</v>
      </c>
      <c r="K457" s="36">
        <v>0</v>
      </c>
      <c r="L457" s="36">
        <v>0</v>
      </c>
      <c r="M457" s="36">
        <v>0</v>
      </c>
      <c r="N457" s="36">
        <v>0</v>
      </c>
      <c r="O457" s="36">
        <v>0</v>
      </c>
      <c r="P457" s="36">
        <v>0</v>
      </c>
      <c r="Q457" s="36">
        <v>0</v>
      </c>
      <c r="R457" s="36">
        <v>0</v>
      </c>
      <c r="S457" s="36">
        <v>0</v>
      </c>
      <c r="T457" s="36">
        <v>0</v>
      </c>
      <c r="U457" s="36">
        <v>0</v>
      </c>
      <c r="V457" s="36">
        <v>0</v>
      </c>
      <c r="W457" s="36">
        <v>0</v>
      </c>
      <c r="X457" s="36">
        <v>0</v>
      </c>
      <c r="Y457" s="36">
        <v>0</v>
      </c>
      <c r="Z457" s="36">
        <v>0</v>
      </c>
      <c r="AA457" s="36">
        <v>0</v>
      </c>
    </row>
    <row r="458" spans="2:27" x14ac:dyDescent="0.3">
      <c r="B458" t="s">
        <v>177</v>
      </c>
      <c r="C458" t="s">
        <v>129</v>
      </c>
      <c r="D458" s="36">
        <v>63690</v>
      </c>
      <c r="E458" s="36"/>
      <c r="F458" s="36"/>
      <c r="G458" s="36"/>
      <c r="H458" s="36"/>
      <c r="I458" s="36"/>
      <c r="J458" s="36"/>
      <c r="K458" s="36"/>
      <c r="L458" s="36"/>
      <c r="M458" s="36"/>
      <c r="N458" s="36"/>
      <c r="O458" s="36"/>
      <c r="P458" s="36"/>
      <c r="Q458" s="36"/>
      <c r="R458" s="36"/>
      <c r="S458" s="36"/>
      <c r="T458" s="36"/>
      <c r="U458" s="36"/>
      <c r="V458" s="36"/>
      <c r="W458" s="36"/>
      <c r="X458" s="36"/>
      <c r="Y458" s="36"/>
      <c r="Z458" s="36"/>
      <c r="AA458" s="36"/>
    </row>
    <row r="459" spans="2:27" x14ac:dyDescent="0.3">
      <c r="C459" t="s">
        <v>131</v>
      </c>
      <c r="D459" s="36">
        <v>45758</v>
      </c>
      <c r="E459" s="36">
        <v>41444</v>
      </c>
      <c r="F459" s="36">
        <v>24056</v>
      </c>
      <c r="G459" s="36">
        <v>24614</v>
      </c>
      <c r="H459" s="36">
        <v>29390</v>
      </c>
      <c r="I459" s="36">
        <v>30538</v>
      </c>
      <c r="J459" s="36">
        <v>30874</v>
      </c>
      <c r="K459" s="36">
        <v>30472</v>
      </c>
      <c r="L459" s="36">
        <v>31886</v>
      </c>
      <c r="M459" s="36">
        <v>28473</v>
      </c>
      <c r="N459" s="36">
        <v>29162</v>
      </c>
      <c r="O459" s="36">
        <v>29746</v>
      </c>
      <c r="P459" s="36">
        <v>30787</v>
      </c>
      <c r="Q459" s="36">
        <v>21876</v>
      </c>
      <c r="R459" s="36">
        <v>21920</v>
      </c>
      <c r="S459" s="36">
        <v>22045</v>
      </c>
      <c r="T459" s="36">
        <v>22139</v>
      </c>
      <c r="U459" s="36">
        <v>12467</v>
      </c>
      <c r="V459" s="36">
        <v>8731</v>
      </c>
      <c r="W459" s="36">
        <v>8728</v>
      </c>
      <c r="X459" s="36">
        <v>8724</v>
      </c>
      <c r="Y459" s="36">
        <v>5775</v>
      </c>
      <c r="Z459" s="36">
        <v>4610</v>
      </c>
      <c r="AA459" s="36">
        <v>4608</v>
      </c>
    </row>
    <row r="460" spans="2:27" x14ac:dyDescent="0.3">
      <c r="C460" t="s">
        <v>132</v>
      </c>
      <c r="D460" s="36">
        <v>208840</v>
      </c>
      <c r="E460" s="36"/>
      <c r="F460" s="36"/>
      <c r="G460" s="36"/>
      <c r="H460" s="36"/>
      <c r="I460" s="36"/>
      <c r="J460" s="36"/>
      <c r="K460" s="36"/>
      <c r="L460" s="36"/>
      <c r="M460" s="36"/>
      <c r="N460" s="36"/>
      <c r="O460" s="36"/>
      <c r="P460" s="36"/>
      <c r="Q460" s="36"/>
      <c r="R460" s="36"/>
      <c r="S460" s="36"/>
      <c r="T460" s="36"/>
      <c r="U460" s="36"/>
      <c r="V460" s="36"/>
      <c r="W460" s="36"/>
      <c r="X460" s="36"/>
      <c r="Y460" s="36"/>
      <c r="Z460" s="36"/>
      <c r="AA460" s="36"/>
    </row>
    <row r="461" spans="2:27" x14ac:dyDescent="0.3">
      <c r="C461" t="s">
        <v>133</v>
      </c>
      <c r="D461" s="36">
        <v>0</v>
      </c>
      <c r="E461" s="36"/>
      <c r="F461" s="36"/>
      <c r="G461" s="36"/>
      <c r="H461" s="36"/>
      <c r="I461" s="36"/>
      <c r="J461" s="36"/>
      <c r="K461" s="36"/>
      <c r="L461" s="36"/>
      <c r="M461" s="36"/>
      <c r="N461" s="36"/>
      <c r="O461" s="36"/>
      <c r="P461" s="36"/>
      <c r="Q461" s="36"/>
      <c r="R461" s="36"/>
      <c r="S461" s="36"/>
      <c r="T461" s="36"/>
      <c r="U461" s="36"/>
      <c r="V461" s="36"/>
      <c r="W461" s="36"/>
      <c r="X461" s="36"/>
      <c r="Y461" s="36"/>
      <c r="Z461" s="36"/>
      <c r="AA461" s="36"/>
    </row>
    <row r="462" spans="2:27" x14ac:dyDescent="0.3">
      <c r="C462" t="s">
        <v>134</v>
      </c>
      <c r="D462" s="36">
        <v>5756</v>
      </c>
      <c r="E462" s="36"/>
      <c r="F462" s="36"/>
      <c r="G462" s="36"/>
      <c r="H462" s="36"/>
      <c r="I462" s="36"/>
      <c r="J462" s="36"/>
      <c r="K462" s="36"/>
      <c r="L462" s="36"/>
      <c r="M462" s="36"/>
      <c r="N462" s="36"/>
      <c r="O462" s="36"/>
      <c r="P462" s="36"/>
      <c r="Q462" s="36"/>
      <c r="R462" s="36"/>
      <c r="S462" s="36"/>
      <c r="T462" s="36"/>
      <c r="U462" s="36"/>
      <c r="V462" s="36"/>
      <c r="W462" s="36"/>
      <c r="X462" s="36"/>
      <c r="Y462" s="36"/>
      <c r="Z462" s="36"/>
      <c r="AA462" s="36"/>
    </row>
    <row r="463" spans="2:27" x14ac:dyDescent="0.3">
      <c r="C463" t="s">
        <v>135</v>
      </c>
      <c r="D463" s="36">
        <v>18000</v>
      </c>
      <c r="E463" s="36"/>
      <c r="F463" s="36"/>
      <c r="G463" s="36"/>
      <c r="H463" s="36"/>
      <c r="I463" s="36"/>
      <c r="J463" s="36"/>
      <c r="K463" s="36"/>
      <c r="L463" s="36"/>
      <c r="M463" s="36"/>
      <c r="N463" s="36"/>
      <c r="O463" s="36"/>
      <c r="P463" s="36"/>
      <c r="Q463" s="36"/>
      <c r="R463" s="36"/>
      <c r="S463" s="36"/>
      <c r="T463" s="36"/>
      <c r="U463" s="36"/>
      <c r="V463" s="36"/>
      <c r="W463" s="36"/>
      <c r="X463" s="36"/>
      <c r="Y463" s="36"/>
      <c r="Z463" s="36"/>
      <c r="AA463" s="36"/>
    </row>
    <row r="464" spans="2:27" x14ac:dyDescent="0.3">
      <c r="C464" t="s">
        <v>136</v>
      </c>
      <c r="D464" s="36">
        <v>26000</v>
      </c>
      <c r="E464" s="36">
        <v>0</v>
      </c>
      <c r="F464" s="36">
        <v>20000</v>
      </c>
      <c r="G464" s="36">
        <v>20000</v>
      </c>
      <c r="H464" s="36">
        <v>50000</v>
      </c>
      <c r="I464" s="36">
        <v>20000</v>
      </c>
      <c r="J464" s="36">
        <v>0</v>
      </c>
      <c r="K464" s="36">
        <v>20000</v>
      </c>
      <c r="L464" s="36">
        <v>40000</v>
      </c>
      <c r="M464" s="36">
        <v>20000</v>
      </c>
      <c r="N464" s="36">
        <v>0</v>
      </c>
      <c r="O464" s="36">
        <v>20000</v>
      </c>
      <c r="P464" s="36">
        <v>20000</v>
      </c>
      <c r="Q464" s="36">
        <v>30000</v>
      </c>
      <c r="R464" s="36">
        <v>0</v>
      </c>
      <c r="S464" s="36">
        <v>0</v>
      </c>
      <c r="T464" s="36">
        <v>0</v>
      </c>
      <c r="U464" s="36">
        <v>0</v>
      </c>
      <c r="V464" s="36">
        <v>0</v>
      </c>
      <c r="W464" s="36">
        <v>0</v>
      </c>
      <c r="X464" s="36">
        <v>0</v>
      </c>
      <c r="Y464" s="36">
        <v>0</v>
      </c>
      <c r="Z464" s="36">
        <v>0</v>
      </c>
      <c r="AA464" s="36">
        <v>0</v>
      </c>
    </row>
    <row r="465" spans="1:27" x14ac:dyDescent="0.3">
      <c r="C465" t="s">
        <v>124</v>
      </c>
      <c r="D465" s="36">
        <v>26000</v>
      </c>
      <c r="E465" s="36"/>
      <c r="F465" s="36">
        <v>20000</v>
      </c>
      <c r="G465" s="36">
        <v>20000</v>
      </c>
      <c r="H465" s="36">
        <v>50000</v>
      </c>
      <c r="I465" s="36">
        <v>20000</v>
      </c>
      <c r="J465" s="36"/>
      <c r="K465" s="36">
        <v>20000</v>
      </c>
      <c r="L465" s="36">
        <v>40000</v>
      </c>
      <c r="M465" s="36">
        <v>20000</v>
      </c>
      <c r="N465" s="36"/>
      <c r="O465" s="36">
        <v>20000</v>
      </c>
      <c r="P465" s="36">
        <v>20000</v>
      </c>
      <c r="Q465" s="36">
        <v>30000</v>
      </c>
      <c r="R465" s="36"/>
      <c r="S465" s="36"/>
      <c r="T465" s="36"/>
      <c r="U465" s="36"/>
      <c r="V465" s="36"/>
      <c r="W465" s="36"/>
      <c r="X465" s="36"/>
      <c r="Y465" s="36"/>
      <c r="Z465" s="36"/>
      <c r="AA465" s="36"/>
    </row>
    <row r="466" spans="1:27" x14ac:dyDescent="0.3">
      <c r="C466" t="s">
        <v>137</v>
      </c>
      <c r="D466" s="36"/>
      <c r="E466" s="36"/>
      <c r="F466" s="36"/>
      <c r="G466" s="36"/>
      <c r="H466" s="36"/>
      <c r="I466" s="36"/>
      <c r="J466" s="36"/>
      <c r="K466" s="36"/>
      <c r="L466" s="36"/>
      <c r="M466" s="36"/>
      <c r="N466" s="36"/>
      <c r="O466" s="36"/>
      <c r="P466" s="36"/>
      <c r="Q466" s="36"/>
      <c r="R466" s="36"/>
      <c r="S466" s="36"/>
      <c r="T466" s="36"/>
      <c r="U466" s="36"/>
      <c r="V466" s="36"/>
      <c r="W466" s="36"/>
      <c r="X466" s="36"/>
      <c r="Y466" s="36"/>
      <c r="Z466" s="36"/>
      <c r="AA466" s="36"/>
    </row>
    <row r="467" spans="1:27" x14ac:dyDescent="0.3">
      <c r="C467" t="s">
        <v>138</v>
      </c>
      <c r="D467" s="36"/>
      <c r="E467" s="36"/>
      <c r="F467" s="36"/>
      <c r="G467" s="36"/>
      <c r="H467" s="36"/>
      <c r="I467" s="36"/>
      <c r="J467" s="36"/>
      <c r="K467" s="36"/>
      <c r="L467" s="36"/>
      <c r="M467" s="36"/>
      <c r="N467" s="36"/>
      <c r="O467" s="36"/>
      <c r="P467" s="36"/>
      <c r="Q467" s="36"/>
      <c r="R467" s="36"/>
      <c r="S467" s="36"/>
      <c r="T467" s="36"/>
      <c r="U467" s="36"/>
      <c r="V467" s="36"/>
      <c r="W467" s="36"/>
      <c r="X467" s="36"/>
      <c r="Y467" s="36"/>
      <c r="Z467" s="36"/>
      <c r="AA467" s="36"/>
    </row>
    <row r="468" spans="1:27" x14ac:dyDescent="0.3">
      <c r="C468" t="s">
        <v>139</v>
      </c>
      <c r="D468" s="36">
        <v>26000</v>
      </c>
      <c r="E468" s="36"/>
      <c r="F468" s="36">
        <v>20000</v>
      </c>
      <c r="G468" s="36">
        <v>20000</v>
      </c>
      <c r="H468" s="36">
        <v>50000</v>
      </c>
      <c r="I468" s="36">
        <v>20000</v>
      </c>
      <c r="J468" s="36"/>
      <c r="K468" s="36">
        <v>20000</v>
      </c>
      <c r="L468" s="36">
        <v>40000</v>
      </c>
      <c r="M468" s="36">
        <v>20000</v>
      </c>
      <c r="N468" s="36"/>
      <c r="O468" s="36">
        <v>20000</v>
      </c>
      <c r="P468" s="36">
        <v>20000</v>
      </c>
      <c r="Q468" s="36">
        <v>30000</v>
      </c>
      <c r="R468" s="36"/>
      <c r="S468" s="36"/>
      <c r="T468" s="36"/>
      <c r="U468" s="36"/>
      <c r="V468" s="36"/>
      <c r="W468" s="36"/>
      <c r="X468" s="36"/>
      <c r="Y468" s="36"/>
      <c r="Z468" s="36"/>
      <c r="AA468" s="36"/>
    </row>
    <row r="469" spans="1:27" x14ac:dyDescent="0.3">
      <c r="C469" t="s">
        <v>140</v>
      </c>
      <c r="D469" s="36">
        <v>149148</v>
      </c>
      <c r="E469" s="36">
        <v>107704</v>
      </c>
      <c r="F469" s="36">
        <v>103648</v>
      </c>
      <c r="G469" s="36">
        <v>99034</v>
      </c>
      <c r="H469" s="36">
        <v>119644</v>
      </c>
      <c r="I469" s="36">
        <v>109106</v>
      </c>
      <c r="J469" s="36">
        <v>78232</v>
      </c>
      <c r="K469" s="36">
        <v>67760</v>
      </c>
      <c r="L469" s="36">
        <v>75874</v>
      </c>
      <c r="M469" s="36">
        <v>67401</v>
      </c>
      <c r="N469" s="36">
        <v>38239</v>
      </c>
      <c r="O469" s="36">
        <v>28493</v>
      </c>
      <c r="P469" s="36">
        <v>17706</v>
      </c>
      <c r="Q469" s="36">
        <v>25830</v>
      </c>
      <c r="R469" s="36">
        <v>3910</v>
      </c>
      <c r="S469" s="36">
        <v>-18135</v>
      </c>
      <c r="T469" s="36">
        <v>-40274</v>
      </c>
      <c r="U469" s="36">
        <v>-52741</v>
      </c>
      <c r="V469" s="36">
        <v>-61472</v>
      </c>
      <c r="W469" s="36">
        <v>-70200</v>
      </c>
      <c r="X469" s="36">
        <v>-78924</v>
      </c>
      <c r="Y469" s="36">
        <v>-84699</v>
      </c>
      <c r="Z469" s="36">
        <v>-89309</v>
      </c>
      <c r="AA469" s="36">
        <v>-93917</v>
      </c>
    </row>
    <row r="470" spans="1:27" x14ac:dyDescent="0.3">
      <c r="C470" t="s">
        <v>141</v>
      </c>
      <c r="D470" s="36">
        <v>0</v>
      </c>
      <c r="E470" s="36">
        <v>0</v>
      </c>
      <c r="F470" s="36">
        <v>0</v>
      </c>
      <c r="G470" s="36">
        <v>0</v>
      </c>
      <c r="H470" s="36">
        <v>0</v>
      </c>
      <c r="I470" s="36">
        <v>0</v>
      </c>
      <c r="J470" s="36">
        <v>0</v>
      </c>
      <c r="K470" s="36">
        <v>0</v>
      </c>
      <c r="L470" s="36">
        <v>0</v>
      </c>
      <c r="M470" s="36">
        <v>0</v>
      </c>
      <c r="N470" s="36">
        <v>0</v>
      </c>
      <c r="O470" s="36">
        <v>0</v>
      </c>
      <c r="P470" s="36">
        <v>0</v>
      </c>
      <c r="Q470" s="36">
        <v>0</v>
      </c>
      <c r="R470" s="36">
        <v>0</v>
      </c>
      <c r="S470" s="36">
        <v>0</v>
      </c>
      <c r="T470" s="36">
        <v>0</v>
      </c>
      <c r="U470" s="36">
        <v>0</v>
      </c>
      <c r="V470" s="36">
        <v>0</v>
      </c>
      <c r="W470" s="36">
        <v>0</v>
      </c>
      <c r="X470" s="36">
        <v>0</v>
      </c>
      <c r="Y470" s="36">
        <v>0</v>
      </c>
      <c r="Z470" s="36">
        <v>0</v>
      </c>
      <c r="AA470" s="36">
        <v>0</v>
      </c>
    </row>
    <row r="471" spans="1:27" x14ac:dyDescent="0.3">
      <c r="A471" t="s">
        <v>226</v>
      </c>
      <c r="B471" t="s">
        <v>177</v>
      </c>
      <c r="C471" t="s">
        <v>129</v>
      </c>
      <c r="D471" s="36">
        <v>9434</v>
      </c>
      <c r="E471" s="36"/>
      <c r="F471" s="36"/>
      <c r="G471" s="36"/>
      <c r="H471" s="36"/>
      <c r="I471" s="36"/>
      <c r="J471" s="36"/>
      <c r="K471" s="36"/>
      <c r="L471" s="36"/>
      <c r="M471" s="36"/>
      <c r="N471" s="36"/>
      <c r="O471" s="36"/>
      <c r="P471" s="36"/>
      <c r="Q471" s="36"/>
      <c r="R471" s="36"/>
      <c r="S471" s="36"/>
      <c r="T471" s="36"/>
      <c r="U471" s="36"/>
      <c r="V471" s="36"/>
      <c r="W471" s="36"/>
      <c r="X471" s="36"/>
      <c r="Y471" s="36"/>
      <c r="Z471" s="36"/>
      <c r="AA471" s="36"/>
    </row>
    <row r="472" spans="1:27" x14ac:dyDescent="0.3">
      <c r="C472" t="s">
        <v>131</v>
      </c>
      <c r="D472" s="36">
        <v>1786</v>
      </c>
      <c r="E472" s="36">
        <v>1183</v>
      </c>
      <c r="F472" s="36">
        <v>1032</v>
      </c>
      <c r="G472" s="36">
        <v>1032</v>
      </c>
      <c r="H472" s="36">
        <v>1278</v>
      </c>
      <c r="I472" s="36">
        <v>1321</v>
      </c>
      <c r="J472" s="36">
        <v>1316</v>
      </c>
      <c r="K472" s="36">
        <v>1314</v>
      </c>
      <c r="L472" s="36">
        <v>1363</v>
      </c>
      <c r="M472" s="36">
        <v>1395</v>
      </c>
      <c r="N472" s="36">
        <v>1390</v>
      </c>
      <c r="O472" s="36">
        <v>1389</v>
      </c>
      <c r="P472" s="36">
        <v>1396</v>
      </c>
      <c r="Q472" s="36">
        <v>1434</v>
      </c>
      <c r="R472" s="36">
        <v>1431</v>
      </c>
      <c r="S472" s="36">
        <v>1430</v>
      </c>
      <c r="T472" s="36">
        <v>1428</v>
      </c>
      <c r="U472" s="36">
        <v>1472</v>
      </c>
      <c r="V472" s="36">
        <v>1501</v>
      </c>
      <c r="W472" s="36">
        <v>1501</v>
      </c>
      <c r="X472" s="36">
        <v>1498</v>
      </c>
      <c r="Y472" s="36">
        <v>1310</v>
      </c>
      <c r="Z472" s="36">
        <v>1246</v>
      </c>
      <c r="AA472" s="36">
        <v>1240</v>
      </c>
    </row>
    <row r="473" spans="1:27" x14ac:dyDescent="0.3">
      <c r="C473" t="s">
        <v>132</v>
      </c>
      <c r="D473" s="36">
        <v>15980</v>
      </c>
      <c r="E473" s="36"/>
      <c r="F473" s="36"/>
      <c r="G473" s="36"/>
      <c r="H473" s="36"/>
      <c r="I473" s="36"/>
      <c r="J473" s="36"/>
      <c r="K473" s="36"/>
      <c r="L473" s="36"/>
      <c r="M473" s="36"/>
      <c r="N473" s="36"/>
      <c r="O473" s="36"/>
      <c r="P473" s="36"/>
      <c r="Q473" s="36"/>
      <c r="R473" s="36"/>
      <c r="S473" s="36"/>
      <c r="T473" s="36"/>
      <c r="U473" s="36"/>
      <c r="V473" s="36"/>
      <c r="W473" s="36"/>
      <c r="X473" s="36"/>
      <c r="Y473" s="36"/>
      <c r="Z473" s="36"/>
      <c r="AA473" s="36"/>
    </row>
    <row r="474" spans="1:27" x14ac:dyDescent="0.3">
      <c r="C474" t="s">
        <v>133</v>
      </c>
      <c r="D474" s="36">
        <v>0</v>
      </c>
      <c r="E474" s="36"/>
      <c r="F474" s="36"/>
      <c r="G474" s="36"/>
      <c r="H474" s="36"/>
      <c r="I474" s="36"/>
      <c r="J474" s="36"/>
      <c r="K474" s="36"/>
      <c r="L474" s="36"/>
      <c r="M474" s="36"/>
      <c r="N474" s="36"/>
      <c r="O474" s="36"/>
      <c r="P474" s="36"/>
      <c r="Q474" s="36"/>
      <c r="R474" s="36"/>
      <c r="S474" s="36"/>
      <c r="T474" s="36"/>
      <c r="U474" s="36"/>
      <c r="V474" s="36"/>
      <c r="W474" s="36"/>
      <c r="X474" s="36"/>
      <c r="Y474" s="36"/>
      <c r="Z474" s="36"/>
      <c r="AA474" s="36"/>
    </row>
    <row r="475" spans="1:27" x14ac:dyDescent="0.3">
      <c r="C475" t="s">
        <v>134</v>
      </c>
      <c r="D475" s="36">
        <v>1013</v>
      </c>
      <c r="E475" s="36"/>
      <c r="F475" s="36"/>
      <c r="G475" s="36"/>
      <c r="H475" s="36"/>
      <c r="I475" s="36"/>
      <c r="J475" s="36"/>
      <c r="K475" s="36"/>
      <c r="L475" s="36"/>
      <c r="M475" s="36"/>
      <c r="N475" s="36"/>
      <c r="O475" s="36"/>
      <c r="P475" s="36"/>
      <c r="Q475" s="36"/>
      <c r="R475" s="36"/>
      <c r="S475" s="36"/>
      <c r="T475" s="36"/>
      <c r="U475" s="36"/>
      <c r="V475" s="36"/>
      <c r="W475" s="36"/>
      <c r="X475" s="36"/>
      <c r="Y475" s="36"/>
      <c r="Z475" s="36"/>
      <c r="AA475" s="36"/>
    </row>
    <row r="476" spans="1:27" x14ac:dyDescent="0.3">
      <c r="C476" t="s">
        <v>135</v>
      </c>
      <c r="D476" s="36"/>
      <c r="E476" s="36"/>
      <c r="F476" s="36"/>
      <c r="G476" s="36"/>
      <c r="H476" s="36"/>
      <c r="I476" s="36"/>
      <c r="J476" s="36"/>
      <c r="K476" s="36"/>
      <c r="L476" s="36"/>
      <c r="M476" s="36"/>
      <c r="N476" s="36"/>
      <c r="O476" s="36"/>
      <c r="P476" s="36"/>
      <c r="Q476" s="36"/>
      <c r="R476" s="36"/>
      <c r="S476" s="36"/>
      <c r="T476" s="36"/>
      <c r="U476" s="36"/>
      <c r="V476" s="36"/>
      <c r="W476" s="36"/>
      <c r="X476" s="36"/>
      <c r="Y476" s="36"/>
      <c r="Z476" s="36"/>
      <c r="AA476" s="36"/>
    </row>
    <row r="477" spans="1:27" x14ac:dyDescent="0.3">
      <c r="C477" t="s">
        <v>136</v>
      </c>
      <c r="D477" s="36">
        <v>0</v>
      </c>
      <c r="E477" s="36">
        <v>0</v>
      </c>
      <c r="F477" s="36">
        <v>0</v>
      </c>
      <c r="G477" s="36">
        <v>0</v>
      </c>
      <c r="H477" s="36">
        <v>0</v>
      </c>
      <c r="I477" s="36">
        <v>8000</v>
      </c>
      <c r="J477" s="36">
        <v>0</v>
      </c>
      <c r="K477" s="36">
        <v>0</v>
      </c>
      <c r="L477" s="36">
        <v>0</v>
      </c>
      <c r="M477" s="36">
        <v>10000</v>
      </c>
      <c r="N477" s="36">
        <v>0</v>
      </c>
      <c r="O477" s="36">
        <v>0</v>
      </c>
      <c r="P477" s="36">
        <v>0</v>
      </c>
      <c r="Q477" s="36">
        <v>0</v>
      </c>
      <c r="R477" s="36">
        <v>0</v>
      </c>
      <c r="S477" s="36">
        <v>0</v>
      </c>
      <c r="T477" s="36">
        <v>0</v>
      </c>
      <c r="U477" s="36">
        <v>0</v>
      </c>
      <c r="V477" s="36">
        <v>0</v>
      </c>
      <c r="W477" s="36">
        <v>0</v>
      </c>
      <c r="X477" s="36">
        <v>0</v>
      </c>
      <c r="Y477" s="36">
        <v>0</v>
      </c>
      <c r="Z477" s="36">
        <v>0</v>
      </c>
      <c r="AA477" s="36">
        <v>0</v>
      </c>
    </row>
    <row r="478" spans="1:27" x14ac:dyDescent="0.3">
      <c r="C478" t="s">
        <v>124</v>
      </c>
      <c r="D478" s="36"/>
      <c r="E478" s="36"/>
      <c r="F478" s="36"/>
      <c r="G478" s="36"/>
      <c r="H478" s="36"/>
      <c r="I478" s="36">
        <v>8000</v>
      </c>
      <c r="J478" s="36"/>
      <c r="K478" s="36"/>
      <c r="L478" s="36"/>
      <c r="M478" s="36">
        <v>10000</v>
      </c>
      <c r="N478" s="36"/>
      <c r="O478" s="36"/>
      <c r="P478" s="36"/>
      <c r="Q478" s="36"/>
      <c r="R478" s="36"/>
      <c r="S478" s="36"/>
      <c r="T478" s="36"/>
      <c r="U478" s="36"/>
      <c r="V478" s="36"/>
      <c r="W478" s="36"/>
      <c r="X478" s="36"/>
      <c r="Y478" s="36"/>
      <c r="Z478" s="36"/>
      <c r="AA478" s="36"/>
    </row>
    <row r="479" spans="1:27" x14ac:dyDescent="0.3">
      <c r="C479" t="s">
        <v>137</v>
      </c>
      <c r="D479" s="36"/>
      <c r="E479" s="36"/>
      <c r="F479" s="36"/>
      <c r="G479" s="36"/>
      <c r="H479" s="36"/>
      <c r="I479" s="36"/>
      <c r="J479" s="36"/>
      <c r="K479" s="36"/>
      <c r="L479" s="36"/>
      <c r="M479" s="36"/>
      <c r="N479" s="36"/>
      <c r="O479" s="36"/>
      <c r="P479" s="36"/>
      <c r="Q479" s="36"/>
      <c r="R479" s="36"/>
      <c r="S479" s="36"/>
      <c r="T479" s="36"/>
      <c r="U479" s="36"/>
      <c r="V479" s="36"/>
      <c r="W479" s="36"/>
      <c r="X479" s="36"/>
      <c r="Y479" s="36"/>
      <c r="Z479" s="36"/>
      <c r="AA479" s="36"/>
    </row>
    <row r="480" spans="1:27" x14ac:dyDescent="0.3">
      <c r="C480" t="s">
        <v>138</v>
      </c>
      <c r="D480" s="36"/>
      <c r="E480" s="36"/>
      <c r="F480" s="36"/>
      <c r="G480" s="36"/>
      <c r="H480" s="36"/>
      <c r="I480" s="36"/>
      <c r="J480" s="36"/>
      <c r="K480" s="36"/>
      <c r="L480" s="36"/>
      <c r="M480" s="36"/>
      <c r="N480" s="36"/>
      <c r="O480" s="36"/>
      <c r="P480" s="36"/>
      <c r="Q480" s="36"/>
      <c r="R480" s="36"/>
      <c r="S480" s="36"/>
      <c r="T480" s="36"/>
      <c r="U480" s="36"/>
      <c r="V480" s="36"/>
      <c r="W480" s="36"/>
      <c r="X480" s="36"/>
      <c r="Y480" s="36"/>
      <c r="Z480" s="36"/>
      <c r="AA480" s="36"/>
    </row>
    <row r="481" spans="2:27" x14ac:dyDescent="0.3">
      <c r="C481" t="s">
        <v>139</v>
      </c>
      <c r="D481" s="36"/>
      <c r="E481" s="36"/>
      <c r="F481" s="36"/>
      <c r="G481" s="36"/>
      <c r="H481" s="36"/>
      <c r="I481" s="36">
        <v>8000</v>
      </c>
      <c r="J481" s="36"/>
      <c r="K481" s="36"/>
      <c r="L481" s="36"/>
      <c r="M481" s="36">
        <v>10000</v>
      </c>
      <c r="N481" s="36"/>
      <c r="O481" s="36"/>
      <c r="P481" s="36"/>
      <c r="Q481" s="36"/>
      <c r="R481" s="36"/>
      <c r="S481" s="36"/>
      <c r="T481" s="36"/>
      <c r="U481" s="36"/>
      <c r="V481" s="36"/>
      <c r="W481" s="36"/>
      <c r="X481" s="36"/>
      <c r="Y481" s="36"/>
      <c r="Z481" s="36"/>
      <c r="AA481" s="36"/>
    </row>
    <row r="482" spans="2:27" x14ac:dyDescent="0.3">
      <c r="C482" t="s">
        <v>140</v>
      </c>
      <c r="D482" s="36">
        <v>5773</v>
      </c>
      <c r="E482" s="36">
        <v>4590</v>
      </c>
      <c r="F482" s="36">
        <v>3558</v>
      </c>
      <c r="G482" s="36">
        <v>2526</v>
      </c>
      <c r="H482" s="36">
        <v>1248</v>
      </c>
      <c r="I482" s="36">
        <v>7927</v>
      </c>
      <c r="J482" s="36">
        <v>6611</v>
      </c>
      <c r="K482" s="36">
        <v>5297</v>
      </c>
      <c r="L482" s="36">
        <v>3934</v>
      </c>
      <c r="M482" s="36">
        <v>12539</v>
      </c>
      <c r="N482" s="36">
        <v>11149</v>
      </c>
      <c r="O482" s="36">
        <v>9760</v>
      </c>
      <c r="P482" s="36">
        <v>8364</v>
      </c>
      <c r="Q482" s="36">
        <v>6930</v>
      </c>
      <c r="R482" s="36">
        <v>5499</v>
      </c>
      <c r="S482" s="36">
        <v>4069</v>
      </c>
      <c r="T482" s="36">
        <v>2641</v>
      </c>
      <c r="U482" s="36">
        <v>1169</v>
      </c>
      <c r="V482" s="36">
        <v>-332</v>
      </c>
      <c r="W482" s="36">
        <v>-1833</v>
      </c>
      <c r="X482" s="36">
        <v>-3331</v>
      </c>
      <c r="Y482" s="36">
        <v>-4641</v>
      </c>
      <c r="Z482" s="36">
        <v>-5887</v>
      </c>
      <c r="AA482" s="36">
        <v>-7127</v>
      </c>
    </row>
    <row r="483" spans="2:27" x14ac:dyDescent="0.3">
      <c r="C483" t="s">
        <v>141</v>
      </c>
      <c r="D483" s="36">
        <v>0</v>
      </c>
      <c r="E483" s="36">
        <v>0</v>
      </c>
      <c r="F483" s="36">
        <v>0</v>
      </c>
      <c r="G483" s="36">
        <v>0</v>
      </c>
      <c r="H483" s="36">
        <v>0</v>
      </c>
      <c r="I483" s="36">
        <v>0</v>
      </c>
      <c r="J483" s="36">
        <v>0</v>
      </c>
      <c r="K483" s="36">
        <v>0</v>
      </c>
      <c r="L483" s="36">
        <v>0</v>
      </c>
      <c r="M483" s="36">
        <v>0</v>
      </c>
      <c r="N483" s="36">
        <v>0</v>
      </c>
      <c r="O483" s="36">
        <v>0</v>
      </c>
      <c r="P483" s="36">
        <v>0</v>
      </c>
      <c r="Q483" s="36">
        <v>0</v>
      </c>
      <c r="R483" s="36">
        <v>0</v>
      </c>
      <c r="S483" s="36">
        <v>0</v>
      </c>
      <c r="T483" s="36">
        <v>0</v>
      </c>
      <c r="U483" s="36">
        <v>0</v>
      </c>
      <c r="V483" s="36">
        <v>0</v>
      </c>
      <c r="W483" s="36">
        <v>0</v>
      </c>
      <c r="X483" s="36">
        <v>0</v>
      </c>
      <c r="Y483" s="36">
        <v>0</v>
      </c>
      <c r="Z483" s="36">
        <v>0</v>
      </c>
      <c r="AA483" s="36">
        <v>0</v>
      </c>
    </row>
    <row r="484" spans="2:27" x14ac:dyDescent="0.3">
      <c r="B484" t="s">
        <v>221</v>
      </c>
      <c r="C484" t="s">
        <v>129</v>
      </c>
      <c r="D484" s="36">
        <v>975</v>
      </c>
      <c r="E484" s="36"/>
      <c r="F484" s="36"/>
      <c r="G484" s="36"/>
      <c r="H484" s="36"/>
      <c r="I484" s="36"/>
      <c r="J484" s="36"/>
      <c r="K484" s="36"/>
      <c r="L484" s="36"/>
      <c r="M484" s="36"/>
      <c r="N484" s="36"/>
      <c r="O484" s="36"/>
      <c r="P484" s="36"/>
      <c r="Q484" s="36"/>
      <c r="R484" s="36"/>
      <c r="S484" s="36"/>
      <c r="T484" s="36"/>
      <c r="U484" s="36"/>
      <c r="V484" s="36"/>
      <c r="W484" s="36"/>
      <c r="X484" s="36"/>
      <c r="Y484" s="36"/>
      <c r="Z484" s="36"/>
      <c r="AA484" s="36"/>
    </row>
    <row r="485" spans="2:27" x14ac:dyDescent="0.3">
      <c r="C485" t="s">
        <v>131</v>
      </c>
      <c r="D485" s="36">
        <v>375</v>
      </c>
      <c r="E485" s="36">
        <v>0</v>
      </c>
      <c r="F485" s="36">
        <v>0</v>
      </c>
      <c r="G485" s="36">
        <v>0</v>
      </c>
      <c r="H485" s="36">
        <v>0</v>
      </c>
      <c r="I485" s="36">
        <v>0</v>
      </c>
      <c r="J485" s="36">
        <v>0</v>
      </c>
      <c r="K485" s="36">
        <v>0</v>
      </c>
      <c r="L485" s="36">
        <v>0</v>
      </c>
      <c r="M485" s="36">
        <v>0</v>
      </c>
      <c r="N485" s="36">
        <v>0</v>
      </c>
      <c r="O485" s="36">
        <v>0</v>
      </c>
      <c r="P485" s="36">
        <v>0</v>
      </c>
      <c r="Q485" s="36">
        <v>0</v>
      </c>
      <c r="R485" s="36">
        <v>0</v>
      </c>
      <c r="S485" s="36">
        <v>0</v>
      </c>
      <c r="T485" s="36">
        <v>0</v>
      </c>
      <c r="U485" s="36">
        <v>0</v>
      </c>
      <c r="V485" s="36">
        <v>0</v>
      </c>
      <c r="W485" s="36">
        <v>0</v>
      </c>
      <c r="X485" s="36">
        <v>0</v>
      </c>
      <c r="Y485" s="36">
        <v>0</v>
      </c>
      <c r="Z485" s="36">
        <v>0</v>
      </c>
      <c r="AA485" s="36">
        <v>0</v>
      </c>
    </row>
    <row r="486" spans="2:27" x14ac:dyDescent="0.3">
      <c r="C486" t="s">
        <v>132</v>
      </c>
      <c r="D486" s="36">
        <v>0</v>
      </c>
      <c r="E486" s="36"/>
      <c r="F486" s="36"/>
      <c r="G486" s="36"/>
      <c r="H486" s="36"/>
      <c r="I486" s="36"/>
      <c r="J486" s="36"/>
      <c r="K486" s="36"/>
      <c r="L486" s="36"/>
      <c r="M486" s="36"/>
      <c r="N486" s="36"/>
      <c r="O486" s="36"/>
      <c r="P486" s="36"/>
      <c r="Q486" s="36"/>
      <c r="R486" s="36"/>
      <c r="S486" s="36"/>
      <c r="T486" s="36"/>
      <c r="U486" s="36"/>
      <c r="V486" s="36"/>
      <c r="W486" s="36"/>
      <c r="X486" s="36"/>
      <c r="Y486" s="36"/>
      <c r="Z486" s="36"/>
      <c r="AA486" s="36"/>
    </row>
    <row r="487" spans="2:27" x14ac:dyDescent="0.3">
      <c r="C487" t="s">
        <v>133</v>
      </c>
      <c r="D487" s="36">
        <v>0</v>
      </c>
      <c r="E487" s="36"/>
      <c r="F487" s="36"/>
      <c r="G487" s="36"/>
      <c r="H487" s="36"/>
      <c r="I487" s="36"/>
      <c r="J487" s="36"/>
      <c r="K487" s="36"/>
      <c r="L487" s="36"/>
      <c r="M487" s="36"/>
      <c r="N487" s="36"/>
      <c r="O487" s="36"/>
      <c r="P487" s="36"/>
      <c r="Q487" s="36"/>
      <c r="R487" s="36"/>
      <c r="S487" s="36"/>
      <c r="T487" s="36"/>
      <c r="U487" s="36"/>
      <c r="V487" s="36"/>
      <c r="W487" s="36"/>
      <c r="X487" s="36"/>
      <c r="Y487" s="36"/>
      <c r="Z487" s="36"/>
      <c r="AA487" s="36"/>
    </row>
    <row r="488" spans="2:27" x14ac:dyDescent="0.3">
      <c r="C488" t="s">
        <v>134</v>
      </c>
      <c r="D488" s="36">
        <v>862</v>
      </c>
      <c r="E488" s="36"/>
      <c r="F488" s="36"/>
      <c r="G488" s="36"/>
      <c r="H488" s="36"/>
      <c r="I488" s="36"/>
      <c r="J488" s="36"/>
      <c r="K488" s="36"/>
      <c r="L488" s="36"/>
      <c r="M488" s="36"/>
      <c r="N488" s="36"/>
      <c r="O488" s="36"/>
      <c r="P488" s="36"/>
      <c r="Q488" s="36"/>
      <c r="R488" s="36"/>
      <c r="S488" s="36"/>
      <c r="T488" s="36"/>
      <c r="U488" s="36"/>
      <c r="V488" s="36"/>
      <c r="W488" s="36"/>
      <c r="X488" s="36"/>
      <c r="Y488" s="36"/>
      <c r="Z488" s="36"/>
      <c r="AA488" s="36"/>
    </row>
    <row r="489" spans="2:27" x14ac:dyDescent="0.3">
      <c r="C489" t="s">
        <v>135</v>
      </c>
      <c r="D489" s="36"/>
      <c r="E489" s="36"/>
      <c r="F489" s="36"/>
      <c r="G489" s="36"/>
      <c r="H489" s="36"/>
      <c r="I489" s="36"/>
      <c r="J489" s="36"/>
      <c r="K489" s="36"/>
      <c r="L489" s="36"/>
      <c r="M489" s="36"/>
      <c r="N489" s="36"/>
      <c r="O489" s="36"/>
      <c r="P489" s="36"/>
      <c r="Q489" s="36"/>
      <c r="R489" s="36"/>
      <c r="S489" s="36"/>
      <c r="T489" s="36"/>
      <c r="U489" s="36"/>
      <c r="V489" s="36"/>
      <c r="W489" s="36"/>
      <c r="X489" s="36"/>
      <c r="Y489" s="36"/>
      <c r="Z489" s="36"/>
      <c r="AA489" s="36"/>
    </row>
    <row r="490" spans="2:27" x14ac:dyDescent="0.3">
      <c r="C490" t="s">
        <v>136</v>
      </c>
      <c r="D490" s="36">
        <v>0</v>
      </c>
      <c r="E490" s="36">
        <v>0</v>
      </c>
      <c r="F490" s="36">
        <v>0</v>
      </c>
      <c r="G490" s="36">
        <v>0</v>
      </c>
      <c r="H490" s="36">
        <v>0</v>
      </c>
      <c r="I490" s="36">
        <v>0</v>
      </c>
      <c r="J490" s="36">
        <v>0</v>
      </c>
      <c r="K490" s="36">
        <v>0</v>
      </c>
      <c r="L490" s="36">
        <v>0</v>
      </c>
      <c r="M490" s="36">
        <v>0</v>
      </c>
      <c r="N490" s="36">
        <v>0</v>
      </c>
      <c r="O490" s="36">
        <v>0</v>
      </c>
      <c r="P490" s="36">
        <v>0</v>
      </c>
      <c r="Q490" s="36">
        <v>0</v>
      </c>
      <c r="R490" s="36">
        <v>0</v>
      </c>
      <c r="S490" s="36">
        <v>0</v>
      </c>
      <c r="T490" s="36">
        <v>0</v>
      </c>
      <c r="U490" s="36">
        <v>0</v>
      </c>
      <c r="V490" s="36">
        <v>0</v>
      </c>
      <c r="W490" s="36">
        <v>0</v>
      </c>
      <c r="X490" s="36">
        <v>0</v>
      </c>
      <c r="Y490" s="36">
        <v>0</v>
      </c>
      <c r="Z490" s="36">
        <v>0</v>
      </c>
      <c r="AA490" s="36">
        <v>0</v>
      </c>
    </row>
    <row r="491" spans="2:27" x14ac:dyDescent="0.3">
      <c r="C491" t="s">
        <v>124</v>
      </c>
      <c r="D491" s="36"/>
      <c r="E491" s="36"/>
      <c r="F491" s="36"/>
      <c r="G491" s="36"/>
      <c r="H491" s="36"/>
      <c r="I491" s="36"/>
      <c r="J491" s="36"/>
      <c r="K491" s="36"/>
      <c r="L491" s="36"/>
      <c r="M491" s="36"/>
      <c r="N491" s="36"/>
      <c r="O491" s="36"/>
      <c r="P491" s="36"/>
      <c r="Q491" s="36"/>
      <c r="R491" s="36"/>
      <c r="S491" s="36"/>
      <c r="T491" s="36"/>
      <c r="U491" s="36"/>
      <c r="V491" s="36"/>
      <c r="W491" s="36"/>
      <c r="X491" s="36"/>
      <c r="Y491" s="36"/>
      <c r="Z491" s="36"/>
      <c r="AA491" s="36"/>
    </row>
    <row r="492" spans="2:27" x14ac:dyDescent="0.3">
      <c r="C492" t="s">
        <v>137</v>
      </c>
      <c r="D492" s="36"/>
      <c r="E492" s="36"/>
      <c r="F492" s="36"/>
      <c r="G492" s="36"/>
      <c r="H492" s="36"/>
      <c r="I492" s="36"/>
      <c r="J492" s="36"/>
      <c r="K492" s="36"/>
      <c r="L492" s="36"/>
      <c r="M492" s="36"/>
      <c r="N492" s="36"/>
      <c r="O492" s="36"/>
      <c r="P492" s="36"/>
      <c r="Q492" s="36"/>
      <c r="R492" s="36"/>
      <c r="S492" s="36"/>
      <c r="T492" s="36"/>
      <c r="U492" s="36"/>
      <c r="V492" s="36"/>
      <c r="W492" s="36"/>
      <c r="X492" s="36"/>
      <c r="Y492" s="36"/>
      <c r="Z492" s="36"/>
      <c r="AA492" s="36"/>
    </row>
    <row r="493" spans="2:27" x14ac:dyDescent="0.3">
      <c r="C493" t="s">
        <v>138</v>
      </c>
      <c r="D493" s="36"/>
      <c r="E493" s="36"/>
      <c r="F493" s="36"/>
      <c r="G493" s="36"/>
      <c r="H493" s="36"/>
      <c r="I493" s="36"/>
      <c r="J493" s="36"/>
      <c r="K493" s="36"/>
      <c r="L493" s="36"/>
      <c r="M493" s="36"/>
      <c r="N493" s="36"/>
      <c r="O493" s="36"/>
      <c r="P493" s="36"/>
      <c r="Q493" s="36"/>
      <c r="R493" s="36"/>
      <c r="S493" s="36"/>
      <c r="T493" s="36"/>
      <c r="U493" s="36"/>
      <c r="V493" s="36"/>
      <c r="W493" s="36"/>
      <c r="X493" s="36"/>
      <c r="Y493" s="36"/>
      <c r="Z493" s="36"/>
      <c r="AA493" s="36"/>
    </row>
    <row r="494" spans="2:27" x14ac:dyDescent="0.3">
      <c r="C494" t="s">
        <v>139</v>
      </c>
      <c r="D494" s="36"/>
      <c r="E494" s="36"/>
      <c r="F494" s="36"/>
      <c r="G494" s="36"/>
      <c r="H494" s="36"/>
      <c r="I494" s="36"/>
      <c r="J494" s="36"/>
      <c r="K494" s="36"/>
      <c r="L494" s="36"/>
      <c r="M494" s="36"/>
      <c r="N494" s="36"/>
      <c r="O494" s="36"/>
      <c r="P494" s="36"/>
      <c r="Q494" s="36"/>
      <c r="R494" s="36"/>
      <c r="S494" s="36"/>
      <c r="T494" s="36"/>
      <c r="U494" s="36"/>
      <c r="V494" s="36"/>
      <c r="W494" s="36"/>
      <c r="X494" s="36"/>
      <c r="Y494" s="36"/>
      <c r="Z494" s="36"/>
      <c r="AA494" s="36"/>
    </row>
    <row r="495" spans="2:27" x14ac:dyDescent="0.3">
      <c r="C495" t="s">
        <v>140</v>
      </c>
      <c r="D495" s="36">
        <v>-488</v>
      </c>
      <c r="E495" s="36">
        <v>-488</v>
      </c>
      <c r="F495" s="36">
        <v>-488</v>
      </c>
      <c r="G495" s="36">
        <v>-488</v>
      </c>
      <c r="H495" s="36">
        <v>-488</v>
      </c>
      <c r="I495" s="36">
        <v>-488</v>
      </c>
      <c r="J495" s="36">
        <v>-488</v>
      </c>
      <c r="K495" s="36">
        <v>-488</v>
      </c>
      <c r="L495" s="36">
        <v>-488</v>
      </c>
      <c r="M495" s="36">
        <v>-488</v>
      </c>
      <c r="N495" s="36">
        <v>-488</v>
      </c>
      <c r="O495" s="36">
        <v>-488</v>
      </c>
      <c r="P495" s="36">
        <v>-488</v>
      </c>
      <c r="Q495" s="36">
        <v>-488</v>
      </c>
      <c r="R495" s="36">
        <v>-488</v>
      </c>
      <c r="S495" s="36">
        <v>-488</v>
      </c>
      <c r="T495" s="36">
        <v>-488</v>
      </c>
      <c r="U495" s="36">
        <v>-488</v>
      </c>
      <c r="V495" s="36">
        <v>-488</v>
      </c>
      <c r="W495" s="36">
        <v>-488</v>
      </c>
      <c r="X495" s="36">
        <v>-488</v>
      </c>
      <c r="Y495" s="36">
        <v>-488</v>
      </c>
      <c r="Z495" s="36">
        <v>-488</v>
      </c>
      <c r="AA495" s="36">
        <v>-488</v>
      </c>
    </row>
    <row r="496" spans="2:27" x14ac:dyDescent="0.3">
      <c r="C496" t="s">
        <v>141</v>
      </c>
      <c r="D496" s="36">
        <v>0</v>
      </c>
      <c r="E496" s="36">
        <v>0</v>
      </c>
      <c r="F496" s="36">
        <v>0</v>
      </c>
      <c r="G496" s="36">
        <v>0</v>
      </c>
      <c r="H496" s="36">
        <v>0</v>
      </c>
      <c r="I496" s="36">
        <v>0</v>
      </c>
      <c r="J496" s="36">
        <v>0</v>
      </c>
      <c r="K496" s="36">
        <v>0</v>
      </c>
      <c r="L496" s="36">
        <v>0</v>
      </c>
      <c r="M496" s="36">
        <v>0</v>
      </c>
      <c r="N496" s="36">
        <v>0</v>
      </c>
      <c r="O496" s="36">
        <v>0</v>
      </c>
      <c r="P496" s="36">
        <v>0</v>
      </c>
      <c r="Q496" s="36">
        <v>0</v>
      </c>
      <c r="R496" s="36">
        <v>0</v>
      </c>
      <c r="S496" s="36">
        <v>0</v>
      </c>
      <c r="T496" s="36">
        <v>0</v>
      </c>
      <c r="U496" s="36">
        <v>0</v>
      </c>
      <c r="V496" s="36">
        <v>0</v>
      </c>
      <c r="W496" s="36">
        <v>0</v>
      </c>
      <c r="X496" s="36">
        <v>0</v>
      </c>
      <c r="Y496" s="36">
        <v>0</v>
      </c>
      <c r="Z496" s="36">
        <v>0</v>
      </c>
      <c r="AA496" s="36">
        <v>0</v>
      </c>
    </row>
    <row r="497" spans="1:27" x14ac:dyDescent="0.3">
      <c r="A497" t="s">
        <v>203</v>
      </c>
      <c r="B497" t="s">
        <v>195</v>
      </c>
      <c r="C497" t="s">
        <v>129</v>
      </c>
      <c r="D497" s="36">
        <v>3090</v>
      </c>
      <c r="E497" s="36"/>
      <c r="F497" s="36"/>
      <c r="G497" s="36"/>
      <c r="H497" s="36"/>
      <c r="I497" s="36"/>
      <c r="J497" s="36"/>
      <c r="K497" s="36"/>
      <c r="L497" s="36"/>
      <c r="M497" s="36"/>
      <c r="N497" s="36"/>
      <c r="O497" s="36"/>
      <c r="P497" s="36"/>
      <c r="Q497" s="36"/>
      <c r="R497" s="36"/>
      <c r="S497" s="36"/>
      <c r="T497" s="36"/>
      <c r="U497" s="36"/>
      <c r="V497" s="36"/>
      <c r="W497" s="36"/>
      <c r="X497" s="36"/>
      <c r="Y497" s="36"/>
      <c r="Z497" s="36"/>
      <c r="AA497" s="36"/>
    </row>
    <row r="498" spans="1:27" x14ac:dyDescent="0.3">
      <c r="C498" t="s">
        <v>131</v>
      </c>
      <c r="D498" s="36">
        <v>2751</v>
      </c>
      <c r="E498" s="36">
        <v>1671</v>
      </c>
      <c r="F498" s="36">
        <v>1398</v>
      </c>
      <c r="G498" s="36">
        <v>782</v>
      </c>
      <c r="H498" s="36">
        <v>1166</v>
      </c>
      <c r="I498" s="36">
        <v>1504</v>
      </c>
      <c r="J498" s="36">
        <v>1161</v>
      </c>
      <c r="K498" s="36">
        <v>1231</v>
      </c>
      <c r="L498" s="36">
        <v>1892</v>
      </c>
      <c r="M498" s="36">
        <v>1912</v>
      </c>
      <c r="N498" s="36">
        <v>1261</v>
      </c>
      <c r="O498" s="36">
        <v>1260</v>
      </c>
      <c r="P498" s="36">
        <v>1138</v>
      </c>
      <c r="Q498" s="36">
        <v>703</v>
      </c>
      <c r="R498" s="36">
        <v>652</v>
      </c>
      <c r="S498" s="36">
        <v>651</v>
      </c>
      <c r="T498" s="36">
        <v>650</v>
      </c>
      <c r="U498" s="36">
        <v>775</v>
      </c>
      <c r="V498" s="36">
        <v>828</v>
      </c>
      <c r="W498" s="36">
        <v>827</v>
      </c>
      <c r="X498" s="36">
        <v>826</v>
      </c>
      <c r="Y498" s="36">
        <v>685</v>
      </c>
      <c r="Z498" s="36">
        <v>632</v>
      </c>
      <c r="AA498" s="36">
        <v>632</v>
      </c>
    </row>
    <row r="499" spans="1:27" x14ac:dyDescent="0.3">
      <c r="C499" t="s">
        <v>132</v>
      </c>
      <c r="D499" s="36">
        <v>0</v>
      </c>
      <c r="E499" s="36"/>
      <c r="F499" s="36"/>
      <c r="G499" s="36"/>
      <c r="H499" s="36"/>
      <c r="I499" s="36"/>
      <c r="J499" s="36"/>
      <c r="K499" s="36"/>
      <c r="L499" s="36"/>
      <c r="M499" s="36"/>
      <c r="N499" s="36"/>
      <c r="O499" s="36"/>
      <c r="P499" s="36"/>
      <c r="Q499" s="36"/>
      <c r="R499" s="36"/>
      <c r="S499" s="36"/>
      <c r="T499" s="36"/>
      <c r="U499" s="36"/>
      <c r="V499" s="36"/>
      <c r="W499" s="36"/>
      <c r="X499" s="36"/>
      <c r="Y499" s="36"/>
      <c r="Z499" s="36"/>
      <c r="AA499" s="36"/>
    </row>
    <row r="500" spans="1:27" x14ac:dyDescent="0.3">
      <c r="C500" t="s">
        <v>133</v>
      </c>
      <c r="D500" s="36">
        <v>0</v>
      </c>
      <c r="E500" s="36"/>
      <c r="F500" s="36"/>
      <c r="G500" s="36"/>
      <c r="H500" s="36"/>
      <c r="I500" s="36"/>
      <c r="J500" s="36"/>
      <c r="K500" s="36"/>
      <c r="L500" s="36"/>
      <c r="M500" s="36"/>
      <c r="N500" s="36"/>
      <c r="O500" s="36"/>
      <c r="P500" s="36"/>
      <c r="Q500" s="36"/>
      <c r="R500" s="36"/>
      <c r="S500" s="36"/>
      <c r="T500" s="36"/>
      <c r="U500" s="36"/>
      <c r="V500" s="36"/>
      <c r="W500" s="36"/>
      <c r="X500" s="36"/>
      <c r="Y500" s="36"/>
      <c r="Z500" s="36"/>
      <c r="AA500" s="36"/>
    </row>
    <row r="501" spans="1:27" x14ac:dyDescent="0.3">
      <c r="C501" t="s">
        <v>134</v>
      </c>
      <c r="D501" s="36">
        <v>0</v>
      </c>
      <c r="E501" s="36"/>
      <c r="F501" s="36"/>
      <c r="G501" s="36"/>
      <c r="H501" s="36"/>
      <c r="I501" s="36"/>
      <c r="J501" s="36"/>
      <c r="K501" s="36"/>
      <c r="L501" s="36"/>
      <c r="M501" s="36"/>
      <c r="N501" s="36"/>
      <c r="O501" s="36"/>
      <c r="P501" s="36"/>
      <c r="Q501" s="36"/>
      <c r="R501" s="36"/>
      <c r="S501" s="36"/>
      <c r="T501" s="36"/>
      <c r="U501" s="36"/>
      <c r="V501" s="36"/>
      <c r="W501" s="36"/>
      <c r="X501" s="36"/>
      <c r="Y501" s="36"/>
      <c r="Z501" s="36"/>
      <c r="AA501" s="36"/>
    </row>
    <row r="502" spans="1:27" x14ac:dyDescent="0.3">
      <c r="C502" t="s">
        <v>135</v>
      </c>
      <c r="D502" s="36"/>
      <c r="E502" s="36"/>
      <c r="F502" s="36"/>
      <c r="G502" s="36"/>
      <c r="H502" s="36"/>
      <c r="I502" s="36"/>
      <c r="J502" s="36"/>
      <c r="K502" s="36"/>
      <c r="L502" s="36"/>
      <c r="M502" s="36"/>
      <c r="N502" s="36"/>
      <c r="O502" s="36"/>
      <c r="P502" s="36"/>
      <c r="Q502" s="36"/>
      <c r="R502" s="36"/>
      <c r="S502" s="36"/>
      <c r="T502" s="36"/>
      <c r="U502" s="36"/>
      <c r="V502" s="36"/>
      <c r="W502" s="36"/>
      <c r="X502" s="36"/>
      <c r="Y502" s="36"/>
      <c r="Z502" s="36"/>
      <c r="AA502" s="36"/>
    </row>
    <row r="503" spans="1:27" x14ac:dyDescent="0.3">
      <c r="C503" t="s">
        <v>136</v>
      </c>
      <c r="D503" s="36">
        <v>0</v>
      </c>
      <c r="E503" s="36">
        <v>0</v>
      </c>
      <c r="F503" s="36">
        <v>0</v>
      </c>
      <c r="G503" s="36">
        <v>0</v>
      </c>
      <c r="H503" s="36">
        <v>0</v>
      </c>
      <c r="I503" s="36">
        <v>0</v>
      </c>
      <c r="J503" s="36">
        <v>0</v>
      </c>
      <c r="K503" s="36">
        <v>0</v>
      </c>
      <c r="L503" s="36">
        <v>0</v>
      </c>
      <c r="M503" s="36">
        <v>0</v>
      </c>
      <c r="N503" s="36">
        <v>0</v>
      </c>
      <c r="O503" s="36">
        <v>0</v>
      </c>
      <c r="P503" s="36">
        <v>0</v>
      </c>
      <c r="Q503" s="36">
        <v>0</v>
      </c>
      <c r="R503" s="36">
        <v>0</v>
      </c>
      <c r="S503" s="36">
        <v>0</v>
      </c>
      <c r="T503" s="36">
        <v>0</v>
      </c>
      <c r="U503" s="36">
        <v>0</v>
      </c>
      <c r="V503" s="36">
        <v>0</v>
      </c>
      <c r="W503" s="36">
        <v>0</v>
      </c>
      <c r="X503" s="36">
        <v>0</v>
      </c>
      <c r="Y503" s="36">
        <v>0</v>
      </c>
      <c r="Z503" s="36">
        <v>0</v>
      </c>
      <c r="AA503" s="36">
        <v>0</v>
      </c>
    </row>
    <row r="504" spans="1:27" x14ac:dyDescent="0.3">
      <c r="C504" t="s">
        <v>124</v>
      </c>
      <c r="D504" s="36"/>
      <c r="E504" s="36"/>
      <c r="F504" s="36"/>
      <c r="G504" s="36"/>
      <c r="H504" s="36"/>
      <c r="I504" s="36"/>
      <c r="J504" s="36"/>
      <c r="K504" s="36"/>
      <c r="L504" s="36"/>
      <c r="M504" s="36"/>
      <c r="N504" s="36"/>
      <c r="O504" s="36"/>
      <c r="P504" s="36"/>
      <c r="Q504" s="36"/>
      <c r="R504" s="36"/>
      <c r="S504" s="36"/>
      <c r="T504" s="36"/>
      <c r="U504" s="36"/>
      <c r="V504" s="36"/>
      <c r="W504" s="36"/>
      <c r="X504" s="36"/>
      <c r="Y504" s="36"/>
      <c r="Z504" s="36"/>
      <c r="AA504" s="36"/>
    </row>
    <row r="505" spans="1:27" x14ac:dyDescent="0.3">
      <c r="C505" t="s">
        <v>137</v>
      </c>
      <c r="D505" s="36"/>
      <c r="E505" s="36"/>
      <c r="F505" s="36"/>
      <c r="G505" s="36"/>
      <c r="H505" s="36"/>
      <c r="I505" s="36"/>
      <c r="J505" s="36"/>
      <c r="K505" s="36"/>
      <c r="L505" s="36"/>
      <c r="M505" s="36"/>
      <c r="N505" s="36"/>
      <c r="O505" s="36"/>
      <c r="P505" s="36"/>
      <c r="Q505" s="36"/>
      <c r="R505" s="36"/>
      <c r="S505" s="36"/>
      <c r="T505" s="36"/>
      <c r="U505" s="36"/>
      <c r="V505" s="36"/>
      <c r="W505" s="36"/>
      <c r="X505" s="36"/>
      <c r="Y505" s="36"/>
      <c r="Z505" s="36"/>
      <c r="AA505" s="36"/>
    </row>
    <row r="506" spans="1:27" x14ac:dyDescent="0.3">
      <c r="C506" t="s">
        <v>138</v>
      </c>
      <c r="D506" s="36"/>
      <c r="E506" s="36"/>
      <c r="F506" s="36"/>
      <c r="G506" s="36"/>
      <c r="H506" s="36"/>
      <c r="I506" s="36"/>
      <c r="J506" s="36"/>
      <c r="K506" s="36"/>
      <c r="L506" s="36"/>
      <c r="M506" s="36"/>
      <c r="N506" s="36"/>
      <c r="O506" s="36"/>
      <c r="P506" s="36"/>
      <c r="Q506" s="36"/>
      <c r="R506" s="36"/>
      <c r="S506" s="36"/>
      <c r="T506" s="36"/>
      <c r="U506" s="36"/>
      <c r="V506" s="36"/>
      <c r="W506" s="36"/>
      <c r="X506" s="36"/>
      <c r="Y506" s="36"/>
      <c r="Z506" s="36"/>
      <c r="AA506" s="36"/>
    </row>
    <row r="507" spans="1:27" x14ac:dyDescent="0.3">
      <c r="C507" t="s">
        <v>139</v>
      </c>
      <c r="D507" s="36"/>
      <c r="E507" s="36"/>
      <c r="F507" s="36"/>
      <c r="G507" s="36"/>
      <c r="H507" s="36"/>
      <c r="I507" s="36"/>
      <c r="J507" s="36"/>
      <c r="K507" s="36"/>
      <c r="L507" s="36"/>
      <c r="M507" s="36"/>
      <c r="N507" s="36"/>
      <c r="O507" s="36"/>
      <c r="P507" s="36"/>
      <c r="Q507" s="36"/>
      <c r="R507" s="36"/>
      <c r="S507" s="36"/>
      <c r="T507" s="36"/>
      <c r="U507" s="36"/>
      <c r="V507" s="36"/>
      <c r="W507" s="36"/>
      <c r="X507" s="36"/>
      <c r="Y507" s="36"/>
      <c r="Z507" s="36"/>
      <c r="AA507" s="36"/>
    </row>
    <row r="508" spans="1:27" x14ac:dyDescent="0.3">
      <c r="C508" t="s">
        <v>140</v>
      </c>
      <c r="D508" s="36">
        <v>-5841</v>
      </c>
      <c r="E508" s="36">
        <v>-7512</v>
      </c>
      <c r="F508" s="36">
        <v>-8910</v>
      </c>
      <c r="G508" s="36">
        <v>-9692</v>
      </c>
      <c r="H508" s="36">
        <v>-10858</v>
      </c>
      <c r="I508" s="36">
        <v>-12362</v>
      </c>
      <c r="J508" s="36">
        <v>-13523</v>
      </c>
      <c r="K508" s="36">
        <v>-14754</v>
      </c>
      <c r="L508" s="36">
        <v>-16646</v>
      </c>
      <c r="M508" s="36">
        <v>-18558</v>
      </c>
      <c r="N508" s="36">
        <v>-19819</v>
      </c>
      <c r="O508" s="36">
        <v>-21079</v>
      </c>
      <c r="P508" s="36">
        <v>-22217</v>
      </c>
      <c r="Q508" s="36">
        <v>-22920</v>
      </c>
      <c r="R508" s="36">
        <v>-23572</v>
      </c>
      <c r="S508" s="36">
        <v>-24223</v>
      </c>
      <c r="T508" s="36">
        <v>-24873</v>
      </c>
      <c r="U508" s="36">
        <v>-25648</v>
      </c>
      <c r="V508" s="36">
        <v>-26476</v>
      </c>
      <c r="W508" s="36">
        <v>-27303</v>
      </c>
      <c r="X508" s="36">
        <v>-28129</v>
      </c>
      <c r="Y508" s="36">
        <v>-28814</v>
      </c>
      <c r="Z508" s="36">
        <v>-29446</v>
      </c>
      <c r="AA508" s="36">
        <v>-30078</v>
      </c>
    </row>
    <row r="509" spans="1:27" x14ac:dyDescent="0.3">
      <c r="C509" t="s">
        <v>141</v>
      </c>
      <c r="D509" s="36">
        <v>0</v>
      </c>
      <c r="E509" s="36">
        <v>0</v>
      </c>
      <c r="F509" s="36">
        <v>0</v>
      </c>
      <c r="G509" s="36">
        <v>0</v>
      </c>
      <c r="H509" s="36">
        <v>0</v>
      </c>
      <c r="I509" s="36">
        <v>0</v>
      </c>
      <c r="J509" s="36">
        <v>0</v>
      </c>
      <c r="K509" s="36">
        <v>0</v>
      </c>
      <c r="L509" s="36">
        <v>0</v>
      </c>
      <c r="M509" s="36">
        <v>0</v>
      </c>
      <c r="N509" s="36">
        <v>0</v>
      </c>
      <c r="O509" s="36">
        <v>0</v>
      </c>
      <c r="P509" s="36">
        <v>0</v>
      </c>
      <c r="Q509" s="36">
        <v>0</v>
      </c>
      <c r="R509" s="36">
        <v>0</v>
      </c>
      <c r="S509" s="36">
        <v>0</v>
      </c>
      <c r="T509" s="36">
        <v>0</v>
      </c>
      <c r="U509" s="36">
        <v>0</v>
      </c>
      <c r="V509" s="36">
        <v>0</v>
      </c>
      <c r="W509" s="36">
        <v>0</v>
      </c>
      <c r="X509" s="36">
        <v>0</v>
      </c>
      <c r="Y509" s="36">
        <v>0</v>
      </c>
      <c r="Z509" s="36">
        <v>0</v>
      </c>
      <c r="AA509" s="36">
        <v>0</v>
      </c>
    </row>
    <row r="510" spans="1:27" x14ac:dyDescent="0.3">
      <c r="B510" t="s">
        <v>177</v>
      </c>
      <c r="C510" t="s">
        <v>129</v>
      </c>
      <c r="D510" s="36">
        <v>327614</v>
      </c>
      <c r="E510" s="36"/>
      <c r="F510" s="36"/>
      <c r="G510" s="36"/>
      <c r="H510" s="36"/>
      <c r="I510" s="36"/>
      <c r="J510" s="36"/>
      <c r="K510" s="36"/>
      <c r="L510" s="36"/>
      <c r="M510" s="36"/>
      <c r="N510" s="36"/>
      <c r="O510" s="36"/>
      <c r="P510" s="36"/>
      <c r="Q510" s="36"/>
      <c r="R510" s="36"/>
      <c r="S510" s="36"/>
      <c r="T510" s="36"/>
      <c r="U510" s="36"/>
      <c r="V510" s="36"/>
      <c r="W510" s="36"/>
      <c r="X510" s="36"/>
      <c r="Y510" s="36"/>
      <c r="Z510" s="36"/>
      <c r="AA510" s="36"/>
    </row>
    <row r="511" spans="1:27" x14ac:dyDescent="0.3">
      <c r="C511" t="s">
        <v>131</v>
      </c>
      <c r="D511" s="36">
        <v>139267</v>
      </c>
      <c r="E511" s="36">
        <v>112972</v>
      </c>
      <c r="F511" s="36">
        <v>106279</v>
      </c>
      <c r="G511" s="36">
        <v>73653</v>
      </c>
      <c r="H511" s="36">
        <v>91772</v>
      </c>
      <c r="I511" s="36">
        <v>108542</v>
      </c>
      <c r="J511" s="36">
        <v>89953</v>
      </c>
      <c r="K511" s="36">
        <v>82871</v>
      </c>
      <c r="L511" s="36">
        <v>94232</v>
      </c>
      <c r="M511" s="36">
        <v>112657</v>
      </c>
      <c r="N511" s="36">
        <v>82787</v>
      </c>
      <c r="O511" s="36">
        <v>82939</v>
      </c>
      <c r="P511" s="36">
        <v>78686</v>
      </c>
      <c r="Q511" s="36">
        <v>75317</v>
      </c>
      <c r="R511" s="36">
        <v>59305</v>
      </c>
      <c r="S511" s="36">
        <v>60876</v>
      </c>
      <c r="T511" s="36">
        <v>59441</v>
      </c>
      <c r="U511" s="36">
        <v>55445</v>
      </c>
      <c r="V511" s="36">
        <v>62129</v>
      </c>
      <c r="W511" s="36">
        <v>54308</v>
      </c>
      <c r="X511" s="36">
        <v>51486</v>
      </c>
      <c r="Y511" s="36">
        <v>39944</v>
      </c>
      <c r="Z511" s="36">
        <v>33746</v>
      </c>
      <c r="AA511" s="36">
        <v>33722</v>
      </c>
    </row>
    <row r="512" spans="1:27" x14ac:dyDescent="0.3">
      <c r="C512" t="s">
        <v>132</v>
      </c>
      <c r="D512" s="36">
        <v>500610</v>
      </c>
      <c r="E512" s="36"/>
      <c r="F512" s="36"/>
      <c r="G512" s="36"/>
      <c r="H512" s="36"/>
      <c r="I512" s="36"/>
      <c r="J512" s="36"/>
      <c r="K512" s="36"/>
      <c r="L512" s="36"/>
      <c r="M512" s="36"/>
      <c r="N512" s="36"/>
      <c r="O512" s="36"/>
      <c r="P512" s="36"/>
      <c r="Q512" s="36"/>
      <c r="R512" s="36"/>
      <c r="S512" s="36"/>
      <c r="T512" s="36"/>
      <c r="U512" s="36"/>
      <c r="V512" s="36"/>
      <c r="W512" s="36"/>
      <c r="X512" s="36"/>
      <c r="Y512" s="36"/>
      <c r="Z512" s="36"/>
      <c r="AA512" s="36"/>
    </row>
    <row r="513" spans="1:27" x14ac:dyDescent="0.3">
      <c r="C513" t="s">
        <v>133</v>
      </c>
      <c r="D513" s="36">
        <v>0</v>
      </c>
      <c r="E513" s="36"/>
      <c r="F513" s="36"/>
      <c r="G513" s="36"/>
      <c r="H513" s="36"/>
      <c r="I513" s="36"/>
      <c r="J513" s="36"/>
      <c r="K513" s="36"/>
      <c r="L513" s="36"/>
      <c r="M513" s="36"/>
      <c r="N513" s="36"/>
      <c r="O513" s="36"/>
      <c r="P513" s="36"/>
      <c r="Q513" s="36"/>
      <c r="R513" s="36"/>
      <c r="S513" s="36"/>
      <c r="T513" s="36"/>
      <c r="U513" s="36"/>
      <c r="V513" s="36"/>
      <c r="W513" s="36"/>
      <c r="X513" s="36"/>
      <c r="Y513" s="36"/>
      <c r="Z513" s="36"/>
      <c r="AA513" s="36"/>
    </row>
    <row r="514" spans="1:27" x14ac:dyDescent="0.3">
      <c r="C514" t="s">
        <v>134</v>
      </c>
      <c r="D514" s="36">
        <v>36656</v>
      </c>
      <c r="E514" s="36"/>
      <c r="F514" s="36"/>
      <c r="G514" s="36"/>
      <c r="H514" s="36"/>
      <c r="I514" s="36"/>
      <c r="J514" s="36"/>
      <c r="K514" s="36"/>
      <c r="L514" s="36"/>
      <c r="M514" s="36"/>
      <c r="N514" s="36"/>
      <c r="O514" s="36"/>
      <c r="P514" s="36"/>
      <c r="Q514" s="36"/>
      <c r="R514" s="36"/>
      <c r="S514" s="36"/>
      <c r="T514" s="36"/>
      <c r="U514" s="36"/>
      <c r="V514" s="36"/>
      <c r="W514" s="36"/>
      <c r="X514" s="36"/>
      <c r="Y514" s="36"/>
      <c r="Z514" s="36"/>
      <c r="AA514" s="36"/>
    </row>
    <row r="515" spans="1:27" x14ac:dyDescent="0.3">
      <c r="C515" t="s">
        <v>135</v>
      </c>
      <c r="D515" s="36"/>
      <c r="E515" s="36"/>
      <c r="F515" s="36"/>
      <c r="G515" s="36"/>
      <c r="H515" s="36"/>
      <c r="I515" s="36"/>
      <c r="J515" s="36"/>
      <c r="K515" s="36"/>
      <c r="L515" s="36"/>
      <c r="M515" s="36"/>
      <c r="N515" s="36"/>
      <c r="O515" s="36"/>
      <c r="P515" s="36"/>
      <c r="Q515" s="36"/>
      <c r="R515" s="36"/>
      <c r="S515" s="36"/>
      <c r="T515" s="36"/>
      <c r="U515" s="36"/>
      <c r="V515" s="36"/>
      <c r="W515" s="36"/>
      <c r="X515" s="36"/>
      <c r="Y515" s="36"/>
      <c r="Z515" s="36"/>
      <c r="AA515" s="36"/>
    </row>
    <row r="516" spans="1:27" x14ac:dyDescent="0.3">
      <c r="C516" t="s">
        <v>136</v>
      </c>
      <c r="D516" s="36">
        <v>49392</v>
      </c>
      <c r="E516" s="36">
        <v>0</v>
      </c>
      <c r="F516" s="36">
        <v>143300</v>
      </c>
      <c r="G516" s="36">
        <v>78800</v>
      </c>
      <c r="H516" s="36">
        <v>97700</v>
      </c>
      <c r="I516" s="36">
        <v>104900</v>
      </c>
      <c r="J516" s="36">
        <v>64800</v>
      </c>
      <c r="K516" s="36">
        <v>109400</v>
      </c>
      <c r="L516" s="36">
        <v>59400</v>
      </c>
      <c r="M516" s="36">
        <v>125300</v>
      </c>
      <c r="N516" s="36">
        <v>59400</v>
      </c>
      <c r="O516" s="36">
        <v>52200</v>
      </c>
      <c r="P516" s="36">
        <v>102200</v>
      </c>
      <c r="Q516" s="36">
        <v>105200</v>
      </c>
      <c r="R516" s="36">
        <v>23400</v>
      </c>
      <c r="S516" s="36">
        <v>9000</v>
      </c>
      <c r="T516" s="36">
        <v>0</v>
      </c>
      <c r="U516" s="36">
        <v>0</v>
      </c>
      <c r="V516" s="36">
        <v>0</v>
      </c>
      <c r="W516" s="36">
        <v>0</v>
      </c>
      <c r="X516" s="36">
        <v>0</v>
      </c>
      <c r="Y516" s="36">
        <v>0</v>
      </c>
      <c r="Z516" s="36">
        <v>0</v>
      </c>
      <c r="AA516" s="36">
        <v>0</v>
      </c>
    </row>
    <row r="517" spans="1:27" x14ac:dyDescent="0.3">
      <c r="C517" t="s">
        <v>124</v>
      </c>
      <c r="D517" s="36">
        <v>49392</v>
      </c>
      <c r="E517" s="36"/>
      <c r="F517" s="36">
        <v>143300</v>
      </c>
      <c r="G517" s="36">
        <v>78800</v>
      </c>
      <c r="H517" s="36">
        <v>97700</v>
      </c>
      <c r="I517" s="36">
        <v>104900</v>
      </c>
      <c r="J517" s="36">
        <v>64800</v>
      </c>
      <c r="K517" s="36">
        <v>109400</v>
      </c>
      <c r="L517" s="36">
        <v>59400</v>
      </c>
      <c r="M517" s="36">
        <v>125300</v>
      </c>
      <c r="N517" s="36">
        <v>59400</v>
      </c>
      <c r="O517" s="36">
        <v>52200</v>
      </c>
      <c r="P517" s="36">
        <v>102200</v>
      </c>
      <c r="Q517" s="36">
        <v>105200</v>
      </c>
      <c r="R517" s="36">
        <v>23400</v>
      </c>
      <c r="S517" s="36">
        <v>9000</v>
      </c>
      <c r="T517" s="36"/>
      <c r="U517" s="36"/>
      <c r="V517" s="36"/>
      <c r="W517" s="36"/>
      <c r="X517" s="36"/>
      <c r="Y517" s="36"/>
      <c r="Z517" s="36"/>
      <c r="AA517" s="36"/>
    </row>
    <row r="518" spans="1:27" x14ac:dyDescent="0.3">
      <c r="C518" t="s">
        <v>137</v>
      </c>
      <c r="D518" s="36"/>
      <c r="E518" s="36"/>
      <c r="F518" s="36"/>
      <c r="G518" s="36"/>
      <c r="H518" s="36"/>
      <c r="I518" s="36"/>
      <c r="J518" s="36"/>
      <c r="K518" s="36"/>
      <c r="L518" s="36"/>
      <c r="M518" s="36"/>
      <c r="N518" s="36"/>
      <c r="O518" s="36"/>
      <c r="P518" s="36"/>
      <c r="Q518" s="36"/>
      <c r="R518" s="36"/>
      <c r="S518" s="36"/>
      <c r="T518" s="36"/>
      <c r="U518" s="36"/>
      <c r="V518" s="36"/>
      <c r="W518" s="36"/>
      <c r="X518" s="36"/>
      <c r="Y518" s="36"/>
      <c r="Z518" s="36"/>
      <c r="AA518" s="36"/>
    </row>
    <row r="519" spans="1:27" x14ac:dyDescent="0.3">
      <c r="C519" t="s">
        <v>138</v>
      </c>
      <c r="D519" s="36"/>
      <c r="E519" s="36"/>
      <c r="F519" s="36"/>
      <c r="G519" s="36"/>
      <c r="H519" s="36"/>
      <c r="I519" s="36"/>
      <c r="J519" s="36"/>
      <c r="K519" s="36"/>
      <c r="L519" s="36"/>
      <c r="M519" s="36"/>
      <c r="N519" s="36"/>
      <c r="O519" s="36"/>
      <c r="P519" s="36"/>
      <c r="Q519" s="36"/>
      <c r="R519" s="36"/>
      <c r="S519" s="36"/>
      <c r="T519" s="36"/>
      <c r="U519" s="36"/>
      <c r="V519" s="36"/>
      <c r="W519" s="36"/>
      <c r="X519" s="36"/>
      <c r="Y519" s="36"/>
      <c r="Z519" s="36"/>
      <c r="AA519" s="36"/>
    </row>
    <row r="520" spans="1:27" x14ac:dyDescent="0.3">
      <c r="C520" t="s">
        <v>139</v>
      </c>
      <c r="D520" s="36">
        <v>49392</v>
      </c>
      <c r="E520" s="36"/>
      <c r="F520" s="36">
        <v>143300</v>
      </c>
      <c r="G520" s="36">
        <v>78800</v>
      </c>
      <c r="H520" s="36">
        <v>97700</v>
      </c>
      <c r="I520" s="36">
        <v>104900</v>
      </c>
      <c r="J520" s="36">
        <v>64800</v>
      </c>
      <c r="K520" s="36">
        <v>109400</v>
      </c>
      <c r="L520" s="36">
        <v>59400</v>
      </c>
      <c r="M520" s="36">
        <v>125300</v>
      </c>
      <c r="N520" s="36">
        <v>59400</v>
      </c>
      <c r="O520" s="36">
        <v>52200</v>
      </c>
      <c r="P520" s="36">
        <v>102200</v>
      </c>
      <c r="Q520" s="36">
        <v>105200</v>
      </c>
      <c r="R520" s="36">
        <v>23400</v>
      </c>
      <c r="S520" s="36">
        <v>9000</v>
      </c>
      <c r="T520" s="36"/>
      <c r="U520" s="36"/>
      <c r="V520" s="36"/>
      <c r="W520" s="36"/>
      <c r="X520" s="36"/>
      <c r="Y520" s="36"/>
      <c r="Z520" s="36"/>
      <c r="AA520" s="36"/>
    </row>
    <row r="521" spans="1:27" x14ac:dyDescent="0.3">
      <c r="C521" t="s">
        <v>140</v>
      </c>
      <c r="D521" s="36">
        <v>119777</v>
      </c>
      <c r="E521" s="36">
        <v>6805</v>
      </c>
      <c r="F521" s="36">
        <v>43826</v>
      </c>
      <c r="G521" s="36">
        <v>48973</v>
      </c>
      <c r="H521" s="36">
        <v>54901</v>
      </c>
      <c r="I521" s="36">
        <v>51259</v>
      </c>
      <c r="J521" s="36">
        <v>26106</v>
      </c>
      <c r="K521" s="36">
        <v>52635</v>
      </c>
      <c r="L521" s="36">
        <v>17803</v>
      </c>
      <c r="M521" s="36">
        <v>30446</v>
      </c>
      <c r="N521" s="36">
        <v>7059</v>
      </c>
      <c r="O521" s="36">
        <v>-23680</v>
      </c>
      <c r="P521" s="36">
        <v>-166</v>
      </c>
      <c r="Q521" s="36">
        <v>29717</v>
      </c>
      <c r="R521" s="36">
        <v>-6188</v>
      </c>
      <c r="S521" s="36">
        <v>-58064</v>
      </c>
      <c r="T521" s="36">
        <v>-117505</v>
      </c>
      <c r="U521" s="36">
        <v>-172950</v>
      </c>
      <c r="V521" s="36">
        <v>-235079</v>
      </c>
      <c r="W521" s="36">
        <v>-289387</v>
      </c>
      <c r="X521" s="36">
        <v>-340873</v>
      </c>
      <c r="Y521" s="36">
        <v>-380817</v>
      </c>
      <c r="Z521" s="36">
        <v>-414563</v>
      </c>
      <c r="AA521" s="36">
        <v>-448285</v>
      </c>
    </row>
    <row r="522" spans="1:27" x14ac:dyDescent="0.3">
      <c r="C522" t="s">
        <v>141</v>
      </c>
      <c r="D522" s="36">
        <v>0</v>
      </c>
      <c r="E522" s="36">
        <v>0</v>
      </c>
      <c r="F522" s="36">
        <v>0</v>
      </c>
      <c r="G522" s="36">
        <v>0</v>
      </c>
      <c r="H522" s="36">
        <v>0</v>
      </c>
      <c r="I522" s="36">
        <v>0</v>
      </c>
      <c r="J522" s="36">
        <v>0</v>
      </c>
      <c r="K522" s="36">
        <v>0</v>
      </c>
      <c r="L522" s="36">
        <v>0</v>
      </c>
      <c r="M522" s="36">
        <v>0</v>
      </c>
      <c r="N522" s="36">
        <v>0</v>
      </c>
      <c r="O522" s="36">
        <v>0</v>
      </c>
      <c r="P522" s="36">
        <v>0</v>
      </c>
      <c r="Q522" s="36">
        <v>0</v>
      </c>
      <c r="R522" s="36">
        <v>0</v>
      </c>
      <c r="S522" s="36">
        <v>0</v>
      </c>
      <c r="T522" s="36">
        <v>0</v>
      </c>
      <c r="U522" s="36">
        <v>0</v>
      </c>
      <c r="V522" s="36">
        <v>0</v>
      </c>
      <c r="W522" s="36">
        <v>0</v>
      </c>
      <c r="X522" s="36">
        <v>0</v>
      </c>
      <c r="Y522" s="36">
        <v>0</v>
      </c>
      <c r="Z522" s="36">
        <v>0</v>
      </c>
      <c r="AA522" s="36">
        <v>0</v>
      </c>
    </row>
    <row r="523" spans="1:27" x14ac:dyDescent="0.3">
      <c r="A523" t="s">
        <v>220</v>
      </c>
      <c r="B523" t="s">
        <v>177</v>
      </c>
      <c r="C523" t="s">
        <v>129</v>
      </c>
      <c r="D523" s="36">
        <v>121927</v>
      </c>
      <c r="E523" s="36"/>
      <c r="F523" s="36"/>
      <c r="G523" s="36"/>
      <c r="H523" s="36"/>
      <c r="I523" s="36"/>
      <c r="J523" s="36"/>
      <c r="K523" s="36"/>
      <c r="L523" s="36"/>
      <c r="M523" s="36"/>
      <c r="N523" s="36"/>
      <c r="O523" s="36"/>
      <c r="P523" s="36"/>
      <c r="Q523" s="36"/>
      <c r="R523" s="36"/>
      <c r="S523" s="36"/>
      <c r="T523" s="36"/>
      <c r="U523" s="36"/>
      <c r="V523" s="36"/>
      <c r="W523" s="36"/>
      <c r="X523" s="36"/>
      <c r="Y523" s="36"/>
      <c r="Z523" s="36"/>
      <c r="AA523" s="36"/>
    </row>
    <row r="524" spans="1:27" x14ac:dyDescent="0.3">
      <c r="C524" t="s">
        <v>131</v>
      </c>
      <c r="D524" s="36">
        <v>37808</v>
      </c>
      <c r="E524" s="36">
        <v>16328</v>
      </c>
      <c r="F524" s="36">
        <v>17896</v>
      </c>
      <c r="G524" s="36">
        <v>23825</v>
      </c>
      <c r="H524" s="36">
        <v>33528</v>
      </c>
      <c r="I524" s="36">
        <v>27344</v>
      </c>
      <c r="J524" s="36">
        <v>25679</v>
      </c>
      <c r="K524" s="36">
        <v>24237</v>
      </c>
      <c r="L524" s="36">
        <v>24191</v>
      </c>
      <c r="M524" s="36">
        <v>19824</v>
      </c>
      <c r="N524" s="36">
        <v>20496</v>
      </c>
      <c r="O524" s="36">
        <v>22791</v>
      </c>
      <c r="P524" s="36">
        <v>21345</v>
      </c>
      <c r="Q524" s="36">
        <v>20847</v>
      </c>
      <c r="R524" s="36">
        <v>29199</v>
      </c>
      <c r="S524" s="36">
        <v>28825</v>
      </c>
      <c r="T524" s="36">
        <v>27523</v>
      </c>
      <c r="U524" s="36">
        <v>24698</v>
      </c>
      <c r="V524" s="36">
        <v>23774</v>
      </c>
      <c r="W524" s="36">
        <v>23597</v>
      </c>
      <c r="X524" s="36">
        <v>28014</v>
      </c>
      <c r="Y524" s="36">
        <v>20633</v>
      </c>
      <c r="Z524" s="36">
        <v>19579</v>
      </c>
      <c r="AA524" s="36">
        <v>19573</v>
      </c>
    </row>
    <row r="525" spans="1:27" x14ac:dyDescent="0.3">
      <c r="C525" t="s">
        <v>132</v>
      </c>
      <c r="D525" s="36">
        <v>265132</v>
      </c>
      <c r="E525" s="36"/>
      <c r="F525" s="36"/>
      <c r="G525" s="36"/>
      <c r="H525" s="36"/>
      <c r="I525" s="36"/>
      <c r="J525" s="36"/>
      <c r="K525" s="36"/>
      <c r="L525" s="36"/>
      <c r="M525" s="36"/>
      <c r="N525" s="36"/>
      <c r="O525" s="36"/>
      <c r="P525" s="36"/>
      <c r="Q525" s="36"/>
      <c r="R525" s="36"/>
      <c r="S525" s="36"/>
      <c r="T525" s="36"/>
      <c r="U525" s="36"/>
      <c r="V525" s="36"/>
      <c r="W525" s="36"/>
      <c r="X525" s="36"/>
      <c r="Y525" s="36"/>
      <c r="Z525" s="36"/>
      <c r="AA525" s="36"/>
    </row>
    <row r="526" spans="1:27" x14ac:dyDescent="0.3">
      <c r="C526" t="s">
        <v>133</v>
      </c>
      <c r="D526" s="36">
        <v>0</v>
      </c>
      <c r="E526" s="36"/>
      <c r="F526" s="36"/>
      <c r="G526" s="36"/>
      <c r="H526" s="36"/>
      <c r="I526" s="36"/>
      <c r="J526" s="36"/>
      <c r="K526" s="36"/>
      <c r="L526" s="36"/>
      <c r="M526" s="36"/>
      <c r="N526" s="36"/>
      <c r="O526" s="36"/>
      <c r="P526" s="36"/>
      <c r="Q526" s="36"/>
      <c r="R526" s="36"/>
      <c r="S526" s="36"/>
      <c r="T526" s="36"/>
      <c r="U526" s="36"/>
      <c r="V526" s="36"/>
      <c r="W526" s="36"/>
      <c r="X526" s="36"/>
      <c r="Y526" s="36"/>
      <c r="Z526" s="36"/>
      <c r="AA526" s="36"/>
    </row>
    <row r="527" spans="1:27" x14ac:dyDescent="0.3">
      <c r="C527" t="s">
        <v>134</v>
      </c>
      <c r="D527" s="36">
        <v>5313</v>
      </c>
      <c r="E527" s="36"/>
      <c r="F527" s="36"/>
      <c r="G527" s="36"/>
      <c r="H527" s="36"/>
      <c r="I527" s="36"/>
      <c r="J527" s="36"/>
      <c r="K527" s="36"/>
      <c r="L527" s="36"/>
      <c r="M527" s="36"/>
      <c r="N527" s="36"/>
      <c r="O527" s="36"/>
      <c r="P527" s="36"/>
      <c r="Q527" s="36"/>
      <c r="R527" s="36"/>
      <c r="S527" s="36"/>
      <c r="T527" s="36"/>
      <c r="U527" s="36"/>
      <c r="V527" s="36"/>
      <c r="W527" s="36"/>
      <c r="X527" s="36"/>
      <c r="Y527" s="36"/>
      <c r="Z527" s="36"/>
      <c r="AA527" s="36"/>
    </row>
    <row r="528" spans="1:27" x14ac:dyDescent="0.3">
      <c r="C528" t="s">
        <v>135</v>
      </c>
      <c r="D528" s="36">
        <v>39312</v>
      </c>
      <c r="E528" s="36"/>
      <c r="F528" s="36"/>
      <c r="G528" s="36"/>
      <c r="H528" s="36"/>
      <c r="I528" s="36"/>
      <c r="J528" s="36"/>
      <c r="K528" s="36"/>
      <c r="L528" s="36"/>
      <c r="M528" s="36"/>
      <c r="N528" s="36"/>
      <c r="O528" s="36"/>
      <c r="P528" s="36"/>
      <c r="Q528" s="36"/>
      <c r="R528" s="36"/>
      <c r="S528" s="36"/>
      <c r="T528" s="36"/>
      <c r="U528" s="36"/>
      <c r="V528" s="36"/>
      <c r="W528" s="36"/>
      <c r="X528" s="36"/>
      <c r="Y528" s="36"/>
      <c r="Z528" s="36"/>
      <c r="AA528" s="36"/>
    </row>
    <row r="529" spans="2:27" x14ac:dyDescent="0.3">
      <c r="C529" t="s">
        <v>136</v>
      </c>
      <c r="D529" s="36">
        <v>66528</v>
      </c>
      <c r="E529" s="36">
        <v>0</v>
      </c>
      <c r="F529" s="36">
        <v>21600</v>
      </c>
      <c r="G529" s="36">
        <v>0</v>
      </c>
      <c r="H529" s="36">
        <v>0</v>
      </c>
      <c r="I529" s="36">
        <v>31680</v>
      </c>
      <c r="J529" s="36">
        <v>21600</v>
      </c>
      <c r="K529" s="36">
        <v>10080</v>
      </c>
      <c r="L529" s="36">
        <v>0</v>
      </c>
      <c r="M529" s="36">
        <v>51680</v>
      </c>
      <c r="N529" s="36">
        <v>0</v>
      </c>
      <c r="O529" s="36">
        <v>31680</v>
      </c>
      <c r="P529" s="36">
        <v>0</v>
      </c>
      <c r="Q529" s="36">
        <v>7200</v>
      </c>
      <c r="R529" s="36">
        <v>7200</v>
      </c>
      <c r="S529" s="36">
        <v>0</v>
      </c>
      <c r="T529" s="36">
        <v>0</v>
      </c>
      <c r="U529" s="36">
        <v>0</v>
      </c>
      <c r="V529" s="36">
        <v>0</v>
      </c>
      <c r="W529" s="36">
        <v>0</v>
      </c>
      <c r="X529" s="36">
        <v>0</v>
      </c>
      <c r="Y529" s="36">
        <v>0</v>
      </c>
      <c r="Z529" s="36">
        <v>0</v>
      </c>
      <c r="AA529" s="36">
        <v>0</v>
      </c>
    </row>
    <row r="530" spans="2:27" x14ac:dyDescent="0.3">
      <c r="C530" t="s">
        <v>124</v>
      </c>
      <c r="D530" s="36">
        <v>66528</v>
      </c>
      <c r="E530" s="36"/>
      <c r="F530" s="36">
        <v>21600</v>
      </c>
      <c r="G530" s="36"/>
      <c r="H530" s="36"/>
      <c r="I530" s="36">
        <v>31680</v>
      </c>
      <c r="J530" s="36">
        <v>21600</v>
      </c>
      <c r="K530" s="36">
        <v>10080</v>
      </c>
      <c r="L530" s="36"/>
      <c r="M530" s="36">
        <v>51680</v>
      </c>
      <c r="N530" s="36"/>
      <c r="O530" s="36">
        <v>31680</v>
      </c>
      <c r="P530" s="36"/>
      <c r="Q530" s="36">
        <v>7200</v>
      </c>
      <c r="R530" s="36">
        <v>7200</v>
      </c>
      <c r="S530" s="36"/>
      <c r="T530" s="36"/>
      <c r="U530" s="36"/>
      <c r="V530" s="36"/>
      <c r="W530" s="36"/>
      <c r="X530" s="36"/>
      <c r="Y530" s="36"/>
      <c r="Z530" s="36"/>
      <c r="AA530" s="36"/>
    </row>
    <row r="531" spans="2:27" x14ac:dyDescent="0.3">
      <c r="C531" t="s">
        <v>137</v>
      </c>
      <c r="D531" s="36"/>
      <c r="E531" s="36"/>
      <c r="F531" s="36"/>
      <c r="G531" s="36"/>
      <c r="H531" s="36"/>
      <c r="I531" s="36"/>
      <c r="J531" s="36"/>
      <c r="K531" s="36"/>
      <c r="L531" s="36"/>
      <c r="M531" s="36"/>
      <c r="N531" s="36"/>
      <c r="O531" s="36"/>
      <c r="P531" s="36"/>
      <c r="Q531" s="36"/>
      <c r="R531" s="36"/>
      <c r="S531" s="36"/>
      <c r="T531" s="36"/>
      <c r="U531" s="36"/>
      <c r="V531" s="36"/>
      <c r="W531" s="36"/>
      <c r="X531" s="36"/>
      <c r="Y531" s="36"/>
      <c r="Z531" s="36"/>
      <c r="AA531" s="36"/>
    </row>
    <row r="532" spans="2:27" x14ac:dyDescent="0.3">
      <c r="C532" t="s">
        <v>138</v>
      </c>
      <c r="D532" s="36"/>
      <c r="E532" s="36"/>
      <c r="F532" s="36"/>
      <c r="G532" s="36"/>
      <c r="H532" s="36"/>
      <c r="I532" s="36"/>
      <c r="J532" s="36"/>
      <c r="K532" s="36"/>
      <c r="L532" s="36"/>
      <c r="M532" s="36"/>
      <c r="N532" s="36"/>
      <c r="O532" s="36"/>
      <c r="P532" s="36"/>
      <c r="Q532" s="36"/>
      <c r="R532" s="36"/>
      <c r="S532" s="36"/>
      <c r="T532" s="36"/>
      <c r="U532" s="36"/>
      <c r="V532" s="36"/>
      <c r="W532" s="36"/>
      <c r="X532" s="36"/>
      <c r="Y532" s="36"/>
      <c r="Z532" s="36"/>
      <c r="AA532" s="36"/>
    </row>
    <row r="533" spans="2:27" x14ac:dyDescent="0.3">
      <c r="C533" t="s">
        <v>139</v>
      </c>
      <c r="D533" s="36">
        <v>66528</v>
      </c>
      <c r="E533" s="36"/>
      <c r="F533" s="36">
        <v>21600</v>
      </c>
      <c r="G533" s="36"/>
      <c r="H533" s="36"/>
      <c r="I533" s="36">
        <v>31680</v>
      </c>
      <c r="J533" s="36">
        <v>21600</v>
      </c>
      <c r="K533" s="36">
        <v>10080</v>
      </c>
      <c r="L533" s="36"/>
      <c r="M533" s="36">
        <v>51680</v>
      </c>
      <c r="N533" s="36"/>
      <c r="O533" s="36">
        <v>31680</v>
      </c>
      <c r="P533" s="36"/>
      <c r="Q533" s="36">
        <v>7200</v>
      </c>
      <c r="R533" s="36">
        <v>7200</v>
      </c>
      <c r="S533" s="36"/>
      <c r="T533" s="36"/>
      <c r="U533" s="36"/>
      <c r="V533" s="36"/>
      <c r="W533" s="36"/>
      <c r="X533" s="36"/>
      <c r="Y533" s="36"/>
      <c r="Z533" s="36"/>
      <c r="AA533" s="36"/>
    </row>
    <row r="534" spans="2:27" x14ac:dyDescent="0.3">
      <c r="C534" t="s">
        <v>140</v>
      </c>
      <c r="D534" s="36">
        <v>216550</v>
      </c>
      <c r="E534" s="36">
        <v>200222</v>
      </c>
      <c r="F534" s="36">
        <v>203926</v>
      </c>
      <c r="G534" s="36">
        <v>180101</v>
      </c>
      <c r="H534" s="36">
        <v>146573</v>
      </c>
      <c r="I534" s="36">
        <v>150909</v>
      </c>
      <c r="J534" s="36">
        <v>146830</v>
      </c>
      <c r="K534" s="36">
        <v>132673</v>
      </c>
      <c r="L534" s="36">
        <v>108482</v>
      </c>
      <c r="M534" s="36">
        <v>140338</v>
      </c>
      <c r="N534" s="36">
        <v>119842</v>
      </c>
      <c r="O534" s="36">
        <v>128731</v>
      </c>
      <c r="P534" s="36">
        <v>107386</v>
      </c>
      <c r="Q534" s="36">
        <v>93739</v>
      </c>
      <c r="R534" s="36">
        <v>71740</v>
      </c>
      <c r="S534" s="36">
        <v>42915</v>
      </c>
      <c r="T534" s="36">
        <v>15392</v>
      </c>
      <c r="U534" s="36">
        <v>-9306</v>
      </c>
      <c r="V534" s="36">
        <v>-33080</v>
      </c>
      <c r="W534" s="36">
        <v>-56677</v>
      </c>
      <c r="X534" s="36">
        <v>-84691</v>
      </c>
      <c r="Y534" s="36">
        <v>-105324</v>
      </c>
      <c r="Z534" s="36">
        <v>-124903</v>
      </c>
      <c r="AA534" s="36">
        <v>-144476</v>
      </c>
    </row>
    <row r="535" spans="2:27" x14ac:dyDescent="0.3">
      <c r="C535" t="s">
        <v>141</v>
      </c>
      <c r="D535" s="36">
        <v>0</v>
      </c>
      <c r="E535" s="36">
        <v>0</v>
      </c>
      <c r="F535" s="36">
        <v>0</v>
      </c>
      <c r="G535" s="36">
        <v>0</v>
      </c>
      <c r="H535" s="36">
        <v>0</v>
      </c>
      <c r="I535" s="36">
        <v>0</v>
      </c>
      <c r="J535" s="36">
        <v>0</v>
      </c>
      <c r="K535" s="36">
        <v>0</v>
      </c>
      <c r="L535" s="36">
        <v>0</v>
      </c>
      <c r="M535" s="36">
        <v>0</v>
      </c>
      <c r="N535" s="36">
        <v>0</v>
      </c>
      <c r="O535" s="36">
        <v>0</v>
      </c>
      <c r="P535" s="36">
        <v>0</v>
      </c>
      <c r="Q535" s="36">
        <v>0</v>
      </c>
      <c r="R535" s="36">
        <v>0</v>
      </c>
      <c r="S535" s="36">
        <v>0</v>
      </c>
      <c r="T535" s="36">
        <v>0</v>
      </c>
      <c r="U535" s="36">
        <v>0</v>
      </c>
      <c r="V535" s="36">
        <v>0</v>
      </c>
      <c r="W535" s="36">
        <v>0</v>
      </c>
      <c r="X535" s="36">
        <v>0</v>
      </c>
      <c r="Y535" s="36">
        <v>0</v>
      </c>
      <c r="Z535" s="36">
        <v>0</v>
      </c>
      <c r="AA535" s="36">
        <v>0</v>
      </c>
    </row>
    <row r="536" spans="2:27" x14ac:dyDescent="0.3">
      <c r="B536" t="s">
        <v>221</v>
      </c>
      <c r="C536" t="s">
        <v>129</v>
      </c>
      <c r="D536" s="36">
        <v>1708</v>
      </c>
      <c r="E536" s="36"/>
      <c r="F536" s="36"/>
      <c r="G536" s="36"/>
      <c r="H536" s="36"/>
      <c r="I536" s="36"/>
      <c r="J536" s="36"/>
      <c r="K536" s="36"/>
      <c r="L536" s="36"/>
      <c r="M536" s="36"/>
      <c r="N536" s="36"/>
      <c r="O536" s="36"/>
      <c r="P536" s="36"/>
      <c r="Q536" s="36"/>
      <c r="R536" s="36"/>
      <c r="S536" s="36"/>
      <c r="T536" s="36"/>
      <c r="U536" s="36"/>
      <c r="V536" s="36"/>
      <c r="W536" s="36"/>
      <c r="X536" s="36"/>
      <c r="Y536" s="36"/>
      <c r="Z536" s="36"/>
      <c r="AA536" s="36"/>
    </row>
    <row r="537" spans="2:27" x14ac:dyDescent="0.3">
      <c r="C537" t="s">
        <v>131</v>
      </c>
      <c r="D537" s="36">
        <v>205</v>
      </c>
      <c r="E537" s="36">
        <v>224</v>
      </c>
      <c r="F537" s="36">
        <v>186</v>
      </c>
      <c r="G537" s="36">
        <v>2210</v>
      </c>
      <c r="H537" s="36">
        <v>227</v>
      </c>
      <c r="I537" s="36">
        <v>229</v>
      </c>
      <c r="J537" s="36">
        <v>263</v>
      </c>
      <c r="K537" s="36">
        <v>1198</v>
      </c>
      <c r="L537" s="36">
        <v>222</v>
      </c>
      <c r="M537" s="36">
        <v>209</v>
      </c>
      <c r="N537" s="36">
        <v>829</v>
      </c>
      <c r="O537" s="36">
        <v>809</v>
      </c>
      <c r="P537" s="36">
        <v>837</v>
      </c>
      <c r="Q537" s="36">
        <v>866</v>
      </c>
      <c r="R537" s="36">
        <v>886</v>
      </c>
      <c r="S537" s="36">
        <v>866</v>
      </c>
      <c r="T537" s="36">
        <v>865</v>
      </c>
      <c r="U537" s="36">
        <v>902</v>
      </c>
      <c r="V537" s="36">
        <v>919</v>
      </c>
      <c r="W537" s="36">
        <v>919</v>
      </c>
      <c r="X537" s="36">
        <v>318</v>
      </c>
      <c r="Y537" s="36">
        <v>187</v>
      </c>
      <c r="Z537" s="36">
        <v>136</v>
      </c>
      <c r="AA537" s="36">
        <v>135</v>
      </c>
    </row>
    <row r="538" spans="2:27" x14ac:dyDescent="0.3">
      <c r="C538" t="s">
        <v>132</v>
      </c>
      <c r="D538" s="36"/>
      <c r="E538" s="36"/>
      <c r="F538" s="36"/>
      <c r="G538" s="36"/>
      <c r="H538" s="36"/>
      <c r="I538" s="36"/>
      <c r="J538" s="36"/>
      <c r="K538" s="36"/>
      <c r="L538" s="36"/>
      <c r="M538" s="36"/>
      <c r="N538" s="36"/>
      <c r="O538" s="36"/>
      <c r="P538" s="36"/>
      <c r="Q538" s="36"/>
      <c r="R538" s="36"/>
      <c r="S538" s="36"/>
      <c r="T538" s="36"/>
      <c r="U538" s="36"/>
      <c r="V538" s="36"/>
      <c r="W538" s="36"/>
      <c r="X538" s="36"/>
      <c r="Y538" s="36"/>
      <c r="Z538" s="36"/>
      <c r="AA538" s="36"/>
    </row>
    <row r="539" spans="2:27" x14ac:dyDescent="0.3">
      <c r="C539" t="s">
        <v>133</v>
      </c>
      <c r="D539" s="36"/>
      <c r="E539" s="36"/>
      <c r="F539" s="36"/>
      <c r="G539" s="36"/>
      <c r="H539" s="36"/>
      <c r="I539" s="36"/>
      <c r="J539" s="36"/>
      <c r="K539" s="36"/>
      <c r="L539" s="36"/>
      <c r="M539" s="36"/>
      <c r="N539" s="36"/>
      <c r="O539" s="36"/>
      <c r="P539" s="36"/>
      <c r="Q539" s="36"/>
      <c r="R539" s="36"/>
      <c r="S539" s="36"/>
      <c r="T539" s="36"/>
      <c r="U539" s="36"/>
      <c r="V539" s="36"/>
      <c r="W539" s="36"/>
      <c r="X539" s="36"/>
      <c r="Y539" s="36"/>
      <c r="Z539" s="36"/>
      <c r="AA539" s="36"/>
    </row>
    <row r="540" spans="2:27" x14ac:dyDescent="0.3">
      <c r="C540" t="s">
        <v>134</v>
      </c>
      <c r="D540" s="36"/>
      <c r="E540" s="36"/>
      <c r="F540" s="36"/>
      <c r="G540" s="36"/>
      <c r="H540" s="36"/>
      <c r="I540" s="36"/>
      <c r="J540" s="36"/>
      <c r="K540" s="36"/>
      <c r="L540" s="36"/>
      <c r="M540" s="36"/>
      <c r="N540" s="36"/>
      <c r="O540" s="36"/>
      <c r="P540" s="36"/>
      <c r="Q540" s="36"/>
      <c r="R540" s="36"/>
      <c r="S540" s="36"/>
      <c r="T540" s="36"/>
      <c r="U540" s="36"/>
      <c r="V540" s="36"/>
      <c r="W540" s="36"/>
      <c r="X540" s="36"/>
      <c r="Y540" s="36"/>
      <c r="Z540" s="36"/>
      <c r="AA540" s="36"/>
    </row>
    <row r="541" spans="2:27" x14ac:dyDescent="0.3">
      <c r="C541" t="s">
        <v>135</v>
      </c>
      <c r="D541" s="36"/>
      <c r="E541" s="36"/>
      <c r="F541" s="36"/>
      <c r="G541" s="36"/>
      <c r="H541" s="36"/>
      <c r="I541" s="36"/>
      <c r="J541" s="36"/>
      <c r="K541" s="36"/>
      <c r="L541" s="36"/>
      <c r="M541" s="36"/>
      <c r="N541" s="36"/>
      <c r="O541" s="36"/>
      <c r="P541" s="36"/>
      <c r="Q541" s="36"/>
      <c r="R541" s="36"/>
      <c r="S541" s="36"/>
      <c r="T541" s="36"/>
      <c r="U541" s="36"/>
      <c r="V541" s="36"/>
      <c r="W541" s="36"/>
      <c r="X541" s="36"/>
      <c r="Y541" s="36"/>
      <c r="Z541" s="36"/>
      <c r="AA541" s="36"/>
    </row>
    <row r="542" spans="2:27" x14ac:dyDescent="0.3">
      <c r="C542" t="s">
        <v>136</v>
      </c>
      <c r="D542" s="36">
        <v>0</v>
      </c>
      <c r="E542" s="36">
        <v>0</v>
      </c>
      <c r="F542" s="36">
        <v>0</v>
      </c>
      <c r="G542" s="36">
        <v>0</v>
      </c>
      <c r="H542" s="36">
        <v>0</v>
      </c>
      <c r="I542" s="36">
        <v>0</v>
      </c>
      <c r="J542" s="36">
        <v>0</v>
      </c>
      <c r="K542" s="36">
        <v>0</v>
      </c>
      <c r="L542" s="36">
        <v>0</v>
      </c>
      <c r="M542" s="36">
        <v>0</v>
      </c>
      <c r="N542" s="36">
        <v>0</v>
      </c>
      <c r="O542" s="36">
        <v>0</v>
      </c>
      <c r="P542" s="36">
        <v>0</v>
      </c>
      <c r="Q542" s="36">
        <v>0</v>
      </c>
      <c r="R542" s="36">
        <v>0</v>
      </c>
      <c r="S542" s="36">
        <v>0</v>
      </c>
      <c r="T542" s="36">
        <v>0</v>
      </c>
      <c r="U542" s="36">
        <v>0</v>
      </c>
      <c r="V542" s="36">
        <v>0</v>
      </c>
      <c r="W542" s="36">
        <v>0</v>
      </c>
      <c r="X542" s="36">
        <v>0</v>
      </c>
      <c r="Y542" s="36">
        <v>0</v>
      </c>
      <c r="Z542" s="36">
        <v>0</v>
      </c>
      <c r="AA542" s="36">
        <v>0</v>
      </c>
    </row>
    <row r="543" spans="2:27" x14ac:dyDescent="0.3">
      <c r="C543" t="s">
        <v>124</v>
      </c>
      <c r="D543" s="36"/>
      <c r="E543" s="36"/>
      <c r="F543" s="36"/>
      <c r="G543" s="36"/>
      <c r="H543" s="36"/>
      <c r="I543" s="36"/>
      <c r="J543" s="36"/>
      <c r="K543" s="36"/>
      <c r="L543" s="36"/>
      <c r="M543" s="36"/>
      <c r="N543" s="36"/>
      <c r="O543" s="36"/>
      <c r="P543" s="36"/>
      <c r="Q543" s="36"/>
      <c r="R543" s="36"/>
      <c r="S543" s="36"/>
      <c r="T543" s="36"/>
      <c r="U543" s="36"/>
      <c r="V543" s="36"/>
      <c r="W543" s="36"/>
      <c r="X543" s="36"/>
      <c r="Y543" s="36"/>
      <c r="Z543" s="36"/>
      <c r="AA543" s="36"/>
    </row>
    <row r="544" spans="2:27" x14ac:dyDescent="0.3">
      <c r="C544" t="s">
        <v>137</v>
      </c>
      <c r="D544" s="36"/>
      <c r="E544" s="36"/>
      <c r="F544" s="36"/>
      <c r="G544" s="36"/>
      <c r="H544" s="36"/>
      <c r="I544" s="36"/>
      <c r="J544" s="36"/>
      <c r="K544" s="36"/>
      <c r="L544" s="36"/>
      <c r="M544" s="36"/>
      <c r="N544" s="36"/>
      <c r="O544" s="36"/>
      <c r="P544" s="36"/>
      <c r="Q544" s="36"/>
      <c r="R544" s="36"/>
      <c r="S544" s="36"/>
      <c r="T544" s="36"/>
      <c r="U544" s="36"/>
      <c r="V544" s="36"/>
      <c r="W544" s="36"/>
      <c r="X544" s="36"/>
      <c r="Y544" s="36"/>
      <c r="Z544" s="36"/>
      <c r="AA544" s="36"/>
    </row>
    <row r="545" spans="1:27" x14ac:dyDescent="0.3">
      <c r="C545" t="s">
        <v>138</v>
      </c>
      <c r="D545" s="36"/>
      <c r="E545" s="36"/>
      <c r="F545" s="36"/>
      <c r="G545" s="36"/>
      <c r="H545" s="36"/>
      <c r="I545" s="36"/>
      <c r="J545" s="36"/>
      <c r="K545" s="36"/>
      <c r="L545" s="36"/>
      <c r="M545" s="36"/>
      <c r="N545" s="36"/>
      <c r="O545" s="36"/>
      <c r="P545" s="36"/>
      <c r="Q545" s="36"/>
      <c r="R545" s="36"/>
      <c r="S545" s="36"/>
      <c r="T545" s="36"/>
      <c r="U545" s="36"/>
      <c r="V545" s="36"/>
      <c r="W545" s="36"/>
      <c r="X545" s="36"/>
      <c r="Y545" s="36"/>
      <c r="Z545" s="36"/>
      <c r="AA545" s="36"/>
    </row>
    <row r="546" spans="1:27" x14ac:dyDescent="0.3">
      <c r="C546" t="s">
        <v>139</v>
      </c>
      <c r="D546" s="36"/>
      <c r="E546" s="36"/>
      <c r="F546" s="36"/>
      <c r="G546" s="36"/>
      <c r="H546" s="36"/>
      <c r="I546" s="36"/>
      <c r="J546" s="36"/>
      <c r="K546" s="36"/>
      <c r="L546" s="36"/>
      <c r="M546" s="36"/>
      <c r="N546" s="36"/>
      <c r="O546" s="36"/>
      <c r="P546" s="36"/>
      <c r="Q546" s="36"/>
      <c r="R546" s="36"/>
      <c r="S546" s="36"/>
      <c r="T546" s="36"/>
      <c r="U546" s="36"/>
      <c r="V546" s="36"/>
      <c r="W546" s="36"/>
      <c r="X546" s="36"/>
      <c r="Y546" s="36"/>
      <c r="Z546" s="36"/>
      <c r="AA546" s="36"/>
    </row>
    <row r="547" spans="1:27" x14ac:dyDescent="0.3">
      <c r="C547" t="s">
        <v>140</v>
      </c>
      <c r="D547" s="36">
        <v>-1913</v>
      </c>
      <c r="E547" s="36">
        <v>-2137</v>
      </c>
      <c r="F547" s="36">
        <v>-2323</v>
      </c>
      <c r="G547" s="36">
        <v>-4533</v>
      </c>
      <c r="H547" s="36">
        <v>-4760</v>
      </c>
      <c r="I547" s="36">
        <v>-4989</v>
      </c>
      <c r="J547" s="36">
        <v>-5252</v>
      </c>
      <c r="K547" s="36">
        <v>-6450</v>
      </c>
      <c r="L547" s="36">
        <v>-6672</v>
      </c>
      <c r="M547" s="36">
        <v>-6881</v>
      </c>
      <c r="N547" s="36">
        <v>-7710</v>
      </c>
      <c r="O547" s="36">
        <v>-8519</v>
      </c>
      <c r="P547" s="36">
        <v>-9356</v>
      </c>
      <c r="Q547" s="36">
        <v>-10222</v>
      </c>
      <c r="R547" s="36">
        <v>-11108</v>
      </c>
      <c r="S547" s="36">
        <v>-11974</v>
      </c>
      <c r="T547" s="36">
        <v>-12839</v>
      </c>
      <c r="U547" s="36">
        <v>-13741</v>
      </c>
      <c r="V547" s="36">
        <v>-14660</v>
      </c>
      <c r="W547" s="36">
        <v>-15579</v>
      </c>
      <c r="X547" s="36">
        <v>-15897</v>
      </c>
      <c r="Y547" s="36">
        <v>-16084</v>
      </c>
      <c r="Z547" s="36">
        <v>-16220</v>
      </c>
      <c r="AA547" s="36">
        <v>-16355</v>
      </c>
    </row>
    <row r="548" spans="1:27" x14ac:dyDescent="0.3">
      <c r="C548" t="s">
        <v>141</v>
      </c>
      <c r="D548" s="36">
        <v>0</v>
      </c>
      <c r="E548" s="36">
        <v>0</v>
      </c>
      <c r="F548" s="36">
        <v>0</v>
      </c>
      <c r="G548" s="36">
        <v>0</v>
      </c>
      <c r="H548" s="36">
        <v>0</v>
      </c>
      <c r="I548" s="36">
        <v>0</v>
      </c>
      <c r="J548" s="36">
        <v>0</v>
      </c>
      <c r="K548" s="36">
        <v>0</v>
      </c>
      <c r="L548" s="36">
        <v>0</v>
      </c>
      <c r="M548" s="36">
        <v>0</v>
      </c>
      <c r="N548" s="36">
        <v>0</v>
      </c>
      <c r="O548" s="36">
        <v>0</v>
      </c>
      <c r="P548" s="36">
        <v>0</v>
      </c>
      <c r="Q548" s="36">
        <v>0</v>
      </c>
      <c r="R548" s="36">
        <v>0</v>
      </c>
      <c r="S548" s="36">
        <v>0</v>
      </c>
      <c r="T548" s="36">
        <v>0</v>
      </c>
      <c r="U548" s="36">
        <v>0</v>
      </c>
      <c r="V548" s="36">
        <v>0</v>
      </c>
      <c r="W548" s="36">
        <v>0</v>
      </c>
      <c r="X548" s="36">
        <v>0</v>
      </c>
      <c r="Y548" s="36">
        <v>0</v>
      </c>
      <c r="Z548" s="36">
        <v>0</v>
      </c>
      <c r="AA548" s="36">
        <v>0</v>
      </c>
    </row>
    <row r="549" spans="1:27" x14ac:dyDescent="0.3">
      <c r="A549" t="s">
        <v>279</v>
      </c>
      <c r="B549" t="s">
        <v>195</v>
      </c>
      <c r="C549" t="s">
        <v>129</v>
      </c>
      <c r="D549" s="36">
        <v>20378</v>
      </c>
      <c r="E549" s="36"/>
      <c r="F549" s="36"/>
      <c r="G549" s="36"/>
      <c r="H549" s="36"/>
      <c r="I549" s="36"/>
      <c r="J549" s="36"/>
      <c r="K549" s="36"/>
      <c r="L549" s="36"/>
      <c r="M549" s="36"/>
      <c r="N549" s="36"/>
      <c r="O549" s="36"/>
      <c r="P549" s="36"/>
      <c r="Q549" s="36"/>
      <c r="R549" s="36"/>
      <c r="S549" s="36"/>
      <c r="T549" s="36"/>
      <c r="U549" s="36"/>
      <c r="V549" s="36"/>
      <c r="W549" s="36"/>
      <c r="X549" s="36"/>
      <c r="Y549" s="36"/>
      <c r="Z549" s="36"/>
      <c r="AA549" s="36"/>
    </row>
    <row r="550" spans="1:27" x14ac:dyDescent="0.3">
      <c r="C550" t="s">
        <v>131</v>
      </c>
      <c r="D550" s="36">
        <v>12428</v>
      </c>
      <c r="E550" s="36">
        <v>27024</v>
      </c>
      <c r="F550" s="36">
        <v>22634</v>
      </c>
      <c r="G550" s="36">
        <v>55400</v>
      </c>
      <c r="H550" s="36">
        <v>33232</v>
      </c>
      <c r="I550" s="36">
        <v>12188</v>
      </c>
      <c r="J550" s="36">
        <v>10012</v>
      </c>
      <c r="K550" s="36">
        <v>12031</v>
      </c>
      <c r="L550" s="36">
        <v>17272</v>
      </c>
      <c r="M550" s="36">
        <v>20087</v>
      </c>
      <c r="N550" s="36">
        <v>13209</v>
      </c>
      <c r="O550" s="36">
        <v>13035</v>
      </c>
      <c r="P550" s="36">
        <v>11887</v>
      </c>
      <c r="Q550" s="36">
        <v>8804</v>
      </c>
      <c r="R550" s="36">
        <v>8336</v>
      </c>
      <c r="S550" s="36">
        <v>8104</v>
      </c>
      <c r="T550" s="36">
        <v>8160</v>
      </c>
      <c r="U550" s="36">
        <v>7284</v>
      </c>
      <c r="V550" s="36">
        <v>8928</v>
      </c>
      <c r="W550" s="36">
        <v>8820</v>
      </c>
      <c r="X550" s="36">
        <v>8042</v>
      </c>
      <c r="Y550" s="36">
        <v>7332</v>
      </c>
      <c r="Z550" s="36">
        <v>2142</v>
      </c>
      <c r="AA550" s="36">
        <v>2218</v>
      </c>
    </row>
    <row r="551" spans="1:27" x14ac:dyDescent="0.3">
      <c r="C551" t="s">
        <v>132</v>
      </c>
      <c r="D551" s="36">
        <v>175020</v>
      </c>
      <c r="E551" s="36"/>
      <c r="F551" s="36"/>
      <c r="G551" s="36"/>
      <c r="H551" s="36"/>
      <c r="I551" s="36"/>
      <c r="J551" s="36"/>
      <c r="K551" s="36"/>
      <c r="L551" s="36"/>
      <c r="M551" s="36"/>
      <c r="N551" s="36"/>
      <c r="O551" s="36"/>
      <c r="P551" s="36"/>
      <c r="Q551" s="36"/>
      <c r="R551" s="36"/>
      <c r="S551" s="36"/>
      <c r="T551" s="36"/>
      <c r="U551" s="36"/>
      <c r="V551" s="36"/>
      <c r="W551" s="36"/>
      <c r="X551" s="36"/>
      <c r="Y551" s="36"/>
      <c r="Z551" s="36"/>
      <c r="AA551" s="36"/>
    </row>
    <row r="552" spans="1:27" x14ac:dyDescent="0.3">
      <c r="C552" t="s">
        <v>133</v>
      </c>
      <c r="D552" s="36">
        <v>0</v>
      </c>
      <c r="E552" s="36"/>
      <c r="F552" s="36"/>
      <c r="G552" s="36"/>
      <c r="H552" s="36"/>
      <c r="I552" s="36"/>
      <c r="J552" s="36"/>
      <c r="K552" s="36"/>
      <c r="L552" s="36"/>
      <c r="M552" s="36"/>
      <c r="N552" s="36"/>
      <c r="O552" s="36"/>
      <c r="P552" s="36"/>
      <c r="Q552" s="36"/>
      <c r="R552" s="36"/>
      <c r="S552" s="36"/>
      <c r="T552" s="36"/>
      <c r="U552" s="36"/>
      <c r="V552" s="36"/>
      <c r="W552" s="36"/>
      <c r="X552" s="36"/>
      <c r="Y552" s="36"/>
      <c r="Z552" s="36"/>
      <c r="AA552" s="36"/>
    </row>
    <row r="553" spans="1:27" x14ac:dyDescent="0.3">
      <c r="C553" t="s">
        <v>134</v>
      </c>
      <c r="D553" s="36">
        <v>16119</v>
      </c>
      <c r="E553" s="36"/>
      <c r="F553" s="36"/>
      <c r="G553" s="36"/>
      <c r="H553" s="36"/>
      <c r="I553" s="36"/>
      <c r="J553" s="36"/>
      <c r="K553" s="36"/>
      <c r="L553" s="36"/>
      <c r="M553" s="36"/>
      <c r="N553" s="36"/>
      <c r="O553" s="36"/>
      <c r="P553" s="36"/>
      <c r="Q553" s="36"/>
      <c r="R553" s="36"/>
      <c r="S553" s="36"/>
      <c r="T553" s="36"/>
      <c r="U553" s="36"/>
      <c r="V553" s="36"/>
      <c r="W553" s="36"/>
      <c r="X553" s="36"/>
      <c r="Y553" s="36"/>
      <c r="Z553" s="36"/>
      <c r="AA553" s="36"/>
    </row>
    <row r="554" spans="1:27" x14ac:dyDescent="0.3">
      <c r="C554" t="s">
        <v>135</v>
      </c>
      <c r="D554" s="36"/>
      <c r="E554" s="36"/>
      <c r="F554" s="36"/>
      <c r="G554" s="36"/>
      <c r="H554" s="36"/>
      <c r="I554" s="36"/>
      <c r="J554" s="36"/>
      <c r="K554" s="36"/>
      <c r="L554" s="36"/>
      <c r="M554" s="36"/>
      <c r="N554" s="36"/>
      <c r="O554" s="36"/>
      <c r="P554" s="36"/>
      <c r="Q554" s="36"/>
      <c r="R554" s="36"/>
      <c r="S554" s="36"/>
      <c r="T554" s="36"/>
      <c r="U554" s="36"/>
      <c r="V554" s="36"/>
      <c r="W554" s="36"/>
      <c r="X554" s="36"/>
      <c r="Y554" s="36"/>
      <c r="Z554" s="36"/>
      <c r="AA554" s="36"/>
    </row>
    <row r="555" spans="1:27" x14ac:dyDescent="0.3">
      <c r="C555" t="s">
        <v>136</v>
      </c>
      <c r="D555" s="36">
        <v>40500</v>
      </c>
      <c r="E555" s="36">
        <v>0</v>
      </c>
      <c r="F555" s="36">
        <v>0</v>
      </c>
      <c r="G555" s="36">
        <v>0</v>
      </c>
      <c r="H555" s="36">
        <v>0</v>
      </c>
      <c r="I555" s="36">
        <v>0</v>
      </c>
      <c r="J555" s="36">
        <v>0</v>
      </c>
      <c r="K555" s="36">
        <v>0</v>
      </c>
      <c r="L555" s="36">
        <v>1584</v>
      </c>
      <c r="M555" s="36">
        <v>14752</v>
      </c>
      <c r="N555" s="36">
        <v>3168</v>
      </c>
      <c r="O555" s="36">
        <v>3168</v>
      </c>
      <c r="P555" s="36">
        <v>3168</v>
      </c>
      <c r="Q555" s="36">
        <v>3168</v>
      </c>
      <c r="R555" s="36">
        <v>1584</v>
      </c>
      <c r="S555" s="36">
        <v>1584</v>
      </c>
      <c r="T555" s="36">
        <v>0</v>
      </c>
      <c r="U555" s="36">
        <v>0</v>
      </c>
      <c r="V555" s="36">
        <v>0</v>
      </c>
      <c r="W555" s="36">
        <v>0</v>
      </c>
      <c r="X555" s="36">
        <v>0</v>
      </c>
      <c r="Y555" s="36">
        <v>0</v>
      </c>
      <c r="Z555" s="36">
        <v>0</v>
      </c>
      <c r="AA555" s="36">
        <v>0</v>
      </c>
    </row>
    <row r="556" spans="1:27" x14ac:dyDescent="0.3">
      <c r="C556" t="s">
        <v>124</v>
      </c>
      <c r="D556" s="36">
        <v>40500</v>
      </c>
      <c r="E556" s="36"/>
      <c r="F556" s="36"/>
      <c r="G556" s="36"/>
      <c r="H556" s="36"/>
      <c r="I556" s="36"/>
      <c r="J556" s="36"/>
      <c r="K556" s="36"/>
      <c r="L556" s="36">
        <v>1584</v>
      </c>
      <c r="M556" s="36">
        <v>14752</v>
      </c>
      <c r="N556" s="36">
        <v>3168</v>
      </c>
      <c r="O556" s="36">
        <v>3168</v>
      </c>
      <c r="P556" s="36">
        <v>3168</v>
      </c>
      <c r="Q556" s="36">
        <v>3168</v>
      </c>
      <c r="R556" s="36">
        <v>1584</v>
      </c>
      <c r="S556" s="36">
        <v>1584</v>
      </c>
      <c r="T556" s="36"/>
      <c r="U556" s="36"/>
      <c r="V556" s="36"/>
      <c r="W556" s="36"/>
      <c r="X556" s="36"/>
      <c r="Y556" s="36"/>
      <c r="Z556" s="36"/>
      <c r="AA556" s="36"/>
    </row>
    <row r="557" spans="1:27" x14ac:dyDescent="0.3">
      <c r="C557" t="s">
        <v>137</v>
      </c>
      <c r="D557" s="36"/>
      <c r="E557" s="36"/>
      <c r="F557" s="36"/>
      <c r="G557" s="36"/>
      <c r="H557" s="36"/>
      <c r="I557" s="36"/>
      <c r="J557" s="36"/>
      <c r="K557" s="36"/>
      <c r="L557" s="36"/>
      <c r="M557" s="36"/>
      <c r="N557" s="36"/>
      <c r="O557" s="36"/>
      <c r="P557" s="36"/>
      <c r="Q557" s="36"/>
      <c r="R557" s="36"/>
      <c r="S557" s="36"/>
      <c r="T557" s="36"/>
      <c r="U557" s="36"/>
      <c r="V557" s="36"/>
      <c r="W557" s="36"/>
      <c r="X557" s="36"/>
      <c r="Y557" s="36"/>
      <c r="Z557" s="36"/>
      <c r="AA557" s="36"/>
    </row>
    <row r="558" spans="1:27" x14ac:dyDescent="0.3">
      <c r="C558" t="s">
        <v>138</v>
      </c>
      <c r="D558" s="36"/>
      <c r="E558" s="36"/>
      <c r="F558" s="36"/>
      <c r="G558" s="36"/>
      <c r="H558" s="36"/>
      <c r="I558" s="36"/>
      <c r="J558" s="36"/>
      <c r="K558" s="36"/>
      <c r="L558" s="36"/>
      <c r="M558" s="36"/>
      <c r="N558" s="36"/>
      <c r="O558" s="36"/>
      <c r="P558" s="36"/>
      <c r="Q558" s="36"/>
      <c r="R558" s="36"/>
      <c r="S558" s="36"/>
      <c r="T558" s="36"/>
      <c r="U558" s="36"/>
      <c r="V558" s="36"/>
      <c r="W558" s="36"/>
      <c r="X558" s="36"/>
      <c r="Y558" s="36"/>
      <c r="Z558" s="36"/>
      <c r="AA558" s="36"/>
    </row>
    <row r="559" spans="1:27" x14ac:dyDescent="0.3">
      <c r="C559" t="s">
        <v>139</v>
      </c>
      <c r="D559" s="36">
        <v>40500</v>
      </c>
      <c r="E559" s="36"/>
      <c r="F559" s="36"/>
      <c r="G559" s="36"/>
      <c r="H559" s="36"/>
      <c r="I559" s="36"/>
      <c r="J559" s="36"/>
      <c r="K559" s="36"/>
      <c r="L559" s="36">
        <v>1584</v>
      </c>
      <c r="M559" s="36">
        <v>14752</v>
      </c>
      <c r="N559" s="36">
        <v>3168</v>
      </c>
      <c r="O559" s="36">
        <v>3168</v>
      </c>
      <c r="P559" s="36">
        <v>3168</v>
      </c>
      <c r="Q559" s="36">
        <v>3168</v>
      </c>
      <c r="R559" s="36">
        <v>1584</v>
      </c>
      <c r="S559" s="36">
        <v>1584</v>
      </c>
      <c r="T559" s="36"/>
      <c r="U559" s="36"/>
      <c r="V559" s="36"/>
      <c r="W559" s="36"/>
      <c r="X559" s="36"/>
      <c r="Y559" s="36"/>
      <c r="Z559" s="36"/>
      <c r="AA559" s="36"/>
    </row>
    <row r="560" spans="1:27" x14ac:dyDescent="0.3">
      <c r="C560" t="s">
        <v>140</v>
      </c>
      <c r="D560" s="36">
        <v>198833</v>
      </c>
      <c r="E560" s="36">
        <v>171809</v>
      </c>
      <c r="F560" s="36">
        <v>149175</v>
      </c>
      <c r="G560" s="36">
        <v>93775</v>
      </c>
      <c r="H560" s="36">
        <v>60543</v>
      </c>
      <c r="I560" s="36">
        <v>48355</v>
      </c>
      <c r="J560" s="36">
        <v>38343</v>
      </c>
      <c r="K560" s="36">
        <v>26312</v>
      </c>
      <c r="L560" s="36">
        <v>10624</v>
      </c>
      <c r="M560" s="36">
        <v>5289</v>
      </c>
      <c r="N560" s="36">
        <v>-4752</v>
      </c>
      <c r="O560" s="36">
        <v>-14619</v>
      </c>
      <c r="P560" s="36">
        <v>-23338</v>
      </c>
      <c r="Q560" s="36">
        <v>-28974</v>
      </c>
      <c r="R560" s="36">
        <v>-35726</v>
      </c>
      <c r="S560" s="36">
        <v>-42246</v>
      </c>
      <c r="T560" s="36">
        <v>-50406</v>
      </c>
      <c r="U560" s="36">
        <v>-57690</v>
      </c>
      <c r="V560" s="36">
        <v>-66618</v>
      </c>
      <c r="W560" s="36">
        <v>-75438</v>
      </c>
      <c r="X560" s="36">
        <v>-83480</v>
      </c>
      <c r="Y560" s="36">
        <v>-90812</v>
      </c>
      <c r="Z560" s="36">
        <v>-92954</v>
      </c>
      <c r="AA560" s="36">
        <v>-95172</v>
      </c>
    </row>
    <row r="561" spans="1:27" x14ac:dyDescent="0.3">
      <c r="C561" t="s">
        <v>141</v>
      </c>
      <c r="D561" s="36">
        <v>0</v>
      </c>
      <c r="E561" s="36">
        <v>0</v>
      </c>
      <c r="F561" s="36">
        <v>0</v>
      </c>
      <c r="G561" s="36">
        <v>0</v>
      </c>
      <c r="H561" s="36">
        <v>0</v>
      </c>
      <c r="I561" s="36">
        <v>0</v>
      </c>
      <c r="J561" s="36">
        <v>0</v>
      </c>
      <c r="K561" s="36">
        <v>0</v>
      </c>
      <c r="L561" s="36">
        <v>0</v>
      </c>
      <c r="M561" s="36">
        <v>0</v>
      </c>
      <c r="N561" s="36">
        <v>0</v>
      </c>
      <c r="O561" s="36">
        <v>0</v>
      </c>
      <c r="P561" s="36">
        <v>0</v>
      </c>
      <c r="Q561" s="36">
        <v>0</v>
      </c>
      <c r="R561" s="36">
        <v>0</v>
      </c>
      <c r="S561" s="36">
        <v>0</v>
      </c>
      <c r="T561" s="36">
        <v>0</v>
      </c>
      <c r="U561" s="36">
        <v>0</v>
      </c>
      <c r="V561" s="36">
        <v>0</v>
      </c>
      <c r="W561" s="36">
        <v>0</v>
      </c>
      <c r="X561" s="36">
        <v>0</v>
      </c>
      <c r="Y561" s="36">
        <v>0</v>
      </c>
      <c r="Z561" s="36">
        <v>0</v>
      </c>
      <c r="AA561" s="36">
        <v>0</v>
      </c>
    </row>
    <row r="562" spans="1:27" x14ac:dyDescent="0.3">
      <c r="B562" t="s">
        <v>177</v>
      </c>
      <c r="C562" t="s">
        <v>129</v>
      </c>
      <c r="D562" s="36">
        <v>0</v>
      </c>
      <c r="E562" s="36"/>
      <c r="F562" s="36"/>
      <c r="G562" s="36"/>
      <c r="H562" s="36"/>
      <c r="I562" s="36"/>
      <c r="J562" s="36"/>
      <c r="K562" s="36"/>
      <c r="L562" s="36"/>
      <c r="M562" s="36"/>
      <c r="N562" s="36"/>
      <c r="O562" s="36"/>
      <c r="P562" s="36"/>
      <c r="Q562" s="36"/>
      <c r="R562" s="36"/>
      <c r="S562" s="36"/>
      <c r="T562" s="36"/>
      <c r="U562" s="36"/>
      <c r="V562" s="36"/>
      <c r="W562" s="36"/>
      <c r="X562" s="36"/>
      <c r="Y562" s="36"/>
      <c r="Z562" s="36"/>
      <c r="AA562" s="36"/>
    </row>
    <row r="563" spans="1:27" x14ac:dyDescent="0.3">
      <c r="C563" t="s">
        <v>131</v>
      </c>
      <c r="D563" s="36">
        <v>1</v>
      </c>
      <c r="E563" s="36">
        <v>0</v>
      </c>
      <c r="F563" s="36">
        <v>0</v>
      </c>
      <c r="G563" s="36">
        <v>0</v>
      </c>
      <c r="H563" s="36">
        <v>0</v>
      </c>
      <c r="I563" s="36">
        <v>0</v>
      </c>
      <c r="J563" s="36">
        <v>0</v>
      </c>
      <c r="K563" s="36">
        <v>0</v>
      </c>
      <c r="L563" s="36">
        <v>0</v>
      </c>
      <c r="M563" s="36">
        <v>0</v>
      </c>
      <c r="N563" s="36">
        <v>0</v>
      </c>
      <c r="O563" s="36">
        <v>0</v>
      </c>
      <c r="P563" s="36">
        <v>0</v>
      </c>
      <c r="Q563" s="36">
        <v>0</v>
      </c>
      <c r="R563" s="36">
        <v>0</v>
      </c>
      <c r="S563" s="36">
        <v>0</v>
      </c>
      <c r="T563" s="36">
        <v>0</v>
      </c>
      <c r="U563" s="36">
        <v>0</v>
      </c>
      <c r="V563" s="36">
        <v>0</v>
      </c>
      <c r="W563" s="36">
        <v>0</v>
      </c>
      <c r="X563" s="36">
        <v>0</v>
      </c>
      <c r="Y563" s="36">
        <v>0</v>
      </c>
      <c r="Z563" s="36">
        <v>0</v>
      </c>
      <c r="AA563" s="36">
        <v>0</v>
      </c>
    </row>
    <row r="564" spans="1:27" x14ac:dyDescent="0.3">
      <c r="C564" t="s">
        <v>132</v>
      </c>
      <c r="D564" s="36"/>
      <c r="E564" s="36"/>
      <c r="F564" s="36"/>
      <c r="G564" s="36"/>
      <c r="H564" s="36"/>
      <c r="I564" s="36"/>
      <c r="J564" s="36"/>
      <c r="K564" s="36"/>
      <c r="L564" s="36"/>
      <c r="M564" s="36"/>
      <c r="N564" s="36"/>
      <c r="O564" s="36"/>
      <c r="P564" s="36"/>
      <c r="Q564" s="36"/>
      <c r="R564" s="36"/>
      <c r="S564" s="36"/>
      <c r="T564" s="36"/>
      <c r="U564" s="36"/>
      <c r="V564" s="36"/>
      <c r="W564" s="36"/>
      <c r="X564" s="36"/>
      <c r="Y564" s="36"/>
      <c r="Z564" s="36"/>
      <c r="AA564" s="36"/>
    </row>
    <row r="565" spans="1:27" x14ac:dyDescent="0.3">
      <c r="C565" t="s">
        <v>133</v>
      </c>
      <c r="D565" s="36"/>
      <c r="E565" s="36"/>
      <c r="F565" s="36"/>
      <c r="G565" s="36"/>
      <c r="H565" s="36"/>
      <c r="I565" s="36"/>
      <c r="J565" s="36"/>
      <c r="K565" s="36"/>
      <c r="L565" s="36"/>
      <c r="M565" s="36"/>
      <c r="N565" s="36"/>
      <c r="O565" s="36"/>
      <c r="P565" s="36"/>
      <c r="Q565" s="36"/>
      <c r="R565" s="36"/>
      <c r="S565" s="36"/>
      <c r="T565" s="36"/>
      <c r="U565" s="36"/>
      <c r="V565" s="36"/>
      <c r="W565" s="36"/>
      <c r="X565" s="36"/>
      <c r="Y565" s="36"/>
      <c r="Z565" s="36"/>
      <c r="AA565" s="36"/>
    </row>
    <row r="566" spans="1:27" x14ac:dyDescent="0.3">
      <c r="C566" t="s">
        <v>134</v>
      </c>
      <c r="D566" s="36"/>
      <c r="E566" s="36"/>
      <c r="F566" s="36"/>
      <c r="G566" s="36"/>
      <c r="H566" s="36"/>
      <c r="I566" s="36"/>
      <c r="J566" s="36"/>
      <c r="K566" s="36"/>
      <c r="L566" s="36"/>
      <c r="M566" s="36"/>
      <c r="N566" s="36"/>
      <c r="O566" s="36"/>
      <c r="P566" s="36"/>
      <c r="Q566" s="36"/>
      <c r="R566" s="36"/>
      <c r="S566" s="36"/>
      <c r="T566" s="36"/>
      <c r="U566" s="36"/>
      <c r="V566" s="36"/>
      <c r="W566" s="36"/>
      <c r="X566" s="36"/>
      <c r="Y566" s="36"/>
      <c r="Z566" s="36"/>
      <c r="AA566" s="36"/>
    </row>
    <row r="567" spans="1:27" x14ac:dyDescent="0.3">
      <c r="C567" t="s">
        <v>135</v>
      </c>
      <c r="D567" s="36"/>
      <c r="E567" s="36"/>
      <c r="F567" s="36"/>
      <c r="G567" s="36"/>
      <c r="H567" s="36"/>
      <c r="I567" s="36"/>
      <c r="J567" s="36"/>
      <c r="K567" s="36"/>
      <c r="L567" s="36"/>
      <c r="M567" s="36"/>
      <c r="N567" s="36"/>
      <c r="O567" s="36"/>
      <c r="P567" s="36"/>
      <c r="Q567" s="36"/>
      <c r="R567" s="36"/>
      <c r="S567" s="36"/>
      <c r="T567" s="36"/>
      <c r="U567" s="36"/>
      <c r="V567" s="36"/>
      <c r="W567" s="36"/>
      <c r="X567" s="36"/>
      <c r="Y567" s="36"/>
      <c r="Z567" s="36"/>
      <c r="AA567" s="36"/>
    </row>
    <row r="568" spans="1:27" x14ac:dyDescent="0.3">
      <c r="C568" t="s">
        <v>136</v>
      </c>
      <c r="D568" s="36">
        <v>0</v>
      </c>
      <c r="E568" s="36">
        <v>0</v>
      </c>
      <c r="F568" s="36">
        <v>0</v>
      </c>
      <c r="G568" s="36">
        <v>0</v>
      </c>
      <c r="H568" s="36">
        <v>0</v>
      </c>
      <c r="I568" s="36">
        <v>0</v>
      </c>
      <c r="J568" s="36">
        <v>0</v>
      </c>
      <c r="K568" s="36">
        <v>10000</v>
      </c>
      <c r="L568" s="36">
        <v>10000</v>
      </c>
      <c r="M568" s="36">
        <v>10000</v>
      </c>
      <c r="N568" s="36">
        <v>0</v>
      </c>
      <c r="O568" s="36">
        <v>0</v>
      </c>
      <c r="P568" s="36">
        <v>10000</v>
      </c>
      <c r="Q568" s="36">
        <v>0</v>
      </c>
      <c r="R568" s="36">
        <v>0</v>
      </c>
      <c r="S568" s="36">
        <v>0</v>
      </c>
      <c r="T568" s="36">
        <v>0</v>
      </c>
      <c r="U568" s="36">
        <v>0</v>
      </c>
      <c r="V568" s="36">
        <v>0</v>
      </c>
      <c r="W568" s="36">
        <v>0</v>
      </c>
      <c r="X568" s="36">
        <v>0</v>
      </c>
      <c r="Y568" s="36">
        <v>0</v>
      </c>
      <c r="Z568" s="36">
        <v>0</v>
      </c>
      <c r="AA568" s="36">
        <v>0</v>
      </c>
    </row>
    <row r="569" spans="1:27" x14ac:dyDescent="0.3">
      <c r="C569" t="s">
        <v>124</v>
      </c>
      <c r="D569" s="36"/>
      <c r="E569" s="36"/>
      <c r="F569" s="36"/>
      <c r="G569" s="36"/>
      <c r="H569" s="36"/>
      <c r="I569" s="36"/>
      <c r="J569" s="36"/>
      <c r="K569" s="36">
        <v>10000</v>
      </c>
      <c r="L569" s="36">
        <v>10000</v>
      </c>
      <c r="M569" s="36">
        <v>10000</v>
      </c>
      <c r="N569" s="36"/>
      <c r="O569" s="36"/>
      <c r="P569" s="36">
        <v>10000</v>
      </c>
      <c r="Q569" s="36"/>
      <c r="R569" s="36"/>
      <c r="S569" s="36"/>
      <c r="T569" s="36"/>
      <c r="U569" s="36"/>
      <c r="V569" s="36"/>
      <c r="W569" s="36"/>
      <c r="X569" s="36"/>
      <c r="Y569" s="36"/>
      <c r="Z569" s="36"/>
      <c r="AA569" s="36"/>
    </row>
    <row r="570" spans="1:27" x14ac:dyDescent="0.3">
      <c r="C570" t="s">
        <v>137</v>
      </c>
      <c r="D570" s="36"/>
      <c r="E570" s="36"/>
      <c r="F570" s="36"/>
      <c r="G570" s="36"/>
      <c r="H570" s="36"/>
      <c r="I570" s="36"/>
      <c r="J570" s="36"/>
      <c r="K570" s="36"/>
      <c r="L570" s="36"/>
      <c r="M570" s="36"/>
      <c r="N570" s="36"/>
      <c r="O570" s="36"/>
      <c r="P570" s="36"/>
      <c r="Q570" s="36"/>
      <c r="R570" s="36"/>
      <c r="S570" s="36"/>
      <c r="T570" s="36"/>
      <c r="U570" s="36"/>
      <c r="V570" s="36"/>
      <c r="W570" s="36"/>
      <c r="X570" s="36"/>
      <c r="Y570" s="36"/>
      <c r="Z570" s="36"/>
      <c r="AA570" s="36"/>
    </row>
    <row r="571" spans="1:27" x14ac:dyDescent="0.3">
      <c r="C571" t="s">
        <v>138</v>
      </c>
      <c r="D571" s="36"/>
      <c r="E571" s="36"/>
      <c r="F571" s="36"/>
      <c r="G571" s="36"/>
      <c r="H571" s="36"/>
      <c r="I571" s="36"/>
      <c r="J571" s="36"/>
      <c r="K571" s="36"/>
      <c r="L571" s="36"/>
      <c r="M571" s="36"/>
      <c r="N571" s="36"/>
      <c r="O571" s="36"/>
      <c r="P571" s="36"/>
      <c r="Q571" s="36"/>
      <c r="R571" s="36"/>
      <c r="S571" s="36"/>
      <c r="T571" s="36"/>
      <c r="U571" s="36"/>
      <c r="V571" s="36"/>
      <c r="W571" s="36"/>
      <c r="X571" s="36"/>
      <c r="Y571" s="36"/>
      <c r="Z571" s="36"/>
      <c r="AA571" s="36"/>
    </row>
    <row r="572" spans="1:27" x14ac:dyDescent="0.3">
      <c r="C572" t="s">
        <v>139</v>
      </c>
      <c r="D572" s="36"/>
      <c r="E572" s="36"/>
      <c r="F572" s="36"/>
      <c r="G572" s="36"/>
      <c r="H572" s="36"/>
      <c r="I572" s="36"/>
      <c r="J572" s="36"/>
      <c r="K572" s="36">
        <v>10000</v>
      </c>
      <c r="L572" s="36">
        <v>10000</v>
      </c>
      <c r="M572" s="36">
        <v>10000</v>
      </c>
      <c r="N572" s="36"/>
      <c r="O572" s="36"/>
      <c r="P572" s="36">
        <v>10000</v>
      </c>
      <c r="Q572" s="36"/>
      <c r="R572" s="36"/>
      <c r="S572" s="36"/>
      <c r="T572" s="36"/>
      <c r="U572" s="36"/>
      <c r="V572" s="36"/>
      <c r="W572" s="36"/>
      <c r="X572" s="36"/>
      <c r="Y572" s="36"/>
      <c r="Z572" s="36"/>
      <c r="AA572" s="36"/>
    </row>
    <row r="573" spans="1:27" x14ac:dyDescent="0.3">
      <c r="C573" t="s">
        <v>140</v>
      </c>
      <c r="D573" s="36">
        <v>-1</v>
      </c>
      <c r="E573" s="36">
        <v>-1</v>
      </c>
      <c r="F573" s="36">
        <v>-1</v>
      </c>
      <c r="G573" s="36">
        <v>-1</v>
      </c>
      <c r="H573" s="36">
        <v>-1</v>
      </c>
      <c r="I573" s="36">
        <v>-1</v>
      </c>
      <c r="J573" s="36">
        <v>-1</v>
      </c>
      <c r="K573" s="36">
        <v>9999</v>
      </c>
      <c r="L573" s="36">
        <v>19999</v>
      </c>
      <c r="M573" s="36">
        <v>29999</v>
      </c>
      <c r="N573" s="36">
        <v>29999</v>
      </c>
      <c r="O573" s="36">
        <v>29999</v>
      </c>
      <c r="P573" s="36">
        <v>39999</v>
      </c>
      <c r="Q573" s="36">
        <v>39999</v>
      </c>
      <c r="R573" s="36">
        <v>39999</v>
      </c>
      <c r="S573" s="36">
        <v>39999</v>
      </c>
      <c r="T573" s="36">
        <v>39999</v>
      </c>
      <c r="U573" s="36">
        <v>39999</v>
      </c>
      <c r="V573" s="36">
        <v>39999</v>
      </c>
      <c r="W573" s="36">
        <v>39999</v>
      </c>
      <c r="X573" s="36">
        <v>39999</v>
      </c>
      <c r="Y573" s="36">
        <v>39999</v>
      </c>
      <c r="Z573" s="36">
        <v>39999</v>
      </c>
      <c r="AA573" s="36">
        <v>39999</v>
      </c>
    </row>
    <row r="574" spans="1:27" x14ac:dyDescent="0.3">
      <c r="C574" t="s">
        <v>141</v>
      </c>
      <c r="D574" s="36">
        <v>0</v>
      </c>
      <c r="E574" s="36">
        <v>0</v>
      </c>
      <c r="F574" s="36">
        <v>0</v>
      </c>
      <c r="G574" s="36">
        <v>0</v>
      </c>
      <c r="H574" s="36">
        <v>0</v>
      </c>
      <c r="I574" s="36">
        <v>0</v>
      </c>
      <c r="J574" s="36">
        <v>0</v>
      </c>
      <c r="K574" s="36">
        <v>0</v>
      </c>
      <c r="L574" s="36">
        <v>0</v>
      </c>
      <c r="M574" s="36">
        <v>0</v>
      </c>
      <c r="N574" s="36">
        <v>0</v>
      </c>
      <c r="O574" s="36">
        <v>0</v>
      </c>
      <c r="P574" s="36">
        <v>0</v>
      </c>
      <c r="Q574" s="36">
        <v>0</v>
      </c>
      <c r="R574" s="36">
        <v>0</v>
      </c>
      <c r="S574" s="36">
        <v>0</v>
      </c>
      <c r="T574" s="36">
        <v>0</v>
      </c>
      <c r="U574" s="36">
        <v>0</v>
      </c>
      <c r="V574" s="36">
        <v>0</v>
      </c>
      <c r="W574" s="36">
        <v>0</v>
      </c>
      <c r="X574" s="36">
        <v>0</v>
      </c>
      <c r="Y574" s="36">
        <v>0</v>
      </c>
      <c r="Z574" s="36">
        <v>0</v>
      </c>
      <c r="AA574" s="36">
        <v>0</v>
      </c>
    </row>
    <row r="575" spans="1:27" x14ac:dyDescent="0.3">
      <c r="A575" t="s">
        <v>194</v>
      </c>
      <c r="B575" t="s">
        <v>195</v>
      </c>
      <c r="C575" t="s">
        <v>129</v>
      </c>
      <c r="D575" s="36">
        <v>10941</v>
      </c>
      <c r="E575" s="36"/>
      <c r="F575" s="36"/>
      <c r="G575" s="36"/>
      <c r="H575" s="36"/>
      <c r="I575" s="36"/>
      <c r="J575" s="36"/>
      <c r="K575" s="36"/>
      <c r="L575" s="36"/>
      <c r="M575" s="36"/>
      <c r="N575" s="36"/>
      <c r="O575" s="36"/>
      <c r="P575" s="36"/>
      <c r="Q575" s="36"/>
      <c r="R575" s="36"/>
      <c r="S575" s="36"/>
      <c r="T575" s="36"/>
      <c r="U575" s="36"/>
      <c r="V575" s="36"/>
      <c r="W575" s="36"/>
      <c r="X575" s="36"/>
      <c r="Y575" s="36"/>
      <c r="Z575" s="36"/>
      <c r="AA575" s="36"/>
    </row>
    <row r="576" spans="1:27" x14ac:dyDescent="0.3">
      <c r="C576" t="s">
        <v>131</v>
      </c>
      <c r="D576" s="36">
        <v>588</v>
      </c>
      <c r="E576" s="36">
        <v>409</v>
      </c>
      <c r="F576" s="36">
        <v>604</v>
      </c>
      <c r="G576" s="36">
        <v>230</v>
      </c>
      <c r="H576" s="36">
        <v>556</v>
      </c>
      <c r="I576" s="36">
        <v>389</v>
      </c>
      <c r="J576" s="36">
        <v>189</v>
      </c>
      <c r="K576" s="36">
        <v>1486</v>
      </c>
      <c r="L576" s="36">
        <v>460</v>
      </c>
      <c r="M576" s="36">
        <v>460</v>
      </c>
      <c r="N576" s="36">
        <v>60</v>
      </c>
      <c r="O576" s="36">
        <v>56</v>
      </c>
      <c r="P576" s="36">
        <v>50</v>
      </c>
      <c r="Q576" s="36">
        <v>50</v>
      </c>
      <c r="R576" s="36">
        <v>0</v>
      </c>
      <c r="S576" s="36">
        <v>6</v>
      </c>
      <c r="T576" s="36">
        <v>0</v>
      </c>
      <c r="U576" s="36">
        <v>0</v>
      </c>
      <c r="V576" s="36">
        <v>0</v>
      </c>
      <c r="W576" s="36">
        <v>0</v>
      </c>
      <c r="X576" s="36">
        <v>0</v>
      </c>
      <c r="Y576" s="36">
        <v>0</v>
      </c>
      <c r="Z576" s="36">
        <v>0</v>
      </c>
      <c r="AA576" s="36">
        <v>0</v>
      </c>
    </row>
    <row r="577" spans="2:27" x14ac:dyDescent="0.3">
      <c r="C577" t="s">
        <v>132</v>
      </c>
      <c r="D577" s="36">
        <v>1296</v>
      </c>
      <c r="E577" s="36"/>
      <c r="F577" s="36"/>
      <c r="G577" s="36"/>
      <c r="H577" s="36"/>
      <c r="I577" s="36"/>
      <c r="J577" s="36"/>
      <c r="K577" s="36"/>
      <c r="L577" s="36"/>
      <c r="M577" s="36"/>
      <c r="N577" s="36"/>
      <c r="O577" s="36"/>
      <c r="P577" s="36"/>
      <c r="Q577" s="36"/>
      <c r="R577" s="36"/>
      <c r="S577" s="36"/>
      <c r="T577" s="36"/>
      <c r="U577" s="36"/>
      <c r="V577" s="36"/>
      <c r="W577" s="36"/>
      <c r="X577" s="36"/>
      <c r="Y577" s="36"/>
      <c r="Z577" s="36"/>
      <c r="AA577" s="36"/>
    </row>
    <row r="578" spans="2:27" x14ac:dyDescent="0.3">
      <c r="C578" t="s">
        <v>133</v>
      </c>
      <c r="D578" s="36">
        <v>0</v>
      </c>
      <c r="E578" s="36"/>
      <c r="F578" s="36"/>
      <c r="G578" s="36"/>
      <c r="H578" s="36"/>
      <c r="I578" s="36"/>
      <c r="J578" s="36"/>
      <c r="K578" s="36"/>
      <c r="L578" s="36"/>
      <c r="M578" s="36"/>
      <c r="N578" s="36"/>
      <c r="O578" s="36"/>
      <c r="P578" s="36"/>
      <c r="Q578" s="36"/>
      <c r="R578" s="36"/>
      <c r="S578" s="36"/>
      <c r="T578" s="36"/>
      <c r="U578" s="36"/>
      <c r="V578" s="36"/>
      <c r="W578" s="36"/>
      <c r="X578" s="36"/>
      <c r="Y578" s="36"/>
      <c r="Z578" s="36"/>
      <c r="AA578" s="36"/>
    </row>
    <row r="579" spans="2:27" x14ac:dyDescent="0.3">
      <c r="C579" t="s">
        <v>134</v>
      </c>
      <c r="D579" s="36">
        <v>0</v>
      </c>
      <c r="E579" s="36"/>
      <c r="F579" s="36"/>
      <c r="G579" s="36"/>
      <c r="H579" s="36"/>
      <c r="I579" s="36"/>
      <c r="J579" s="36"/>
      <c r="K579" s="36"/>
      <c r="L579" s="36"/>
      <c r="M579" s="36"/>
      <c r="N579" s="36"/>
      <c r="O579" s="36"/>
      <c r="P579" s="36"/>
      <c r="Q579" s="36"/>
      <c r="R579" s="36"/>
      <c r="S579" s="36"/>
      <c r="T579" s="36"/>
      <c r="U579" s="36"/>
      <c r="V579" s="36"/>
      <c r="W579" s="36"/>
      <c r="X579" s="36"/>
      <c r="Y579" s="36"/>
      <c r="Z579" s="36"/>
      <c r="AA579" s="36"/>
    </row>
    <row r="580" spans="2:27" x14ac:dyDescent="0.3">
      <c r="C580" t="s">
        <v>135</v>
      </c>
      <c r="D580" s="36"/>
      <c r="E580" s="36"/>
      <c r="F580" s="36"/>
      <c r="G580" s="36"/>
      <c r="H580" s="36"/>
      <c r="I580" s="36"/>
      <c r="J580" s="36"/>
      <c r="K580" s="36"/>
      <c r="L580" s="36"/>
      <c r="M580" s="36"/>
      <c r="N580" s="36"/>
      <c r="O580" s="36"/>
      <c r="P580" s="36"/>
      <c r="Q580" s="36"/>
      <c r="R580" s="36"/>
      <c r="S580" s="36"/>
      <c r="T580" s="36"/>
      <c r="U580" s="36"/>
      <c r="V580" s="36"/>
      <c r="W580" s="36"/>
      <c r="X580" s="36"/>
      <c r="Y580" s="36"/>
      <c r="Z580" s="36"/>
      <c r="AA580" s="36"/>
    </row>
    <row r="581" spans="2:27" x14ac:dyDescent="0.3">
      <c r="C581" t="s">
        <v>136</v>
      </c>
      <c r="D581" s="36">
        <v>0</v>
      </c>
      <c r="E581" s="36">
        <v>0</v>
      </c>
      <c r="F581" s="36">
        <v>0</v>
      </c>
      <c r="G581" s="36">
        <v>0</v>
      </c>
      <c r="H581" s="36">
        <v>0</v>
      </c>
      <c r="I581" s="36">
        <v>0</v>
      </c>
      <c r="J581" s="36">
        <v>0</v>
      </c>
      <c r="K581" s="36">
        <v>2106</v>
      </c>
      <c r="L581" s="36">
        <v>0</v>
      </c>
      <c r="M581" s="36">
        <v>0</v>
      </c>
      <c r="N581" s="36">
        <v>0</v>
      </c>
      <c r="O581" s="36">
        <v>0</v>
      </c>
      <c r="P581" s="36">
        <v>0</v>
      </c>
      <c r="Q581" s="36">
        <v>0</v>
      </c>
      <c r="R581" s="36">
        <v>0</v>
      </c>
      <c r="S581" s="36">
        <v>0</v>
      </c>
      <c r="T581" s="36">
        <v>0</v>
      </c>
      <c r="U581" s="36">
        <v>0</v>
      </c>
      <c r="V581" s="36">
        <v>0</v>
      </c>
      <c r="W581" s="36">
        <v>0</v>
      </c>
      <c r="X581" s="36">
        <v>0</v>
      </c>
      <c r="Y581" s="36">
        <v>0</v>
      </c>
      <c r="Z581" s="36">
        <v>0</v>
      </c>
      <c r="AA581" s="36">
        <v>0</v>
      </c>
    </row>
    <row r="582" spans="2:27" x14ac:dyDescent="0.3">
      <c r="C582" t="s">
        <v>124</v>
      </c>
      <c r="D582" s="36"/>
      <c r="E582" s="36"/>
      <c r="F582" s="36"/>
      <c r="G582" s="36"/>
      <c r="H582" s="36"/>
      <c r="I582" s="36"/>
      <c r="J582" s="36"/>
      <c r="K582" s="36">
        <v>2106</v>
      </c>
      <c r="L582" s="36"/>
      <c r="M582" s="36"/>
      <c r="N582" s="36"/>
      <c r="O582" s="36"/>
      <c r="P582" s="36"/>
      <c r="Q582" s="36"/>
      <c r="R582" s="36"/>
      <c r="S582" s="36"/>
      <c r="T582" s="36"/>
      <c r="U582" s="36"/>
      <c r="V582" s="36"/>
      <c r="W582" s="36"/>
      <c r="X582" s="36"/>
      <c r="Y582" s="36"/>
      <c r="Z582" s="36"/>
      <c r="AA582" s="36"/>
    </row>
    <row r="583" spans="2:27" x14ac:dyDescent="0.3">
      <c r="C583" t="s">
        <v>137</v>
      </c>
      <c r="D583" s="36"/>
      <c r="E583" s="36"/>
      <c r="F583" s="36"/>
      <c r="G583" s="36"/>
      <c r="H583" s="36"/>
      <c r="I583" s="36"/>
      <c r="J583" s="36"/>
      <c r="K583" s="36"/>
      <c r="L583" s="36"/>
      <c r="M583" s="36"/>
      <c r="N583" s="36"/>
      <c r="O583" s="36"/>
      <c r="P583" s="36"/>
      <c r="Q583" s="36"/>
      <c r="R583" s="36"/>
      <c r="S583" s="36"/>
      <c r="T583" s="36"/>
      <c r="U583" s="36"/>
      <c r="V583" s="36"/>
      <c r="W583" s="36"/>
      <c r="X583" s="36"/>
      <c r="Y583" s="36"/>
      <c r="Z583" s="36"/>
      <c r="AA583" s="36"/>
    </row>
    <row r="584" spans="2:27" x14ac:dyDescent="0.3">
      <c r="C584" t="s">
        <v>138</v>
      </c>
      <c r="D584" s="36"/>
      <c r="E584" s="36"/>
      <c r="F584" s="36"/>
      <c r="G584" s="36"/>
      <c r="H584" s="36"/>
      <c r="I584" s="36"/>
      <c r="J584" s="36"/>
      <c r="K584" s="36"/>
      <c r="L584" s="36"/>
      <c r="M584" s="36"/>
      <c r="N584" s="36"/>
      <c r="O584" s="36"/>
      <c r="P584" s="36"/>
      <c r="Q584" s="36"/>
      <c r="R584" s="36"/>
      <c r="S584" s="36"/>
      <c r="T584" s="36"/>
      <c r="U584" s="36"/>
      <c r="V584" s="36"/>
      <c r="W584" s="36"/>
      <c r="X584" s="36"/>
      <c r="Y584" s="36"/>
      <c r="Z584" s="36"/>
      <c r="AA584" s="36"/>
    </row>
    <row r="585" spans="2:27" x14ac:dyDescent="0.3">
      <c r="C585" t="s">
        <v>139</v>
      </c>
      <c r="D585" s="36"/>
      <c r="E585" s="36"/>
      <c r="F585" s="36"/>
      <c r="G585" s="36"/>
      <c r="H585" s="36"/>
      <c r="I585" s="36"/>
      <c r="J585" s="36"/>
      <c r="K585" s="36">
        <v>2106</v>
      </c>
      <c r="L585" s="36"/>
      <c r="M585" s="36"/>
      <c r="N585" s="36"/>
      <c r="O585" s="36"/>
      <c r="P585" s="36"/>
      <c r="Q585" s="36"/>
      <c r="R585" s="36"/>
      <c r="S585" s="36"/>
      <c r="T585" s="36"/>
      <c r="U585" s="36"/>
      <c r="V585" s="36"/>
      <c r="W585" s="36"/>
      <c r="X585" s="36"/>
      <c r="Y585" s="36"/>
      <c r="Z585" s="36"/>
      <c r="AA585" s="36"/>
    </row>
    <row r="586" spans="2:27" x14ac:dyDescent="0.3">
      <c r="C586" t="s">
        <v>140</v>
      </c>
      <c r="D586" s="36">
        <v>-10233</v>
      </c>
      <c r="E586" s="36">
        <v>-10642</v>
      </c>
      <c r="F586" s="36">
        <v>-11246</v>
      </c>
      <c r="G586" s="36">
        <v>-11476</v>
      </c>
      <c r="H586" s="36">
        <v>-12032</v>
      </c>
      <c r="I586" s="36">
        <v>-12421</v>
      </c>
      <c r="J586" s="36">
        <v>-12610</v>
      </c>
      <c r="K586" s="36">
        <v>-11990</v>
      </c>
      <c r="L586" s="36">
        <v>-12450</v>
      </c>
      <c r="M586" s="36">
        <v>-12910</v>
      </c>
      <c r="N586" s="36">
        <v>-12970</v>
      </c>
      <c r="O586" s="36">
        <v>-13026</v>
      </c>
      <c r="P586" s="36">
        <v>-13076</v>
      </c>
      <c r="Q586" s="36">
        <v>-13126</v>
      </c>
      <c r="R586" s="36">
        <v>-13126</v>
      </c>
      <c r="S586" s="36">
        <v>-13132</v>
      </c>
      <c r="T586" s="36">
        <v>-13132</v>
      </c>
      <c r="U586" s="36">
        <v>-13132</v>
      </c>
      <c r="V586" s="36">
        <v>-13132</v>
      </c>
      <c r="W586" s="36">
        <v>-13132</v>
      </c>
      <c r="X586" s="36">
        <v>-13132</v>
      </c>
      <c r="Y586" s="36">
        <v>-13132</v>
      </c>
      <c r="Z586" s="36">
        <v>-13132</v>
      </c>
      <c r="AA586" s="36">
        <v>-13132</v>
      </c>
    </row>
    <row r="587" spans="2:27" x14ac:dyDescent="0.3">
      <c r="C587" t="s">
        <v>141</v>
      </c>
      <c r="D587" s="36">
        <v>0</v>
      </c>
      <c r="E587" s="36">
        <v>0</v>
      </c>
      <c r="F587" s="36">
        <v>0</v>
      </c>
      <c r="G587" s="36">
        <v>0</v>
      </c>
      <c r="H587" s="36">
        <v>0</v>
      </c>
      <c r="I587" s="36">
        <v>0</v>
      </c>
      <c r="J587" s="36">
        <v>0</v>
      </c>
      <c r="K587" s="36">
        <v>0</v>
      </c>
      <c r="L587" s="36">
        <v>0</v>
      </c>
      <c r="M587" s="36">
        <v>0</v>
      </c>
      <c r="N587" s="36">
        <v>0</v>
      </c>
      <c r="O587" s="36">
        <v>0</v>
      </c>
      <c r="P587" s="36">
        <v>0</v>
      </c>
      <c r="Q587" s="36">
        <v>0</v>
      </c>
      <c r="R587" s="36">
        <v>0</v>
      </c>
      <c r="S587" s="36">
        <v>0</v>
      </c>
      <c r="T587" s="36">
        <v>0</v>
      </c>
      <c r="U587" s="36">
        <v>0</v>
      </c>
      <c r="V587" s="36">
        <v>0</v>
      </c>
      <c r="W587" s="36">
        <v>0</v>
      </c>
      <c r="X587" s="36">
        <v>0</v>
      </c>
      <c r="Y587" s="36">
        <v>0</v>
      </c>
      <c r="Z587" s="36">
        <v>0</v>
      </c>
      <c r="AA587" s="36">
        <v>0</v>
      </c>
    </row>
    <row r="588" spans="2:27" x14ac:dyDescent="0.3">
      <c r="B588" t="s">
        <v>177</v>
      </c>
      <c r="C588" t="s">
        <v>129</v>
      </c>
      <c r="D588" s="36">
        <v>597</v>
      </c>
      <c r="E588" s="36"/>
      <c r="F588" s="36"/>
      <c r="G588" s="36"/>
      <c r="H588" s="36"/>
      <c r="I588" s="36"/>
      <c r="J588" s="36"/>
      <c r="K588" s="36"/>
      <c r="L588" s="36"/>
      <c r="M588" s="36"/>
      <c r="N588" s="36"/>
      <c r="O588" s="36"/>
      <c r="P588" s="36"/>
      <c r="Q588" s="36"/>
      <c r="R588" s="36"/>
      <c r="S588" s="36"/>
      <c r="T588" s="36"/>
      <c r="U588" s="36"/>
      <c r="V588" s="36"/>
      <c r="W588" s="36"/>
      <c r="X588" s="36"/>
      <c r="Y588" s="36"/>
      <c r="Z588" s="36"/>
      <c r="AA588" s="36"/>
    </row>
    <row r="589" spans="2:27" x14ac:dyDescent="0.3">
      <c r="C589" t="s">
        <v>131</v>
      </c>
      <c r="D589" s="36">
        <v>200</v>
      </c>
      <c r="E589" s="36">
        <v>2630</v>
      </c>
      <c r="F589" s="36">
        <v>12285</v>
      </c>
      <c r="G589" s="36">
        <v>7761</v>
      </c>
      <c r="H589" s="36">
        <v>11765</v>
      </c>
      <c r="I589" s="36">
        <v>7577</v>
      </c>
      <c r="J589" s="36">
        <v>6882</v>
      </c>
      <c r="K589" s="36">
        <v>3393</v>
      </c>
      <c r="L589" s="36">
        <v>3887</v>
      </c>
      <c r="M589" s="36">
        <v>3805</v>
      </c>
      <c r="N589" s="36">
        <v>2270</v>
      </c>
      <c r="O589" s="36">
        <v>2981</v>
      </c>
      <c r="P589" s="36">
        <v>2735</v>
      </c>
      <c r="Q589" s="36">
        <v>2320</v>
      </c>
      <c r="R589" s="36">
        <v>3030</v>
      </c>
      <c r="S589" s="36">
        <v>2466</v>
      </c>
      <c r="T589" s="36">
        <v>1640</v>
      </c>
      <c r="U589" s="36">
        <v>1665</v>
      </c>
      <c r="V589" s="36">
        <v>914</v>
      </c>
      <c r="W589" s="36">
        <v>875</v>
      </c>
      <c r="X589" s="36">
        <v>314</v>
      </c>
      <c r="Y589" s="36">
        <v>354</v>
      </c>
      <c r="Z589" s="36">
        <v>177</v>
      </c>
      <c r="AA589" s="36">
        <v>67</v>
      </c>
    </row>
    <row r="590" spans="2:27" x14ac:dyDescent="0.3">
      <c r="C590" t="s">
        <v>132</v>
      </c>
      <c r="D590" s="36">
        <v>9072</v>
      </c>
      <c r="E590" s="36"/>
      <c r="F590" s="36"/>
      <c r="G590" s="36"/>
      <c r="H590" s="36"/>
      <c r="I590" s="36"/>
      <c r="J590" s="36"/>
      <c r="K590" s="36"/>
      <c r="L590" s="36"/>
      <c r="M590" s="36"/>
      <c r="N590" s="36"/>
      <c r="O590" s="36"/>
      <c r="P590" s="36"/>
      <c r="Q590" s="36"/>
      <c r="R590" s="36"/>
      <c r="S590" s="36"/>
      <c r="T590" s="36"/>
      <c r="U590" s="36"/>
      <c r="V590" s="36"/>
      <c r="W590" s="36"/>
      <c r="X590" s="36"/>
      <c r="Y590" s="36"/>
      <c r="Z590" s="36"/>
      <c r="AA590" s="36"/>
    </row>
    <row r="591" spans="2:27" x14ac:dyDescent="0.3">
      <c r="C591" t="s">
        <v>133</v>
      </c>
      <c r="D591" s="36">
        <v>0</v>
      </c>
      <c r="E591" s="36"/>
      <c r="F591" s="36"/>
      <c r="G591" s="36"/>
      <c r="H591" s="36"/>
      <c r="I591" s="36"/>
      <c r="J591" s="36"/>
      <c r="K591" s="36"/>
      <c r="L591" s="36"/>
      <c r="M591" s="36"/>
      <c r="N591" s="36"/>
      <c r="O591" s="36"/>
      <c r="P591" s="36"/>
      <c r="Q591" s="36"/>
      <c r="R591" s="36"/>
      <c r="S591" s="36"/>
      <c r="T591" s="36"/>
      <c r="U591" s="36"/>
      <c r="V591" s="36"/>
      <c r="W591" s="36"/>
      <c r="X591" s="36"/>
      <c r="Y591" s="36"/>
      <c r="Z591" s="36"/>
      <c r="AA591" s="36"/>
    </row>
    <row r="592" spans="2:27" x14ac:dyDescent="0.3">
      <c r="C592" t="s">
        <v>134</v>
      </c>
      <c r="D592" s="36">
        <v>28</v>
      </c>
      <c r="E592" s="36"/>
      <c r="F592" s="36"/>
      <c r="G592" s="36"/>
      <c r="H592" s="36"/>
      <c r="I592" s="36"/>
      <c r="J592" s="36"/>
      <c r="K592" s="36"/>
      <c r="L592" s="36"/>
      <c r="M592" s="36"/>
      <c r="N592" s="36"/>
      <c r="O592" s="36"/>
      <c r="P592" s="36"/>
      <c r="Q592" s="36"/>
      <c r="R592" s="36"/>
      <c r="S592" s="36"/>
      <c r="T592" s="36"/>
      <c r="U592" s="36"/>
      <c r="V592" s="36"/>
      <c r="W592" s="36"/>
      <c r="X592" s="36"/>
      <c r="Y592" s="36"/>
      <c r="Z592" s="36"/>
      <c r="AA592" s="36"/>
    </row>
    <row r="593" spans="1:27" x14ac:dyDescent="0.3">
      <c r="C593" t="s">
        <v>135</v>
      </c>
      <c r="D593" s="36"/>
      <c r="E593" s="36"/>
      <c r="F593" s="36"/>
      <c r="G593" s="36"/>
      <c r="H593" s="36"/>
      <c r="I593" s="36"/>
      <c r="J593" s="36"/>
      <c r="K593" s="36"/>
      <c r="L593" s="36"/>
      <c r="M593" s="36"/>
      <c r="N593" s="36"/>
      <c r="O593" s="36"/>
      <c r="P593" s="36"/>
      <c r="Q593" s="36"/>
      <c r="R593" s="36"/>
      <c r="S593" s="36"/>
      <c r="T593" s="36"/>
      <c r="U593" s="36"/>
      <c r="V593" s="36"/>
      <c r="W593" s="36"/>
      <c r="X593" s="36"/>
      <c r="Y593" s="36"/>
      <c r="Z593" s="36"/>
      <c r="AA593" s="36"/>
    </row>
    <row r="594" spans="1:27" x14ac:dyDescent="0.3">
      <c r="C594" t="s">
        <v>136</v>
      </c>
      <c r="D594" s="36">
        <v>0</v>
      </c>
      <c r="E594" s="36">
        <v>0</v>
      </c>
      <c r="F594" s="36">
        <v>0</v>
      </c>
      <c r="G594" s="36">
        <v>0</v>
      </c>
      <c r="H594" s="36">
        <v>9072</v>
      </c>
      <c r="I594" s="36">
        <v>0</v>
      </c>
      <c r="J594" s="36">
        <v>0</v>
      </c>
      <c r="K594" s="36">
        <v>5357</v>
      </c>
      <c r="L594" s="36">
        <v>0</v>
      </c>
      <c r="M594" s="36">
        <v>0</v>
      </c>
      <c r="N594" s="36">
        <v>0</v>
      </c>
      <c r="O594" s="36">
        <v>0</v>
      </c>
      <c r="P594" s="36">
        <v>0</v>
      </c>
      <c r="Q594" s="36">
        <v>0</v>
      </c>
      <c r="R594" s="36">
        <v>0</v>
      </c>
      <c r="S594" s="36">
        <v>0</v>
      </c>
      <c r="T594" s="36">
        <v>0</v>
      </c>
      <c r="U594" s="36">
        <v>0</v>
      </c>
      <c r="V594" s="36">
        <v>0</v>
      </c>
      <c r="W594" s="36">
        <v>0</v>
      </c>
      <c r="X594" s="36">
        <v>0</v>
      </c>
      <c r="Y594" s="36">
        <v>0</v>
      </c>
      <c r="Z594" s="36">
        <v>0</v>
      </c>
      <c r="AA594" s="36">
        <v>0</v>
      </c>
    </row>
    <row r="595" spans="1:27" x14ac:dyDescent="0.3">
      <c r="C595" t="s">
        <v>124</v>
      </c>
      <c r="D595" s="36"/>
      <c r="E595" s="36"/>
      <c r="F595" s="36"/>
      <c r="G595" s="36"/>
      <c r="H595" s="36">
        <v>9072</v>
      </c>
      <c r="I595" s="36"/>
      <c r="J595" s="36"/>
      <c r="K595" s="36">
        <v>5357</v>
      </c>
      <c r="L595" s="36"/>
      <c r="M595" s="36"/>
      <c r="N595" s="36"/>
      <c r="O595" s="36"/>
      <c r="P595" s="36"/>
      <c r="Q595" s="36"/>
      <c r="R595" s="36"/>
      <c r="S595" s="36"/>
      <c r="T595" s="36"/>
      <c r="U595" s="36"/>
      <c r="V595" s="36"/>
      <c r="W595" s="36"/>
      <c r="X595" s="36"/>
      <c r="Y595" s="36"/>
      <c r="Z595" s="36"/>
      <c r="AA595" s="36"/>
    </row>
    <row r="596" spans="1:27" x14ac:dyDescent="0.3">
      <c r="C596" t="s">
        <v>137</v>
      </c>
      <c r="D596" s="36"/>
      <c r="E596" s="36"/>
      <c r="F596" s="36"/>
      <c r="G596" s="36"/>
      <c r="H596" s="36"/>
      <c r="I596" s="36"/>
      <c r="J596" s="36"/>
      <c r="K596" s="36"/>
      <c r="L596" s="36"/>
      <c r="M596" s="36"/>
      <c r="N596" s="36"/>
      <c r="O596" s="36"/>
      <c r="P596" s="36"/>
      <c r="Q596" s="36"/>
      <c r="R596" s="36"/>
      <c r="S596" s="36"/>
      <c r="T596" s="36"/>
      <c r="U596" s="36"/>
      <c r="V596" s="36"/>
      <c r="W596" s="36"/>
      <c r="X596" s="36"/>
      <c r="Y596" s="36"/>
      <c r="Z596" s="36"/>
      <c r="AA596" s="36"/>
    </row>
    <row r="597" spans="1:27" x14ac:dyDescent="0.3">
      <c r="C597" t="s">
        <v>138</v>
      </c>
      <c r="D597" s="36"/>
      <c r="E597" s="36"/>
      <c r="F597" s="36"/>
      <c r="G597" s="36"/>
      <c r="H597" s="36"/>
      <c r="I597" s="36"/>
      <c r="J597" s="36"/>
      <c r="K597" s="36"/>
      <c r="L597" s="36"/>
      <c r="M597" s="36"/>
      <c r="N597" s="36"/>
      <c r="O597" s="36"/>
      <c r="P597" s="36"/>
      <c r="Q597" s="36"/>
      <c r="R597" s="36"/>
      <c r="S597" s="36"/>
      <c r="T597" s="36"/>
      <c r="U597" s="36"/>
      <c r="V597" s="36"/>
      <c r="W597" s="36"/>
      <c r="X597" s="36"/>
      <c r="Y597" s="36"/>
      <c r="Z597" s="36"/>
      <c r="AA597" s="36"/>
    </row>
    <row r="598" spans="1:27" x14ac:dyDescent="0.3">
      <c r="C598" t="s">
        <v>139</v>
      </c>
      <c r="D598" s="36"/>
      <c r="E598" s="36"/>
      <c r="F598" s="36"/>
      <c r="G598" s="36"/>
      <c r="H598" s="36">
        <v>9072</v>
      </c>
      <c r="I598" s="36"/>
      <c r="J598" s="36"/>
      <c r="K598" s="36">
        <v>5357</v>
      </c>
      <c r="L598" s="36"/>
      <c r="M598" s="36"/>
      <c r="N598" s="36"/>
      <c r="O598" s="36"/>
      <c r="P598" s="36"/>
      <c r="Q598" s="36"/>
      <c r="R598" s="36"/>
      <c r="S598" s="36"/>
      <c r="T598" s="36"/>
      <c r="U598" s="36"/>
      <c r="V598" s="36"/>
      <c r="W598" s="36"/>
      <c r="X598" s="36"/>
      <c r="Y598" s="36"/>
      <c r="Z598" s="36"/>
      <c r="AA598" s="36"/>
    </row>
    <row r="599" spans="1:27" x14ac:dyDescent="0.3">
      <c r="C599" t="s">
        <v>140</v>
      </c>
      <c r="D599" s="36">
        <v>8303</v>
      </c>
      <c r="E599" s="36">
        <v>5673</v>
      </c>
      <c r="F599" s="36">
        <v>-6612</v>
      </c>
      <c r="G599" s="36">
        <v>-14373</v>
      </c>
      <c r="H599" s="36">
        <v>-17066</v>
      </c>
      <c r="I599" s="36">
        <v>-24643</v>
      </c>
      <c r="J599" s="36">
        <v>-31525</v>
      </c>
      <c r="K599" s="36">
        <v>-29561</v>
      </c>
      <c r="L599" s="36">
        <v>-33448</v>
      </c>
      <c r="M599" s="36">
        <v>-37253</v>
      </c>
      <c r="N599" s="36">
        <v>-39523</v>
      </c>
      <c r="O599" s="36">
        <v>-42504</v>
      </c>
      <c r="P599" s="36">
        <v>-45239</v>
      </c>
      <c r="Q599" s="36">
        <v>-47559</v>
      </c>
      <c r="R599" s="36">
        <v>-50589</v>
      </c>
      <c r="S599" s="36">
        <v>-53055</v>
      </c>
      <c r="T599" s="36">
        <v>-54695</v>
      </c>
      <c r="U599" s="36">
        <v>-56360</v>
      </c>
      <c r="V599" s="36">
        <v>-57274</v>
      </c>
      <c r="W599" s="36">
        <v>-58149</v>
      </c>
      <c r="X599" s="36">
        <v>-58463</v>
      </c>
      <c r="Y599" s="36">
        <v>-58817</v>
      </c>
      <c r="Z599" s="36">
        <v>-58994</v>
      </c>
      <c r="AA599" s="36">
        <v>-59061</v>
      </c>
    </row>
    <row r="600" spans="1:27" x14ac:dyDescent="0.3">
      <c r="C600" t="s">
        <v>141</v>
      </c>
      <c r="D600" s="36">
        <v>0</v>
      </c>
      <c r="E600" s="36">
        <v>0</v>
      </c>
      <c r="F600" s="36">
        <v>0</v>
      </c>
      <c r="G600" s="36">
        <v>0</v>
      </c>
      <c r="H600" s="36">
        <v>0</v>
      </c>
      <c r="I600" s="36">
        <v>0</v>
      </c>
      <c r="J600" s="36">
        <v>0</v>
      </c>
      <c r="K600" s="36">
        <v>0</v>
      </c>
      <c r="L600" s="36">
        <v>0</v>
      </c>
      <c r="M600" s="36">
        <v>0</v>
      </c>
      <c r="N600" s="36">
        <v>0</v>
      </c>
      <c r="O600" s="36">
        <v>0</v>
      </c>
      <c r="P600" s="36">
        <v>0</v>
      </c>
      <c r="Q600" s="36">
        <v>0</v>
      </c>
      <c r="R600" s="36">
        <v>0</v>
      </c>
      <c r="S600" s="36">
        <v>0</v>
      </c>
      <c r="T600" s="36">
        <v>0</v>
      </c>
      <c r="U600" s="36">
        <v>0</v>
      </c>
      <c r="V600" s="36">
        <v>0</v>
      </c>
      <c r="W600" s="36">
        <v>0</v>
      </c>
      <c r="X600" s="36">
        <v>0</v>
      </c>
      <c r="Y600" s="36">
        <v>0</v>
      </c>
      <c r="Z600" s="36">
        <v>0</v>
      </c>
      <c r="AA600" s="36">
        <v>0</v>
      </c>
    </row>
    <row r="601" spans="1:27" x14ac:dyDescent="0.3">
      <c r="A601" t="s">
        <v>242</v>
      </c>
      <c r="B601" t="s">
        <v>195</v>
      </c>
      <c r="C601" t="s">
        <v>129</v>
      </c>
      <c r="D601" s="36">
        <v>8778</v>
      </c>
      <c r="E601" s="36"/>
      <c r="F601" s="36"/>
      <c r="G601" s="36"/>
      <c r="H601" s="36"/>
      <c r="I601" s="36"/>
      <c r="J601" s="36"/>
      <c r="K601" s="36"/>
      <c r="L601" s="36"/>
      <c r="M601" s="36"/>
      <c r="N601" s="36"/>
      <c r="O601" s="36"/>
      <c r="P601" s="36"/>
      <c r="Q601" s="36"/>
      <c r="R601" s="36"/>
      <c r="S601" s="36"/>
      <c r="T601" s="36"/>
      <c r="U601" s="36"/>
      <c r="V601" s="36"/>
      <c r="W601" s="36"/>
      <c r="X601" s="36"/>
      <c r="Y601" s="36"/>
      <c r="Z601" s="36"/>
      <c r="AA601" s="36"/>
    </row>
    <row r="602" spans="1:27" x14ac:dyDescent="0.3">
      <c r="C602" t="s">
        <v>131</v>
      </c>
      <c r="D602" s="36">
        <v>5022</v>
      </c>
      <c r="E602" s="36">
        <v>4436</v>
      </c>
      <c r="F602" s="36">
        <v>4112</v>
      </c>
      <c r="G602" s="36">
        <v>3421</v>
      </c>
      <c r="H602" s="36">
        <v>3848</v>
      </c>
      <c r="I602" s="36">
        <v>3548</v>
      </c>
      <c r="J602" s="36">
        <v>3545</v>
      </c>
      <c r="K602" s="36">
        <v>3677</v>
      </c>
      <c r="L602" s="36">
        <v>3101</v>
      </c>
      <c r="M602" s="36">
        <v>2856</v>
      </c>
      <c r="N602" s="36">
        <v>2857</v>
      </c>
      <c r="O602" s="36">
        <v>2855</v>
      </c>
      <c r="P602" s="36">
        <v>2670</v>
      </c>
      <c r="Q602" s="36">
        <v>1320</v>
      </c>
      <c r="R602" s="36">
        <v>1319</v>
      </c>
      <c r="S602" s="36">
        <v>1318</v>
      </c>
      <c r="T602" s="36">
        <v>1318</v>
      </c>
      <c r="U602" s="36">
        <v>1311</v>
      </c>
      <c r="V602" s="36">
        <v>1311</v>
      </c>
      <c r="W602" s="36">
        <v>1311</v>
      </c>
      <c r="X602" s="36">
        <v>1309</v>
      </c>
      <c r="Y602" s="36">
        <v>373</v>
      </c>
      <c r="Z602" s="36">
        <v>0</v>
      </c>
      <c r="AA602" s="36">
        <v>0</v>
      </c>
    </row>
    <row r="603" spans="1:27" x14ac:dyDescent="0.3">
      <c r="C603" t="s">
        <v>132</v>
      </c>
      <c r="D603" s="36">
        <v>22500</v>
      </c>
      <c r="E603" s="36"/>
      <c r="F603" s="36"/>
      <c r="G603" s="36"/>
      <c r="H603" s="36"/>
      <c r="I603" s="36"/>
      <c r="J603" s="36"/>
      <c r="K603" s="36"/>
      <c r="L603" s="36"/>
      <c r="M603" s="36"/>
      <c r="N603" s="36"/>
      <c r="O603" s="36"/>
      <c r="P603" s="36"/>
      <c r="Q603" s="36"/>
      <c r="R603" s="36"/>
      <c r="S603" s="36"/>
      <c r="T603" s="36"/>
      <c r="U603" s="36"/>
      <c r="V603" s="36"/>
      <c r="W603" s="36"/>
      <c r="X603" s="36"/>
      <c r="Y603" s="36"/>
      <c r="Z603" s="36"/>
      <c r="AA603" s="36"/>
    </row>
    <row r="604" spans="1:27" x14ac:dyDescent="0.3">
      <c r="C604" t="s">
        <v>133</v>
      </c>
      <c r="D604" s="36">
        <v>0</v>
      </c>
      <c r="E604" s="36"/>
      <c r="F604" s="36"/>
      <c r="G604" s="36"/>
      <c r="H604" s="36"/>
      <c r="I604" s="36"/>
      <c r="J604" s="36"/>
      <c r="K604" s="36"/>
      <c r="L604" s="36"/>
      <c r="M604" s="36"/>
      <c r="N604" s="36"/>
      <c r="O604" s="36"/>
      <c r="P604" s="36"/>
      <c r="Q604" s="36"/>
      <c r="R604" s="36"/>
      <c r="S604" s="36"/>
      <c r="T604" s="36"/>
      <c r="U604" s="36"/>
      <c r="V604" s="36"/>
      <c r="W604" s="36"/>
      <c r="X604" s="36"/>
      <c r="Y604" s="36"/>
      <c r="Z604" s="36"/>
      <c r="AA604" s="36"/>
    </row>
    <row r="605" spans="1:27" x14ac:dyDescent="0.3">
      <c r="C605" t="s">
        <v>134</v>
      </c>
      <c r="D605" s="36">
        <v>3860</v>
      </c>
      <c r="E605" s="36"/>
      <c r="F605" s="36"/>
      <c r="G605" s="36"/>
      <c r="H605" s="36"/>
      <c r="I605" s="36"/>
      <c r="J605" s="36"/>
      <c r="K605" s="36"/>
      <c r="L605" s="36"/>
      <c r="M605" s="36"/>
      <c r="N605" s="36"/>
      <c r="O605" s="36"/>
      <c r="P605" s="36"/>
      <c r="Q605" s="36"/>
      <c r="R605" s="36"/>
      <c r="S605" s="36"/>
      <c r="T605" s="36"/>
      <c r="U605" s="36"/>
      <c r="V605" s="36"/>
      <c r="W605" s="36"/>
      <c r="X605" s="36"/>
      <c r="Y605" s="36"/>
      <c r="Z605" s="36"/>
      <c r="AA605" s="36"/>
    </row>
    <row r="606" spans="1:27" x14ac:dyDescent="0.3">
      <c r="C606" t="s">
        <v>135</v>
      </c>
      <c r="D606" s="36"/>
      <c r="E606" s="36"/>
      <c r="F606" s="36"/>
      <c r="G606" s="36"/>
      <c r="H606" s="36"/>
      <c r="I606" s="36"/>
      <c r="J606" s="36"/>
      <c r="K606" s="36"/>
      <c r="L606" s="36"/>
      <c r="M606" s="36"/>
      <c r="N606" s="36"/>
      <c r="O606" s="36"/>
      <c r="P606" s="36"/>
      <c r="Q606" s="36"/>
      <c r="R606" s="36"/>
      <c r="S606" s="36"/>
      <c r="T606" s="36"/>
      <c r="U606" s="36"/>
      <c r="V606" s="36"/>
      <c r="W606" s="36"/>
      <c r="X606" s="36"/>
      <c r="Y606" s="36"/>
      <c r="Z606" s="36"/>
      <c r="AA606" s="36"/>
    </row>
    <row r="607" spans="1:27" x14ac:dyDescent="0.3">
      <c r="C607" t="s">
        <v>136</v>
      </c>
      <c r="D607" s="36">
        <v>0</v>
      </c>
      <c r="E607" s="36">
        <v>0</v>
      </c>
      <c r="F607" s="36">
        <v>0</v>
      </c>
      <c r="G607" s="36">
        <v>0</v>
      </c>
      <c r="H607" s="36">
        <v>7200</v>
      </c>
      <c r="I607" s="36">
        <v>0</v>
      </c>
      <c r="J607" s="36">
        <v>7200</v>
      </c>
      <c r="K607" s="36">
        <v>0</v>
      </c>
      <c r="L607" s="36">
        <v>0</v>
      </c>
      <c r="M607" s="36">
        <v>7200</v>
      </c>
      <c r="N607" s="36">
        <v>0</v>
      </c>
      <c r="O607" s="36">
        <v>0</v>
      </c>
      <c r="P607" s="36">
        <v>7200</v>
      </c>
      <c r="Q607" s="36">
        <v>0</v>
      </c>
      <c r="R607" s="36">
        <v>0</v>
      </c>
      <c r="S607" s="36">
        <v>0</v>
      </c>
      <c r="T607" s="36">
        <v>0</v>
      </c>
      <c r="U607" s="36">
        <v>0</v>
      </c>
      <c r="V607" s="36">
        <v>0</v>
      </c>
      <c r="W607" s="36">
        <v>0</v>
      </c>
      <c r="X607" s="36">
        <v>0</v>
      </c>
      <c r="Y607" s="36">
        <v>0</v>
      </c>
      <c r="Z607" s="36">
        <v>0</v>
      </c>
      <c r="AA607" s="36">
        <v>0</v>
      </c>
    </row>
    <row r="608" spans="1:27" x14ac:dyDescent="0.3">
      <c r="C608" t="s">
        <v>124</v>
      </c>
      <c r="D608" s="36"/>
      <c r="E608" s="36"/>
      <c r="F608" s="36"/>
      <c r="G608" s="36"/>
      <c r="H608" s="36">
        <v>7200</v>
      </c>
      <c r="I608" s="36"/>
      <c r="J608" s="36">
        <v>7200</v>
      </c>
      <c r="K608" s="36"/>
      <c r="L608" s="36"/>
      <c r="M608" s="36">
        <v>7200</v>
      </c>
      <c r="N608" s="36"/>
      <c r="O608" s="36"/>
      <c r="P608" s="36">
        <v>7200</v>
      </c>
      <c r="Q608" s="36"/>
      <c r="R608" s="36"/>
      <c r="S608" s="36"/>
      <c r="T608" s="36"/>
      <c r="U608" s="36"/>
      <c r="V608" s="36"/>
      <c r="W608" s="36"/>
      <c r="X608" s="36"/>
      <c r="Y608" s="36"/>
      <c r="Z608" s="36"/>
      <c r="AA608" s="36"/>
    </row>
    <row r="609" spans="2:27" x14ac:dyDescent="0.3">
      <c r="C609" t="s">
        <v>137</v>
      </c>
      <c r="D609" s="36"/>
      <c r="E609" s="36"/>
      <c r="F609" s="36"/>
      <c r="G609" s="36"/>
      <c r="H609" s="36"/>
      <c r="I609" s="36"/>
      <c r="J609" s="36"/>
      <c r="K609" s="36"/>
      <c r="L609" s="36"/>
      <c r="M609" s="36"/>
      <c r="N609" s="36"/>
      <c r="O609" s="36"/>
      <c r="P609" s="36"/>
      <c r="Q609" s="36"/>
      <c r="R609" s="36"/>
      <c r="S609" s="36"/>
      <c r="T609" s="36"/>
      <c r="U609" s="36"/>
      <c r="V609" s="36"/>
      <c r="W609" s="36"/>
      <c r="X609" s="36"/>
      <c r="Y609" s="36"/>
      <c r="Z609" s="36"/>
      <c r="AA609" s="36"/>
    </row>
    <row r="610" spans="2:27" x14ac:dyDescent="0.3">
      <c r="C610" t="s">
        <v>138</v>
      </c>
      <c r="D610" s="36"/>
      <c r="E610" s="36"/>
      <c r="F610" s="36"/>
      <c r="G610" s="36"/>
      <c r="H610" s="36"/>
      <c r="I610" s="36"/>
      <c r="J610" s="36"/>
      <c r="K610" s="36"/>
      <c r="L610" s="36"/>
      <c r="M610" s="36"/>
      <c r="N610" s="36"/>
      <c r="O610" s="36"/>
      <c r="P610" s="36"/>
      <c r="Q610" s="36"/>
      <c r="R610" s="36"/>
      <c r="S610" s="36"/>
      <c r="T610" s="36"/>
      <c r="U610" s="36"/>
      <c r="V610" s="36"/>
      <c r="W610" s="36"/>
      <c r="X610" s="36"/>
      <c r="Y610" s="36"/>
      <c r="Z610" s="36"/>
      <c r="AA610" s="36"/>
    </row>
    <row r="611" spans="2:27" x14ac:dyDescent="0.3">
      <c r="C611" t="s">
        <v>139</v>
      </c>
      <c r="D611" s="36"/>
      <c r="E611" s="36"/>
      <c r="F611" s="36"/>
      <c r="G611" s="36"/>
      <c r="H611" s="36">
        <v>7200</v>
      </c>
      <c r="I611" s="36"/>
      <c r="J611" s="36">
        <v>7200</v>
      </c>
      <c r="K611" s="36"/>
      <c r="L611" s="36"/>
      <c r="M611" s="36">
        <v>7200</v>
      </c>
      <c r="N611" s="36"/>
      <c r="O611" s="36"/>
      <c r="P611" s="36">
        <v>7200</v>
      </c>
      <c r="Q611" s="36"/>
      <c r="R611" s="36"/>
      <c r="S611" s="36"/>
      <c r="T611" s="36"/>
      <c r="U611" s="36"/>
      <c r="V611" s="36"/>
      <c r="W611" s="36"/>
      <c r="X611" s="36"/>
      <c r="Y611" s="36"/>
      <c r="Z611" s="36"/>
      <c r="AA611" s="36"/>
    </row>
    <row r="612" spans="2:27" x14ac:dyDescent="0.3">
      <c r="C612" t="s">
        <v>140</v>
      </c>
      <c r="D612" s="36">
        <v>12560</v>
      </c>
      <c r="E612" s="36">
        <v>8124</v>
      </c>
      <c r="F612" s="36">
        <v>4012</v>
      </c>
      <c r="G612" s="36">
        <v>591</v>
      </c>
      <c r="H612" s="36">
        <v>3943</v>
      </c>
      <c r="I612" s="36">
        <v>395</v>
      </c>
      <c r="J612" s="36">
        <v>4050</v>
      </c>
      <c r="K612" s="36">
        <v>373</v>
      </c>
      <c r="L612" s="36">
        <v>-2728</v>
      </c>
      <c r="M612" s="36">
        <v>1616</v>
      </c>
      <c r="N612" s="36">
        <v>-1241</v>
      </c>
      <c r="O612" s="36">
        <v>-4096</v>
      </c>
      <c r="P612" s="36">
        <v>434</v>
      </c>
      <c r="Q612" s="36">
        <v>-886</v>
      </c>
      <c r="R612" s="36">
        <v>-2205</v>
      </c>
      <c r="S612" s="36">
        <v>-3523</v>
      </c>
      <c r="T612" s="36">
        <v>-4841</v>
      </c>
      <c r="U612" s="36">
        <v>-6152</v>
      </c>
      <c r="V612" s="36">
        <v>-7463</v>
      </c>
      <c r="W612" s="36">
        <v>-8774</v>
      </c>
      <c r="X612" s="36">
        <v>-10083</v>
      </c>
      <c r="Y612" s="36">
        <v>-10456</v>
      </c>
      <c r="Z612" s="36">
        <v>-10456</v>
      </c>
      <c r="AA612" s="36">
        <v>-10456</v>
      </c>
    </row>
    <row r="613" spans="2:27" x14ac:dyDescent="0.3">
      <c r="C613" t="s">
        <v>141</v>
      </c>
      <c r="D613" s="36">
        <v>0</v>
      </c>
      <c r="E613" s="36">
        <v>0</v>
      </c>
      <c r="F613" s="36">
        <v>0</v>
      </c>
      <c r="G613" s="36">
        <v>0</v>
      </c>
      <c r="H613" s="36">
        <v>0</v>
      </c>
      <c r="I613" s="36">
        <v>0</v>
      </c>
      <c r="J613" s="36">
        <v>0</v>
      </c>
      <c r="K613" s="36">
        <v>0</v>
      </c>
      <c r="L613" s="36">
        <v>0</v>
      </c>
      <c r="M613" s="36">
        <v>0</v>
      </c>
      <c r="N613" s="36">
        <v>0</v>
      </c>
      <c r="O613" s="36">
        <v>0</v>
      </c>
      <c r="P613" s="36">
        <v>0</v>
      </c>
      <c r="Q613" s="36">
        <v>0</v>
      </c>
      <c r="R613" s="36">
        <v>0</v>
      </c>
      <c r="S613" s="36">
        <v>0</v>
      </c>
      <c r="T613" s="36">
        <v>0</v>
      </c>
      <c r="U613" s="36">
        <v>0</v>
      </c>
      <c r="V613" s="36">
        <v>0</v>
      </c>
      <c r="W613" s="36">
        <v>0</v>
      </c>
      <c r="X613" s="36">
        <v>0</v>
      </c>
      <c r="Y613" s="36">
        <v>0</v>
      </c>
      <c r="Z613" s="36">
        <v>0</v>
      </c>
      <c r="AA613" s="36">
        <v>0</v>
      </c>
    </row>
    <row r="614" spans="2:27" x14ac:dyDescent="0.3">
      <c r="B614" t="s">
        <v>177</v>
      </c>
      <c r="C614" t="s">
        <v>129</v>
      </c>
      <c r="D614" s="36">
        <v>29043</v>
      </c>
      <c r="E614" s="36"/>
      <c r="F614" s="36"/>
      <c r="G614" s="36"/>
      <c r="H614" s="36"/>
      <c r="I614" s="36"/>
      <c r="J614" s="36"/>
      <c r="K614" s="36"/>
      <c r="L614" s="36"/>
      <c r="M614" s="36"/>
      <c r="N614" s="36"/>
      <c r="O614" s="36"/>
      <c r="P614" s="36"/>
      <c r="Q614" s="36"/>
      <c r="R614" s="36"/>
      <c r="S614" s="36"/>
      <c r="T614" s="36"/>
      <c r="U614" s="36"/>
      <c r="V614" s="36"/>
      <c r="W614" s="36"/>
      <c r="X614" s="36"/>
      <c r="Y614" s="36"/>
      <c r="Z614" s="36"/>
      <c r="AA614" s="36"/>
    </row>
    <row r="615" spans="2:27" x14ac:dyDescent="0.3">
      <c r="C615" t="s">
        <v>131</v>
      </c>
      <c r="D615" s="36">
        <v>19887</v>
      </c>
      <c r="E615" s="36">
        <v>21510</v>
      </c>
      <c r="F615" s="36">
        <v>22522</v>
      </c>
      <c r="G615" s="36">
        <v>22013</v>
      </c>
      <c r="H615" s="36">
        <v>21923</v>
      </c>
      <c r="I615" s="36">
        <v>24772</v>
      </c>
      <c r="J615" s="36">
        <v>21676</v>
      </c>
      <c r="K615" s="36">
        <v>19266</v>
      </c>
      <c r="L615" s="36">
        <v>17704</v>
      </c>
      <c r="M615" s="36">
        <v>16902</v>
      </c>
      <c r="N615" s="36">
        <v>19905</v>
      </c>
      <c r="O615" s="36">
        <v>19383</v>
      </c>
      <c r="P615" s="36">
        <v>17885</v>
      </c>
      <c r="Q615" s="36">
        <v>13476</v>
      </c>
      <c r="R615" s="36">
        <v>14611</v>
      </c>
      <c r="S615" s="36">
        <v>13391</v>
      </c>
      <c r="T615" s="36">
        <v>13829</v>
      </c>
      <c r="U615" s="36">
        <v>12375</v>
      </c>
      <c r="V615" s="36">
        <v>12899</v>
      </c>
      <c r="W615" s="36">
        <v>11760</v>
      </c>
      <c r="X615" s="36">
        <v>11553</v>
      </c>
      <c r="Y615" s="36">
        <v>8957</v>
      </c>
      <c r="Z615" s="36">
        <v>7799</v>
      </c>
      <c r="AA615" s="36">
        <v>7753</v>
      </c>
    </row>
    <row r="616" spans="2:27" x14ac:dyDescent="0.3">
      <c r="C616" t="s">
        <v>132</v>
      </c>
      <c r="D616" s="36">
        <v>29880</v>
      </c>
      <c r="E616" s="36"/>
      <c r="F616" s="36"/>
      <c r="G616" s="36"/>
      <c r="H616" s="36"/>
      <c r="I616" s="36"/>
      <c r="J616" s="36"/>
      <c r="K616" s="36"/>
      <c r="L616" s="36"/>
      <c r="M616" s="36"/>
      <c r="N616" s="36"/>
      <c r="O616" s="36"/>
      <c r="P616" s="36"/>
      <c r="Q616" s="36"/>
      <c r="R616" s="36"/>
      <c r="S616" s="36"/>
      <c r="T616" s="36"/>
      <c r="U616" s="36"/>
      <c r="V616" s="36"/>
      <c r="W616" s="36"/>
      <c r="X616" s="36"/>
      <c r="Y616" s="36"/>
      <c r="Z616" s="36"/>
      <c r="AA616" s="36"/>
    </row>
    <row r="617" spans="2:27" x14ac:dyDescent="0.3">
      <c r="C617" t="s">
        <v>133</v>
      </c>
      <c r="D617" s="36">
        <v>0</v>
      </c>
      <c r="E617" s="36"/>
      <c r="F617" s="36"/>
      <c r="G617" s="36"/>
      <c r="H617" s="36"/>
      <c r="I617" s="36"/>
      <c r="J617" s="36"/>
      <c r="K617" s="36"/>
      <c r="L617" s="36"/>
      <c r="M617" s="36"/>
      <c r="N617" s="36"/>
      <c r="O617" s="36"/>
      <c r="P617" s="36"/>
      <c r="Q617" s="36"/>
      <c r="R617" s="36"/>
      <c r="S617" s="36"/>
      <c r="T617" s="36"/>
      <c r="U617" s="36"/>
      <c r="V617" s="36"/>
      <c r="W617" s="36"/>
      <c r="X617" s="36"/>
      <c r="Y617" s="36"/>
      <c r="Z617" s="36"/>
      <c r="AA617" s="36"/>
    </row>
    <row r="618" spans="2:27" x14ac:dyDescent="0.3">
      <c r="C618" t="s">
        <v>134</v>
      </c>
      <c r="D618" s="36">
        <v>6640</v>
      </c>
      <c r="E618" s="36"/>
      <c r="F618" s="36"/>
      <c r="G618" s="36"/>
      <c r="H618" s="36"/>
      <c r="I618" s="36"/>
      <c r="J618" s="36"/>
      <c r="K618" s="36"/>
      <c r="L618" s="36"/>
      <c r="M618" s="36"/>
      <c r="N618" s="36"/>
      <c r="O618" s="36"/>
      <c r="P618" s="36"/>
      <c r="Q618" s="36"/>
      <c r="R618" s="36"/>
      <c r="S618" s="36"/>
      <c r="T618" s="36"/>
      <c r="U618" s="36"/>
      <c r="V618" s="36"/>
      <c r="W618" s="36"/>
      <c r="X618" s="36"/>
      <c r="Y618" s="36"/>
      <c r="Z618" s="36"/>
      <c r="AA618" s="36"/>
    </row>
    <row r="619" spans="2:27" x14ac:dyDescent="0.3">
      <c r="C619" t="s">
        <v>135</v>
      </c>
      <c r="D619" s="36">
        <v>21600</v>
      </c>
      <c r="E619" s="36"/>
      <c r="F619" s="36"/>
      <c r="G619" s="36"/>
      <c r="H619" s="36"/>
      <c r="I619" s="36"/>
      <c r="J619" s="36"/>
      <c r="K619" s="36"/>
      <c r="L619" s="36"/>
      <c r="M619" s="36"/>
      <c r="N619" s="36"/>
      <c r="O619" s="36"/>
      <c r="P619" s="36"/>
      <c r="Q619" s="36"/>
      <c r="R619" s="36"/>
      <c r="S619" s="36"/>
      <c r="T619" s="36"/>
      <c r="U619" s="36"/>
      <c r="V619" s="36"/>
      <c r="W619" s="36"/>
      <c r="X619" s="36"/>
      <c r="Y619" s="36"/>
      <c r="Z619" s="36"/>
      <c r="AA619" s="36"/>
    </row>
    <row r="620" spans="2:27" x14ac:dyDescent="0.3">
      <c r="C620" t="s">
        <v>136</v>
      </c>
      <c r="D620" s="36">
        <v>0</v>
      </c>
      <c r="E620" s="36">
        <v>0</v>
      </c>
      <c r="F620" s="36">
        <v>0</v>
      </c>
      <c r="G620" s="36">
        <v>28800</v>
      </c>
      <c r="H620" s="36">
        <v>21600</v>
      </c>
      <c r="I620" s="36">
        <v>0</v>
      </c>
      <c r="J620" s="36">
        <v>0</v>
      </c>
      <c r="K620" s="36">
        <v>21600</v>
      </c>
      <c r="L620" s="36">
        <v>0</v>
      </c>
      <c r="M620" s="36">
        <v>0</v>
      </c>
      <c r="N620" s="36">
        <v>21600</v>
      </c>
      <c r="O620" s="36">
        <v>0</v>
      </c>
      <c r="P620" s="36">
        <v>0</v>
      </c>
      <c r="Q620" s="36">
        <v>0</v>
      </c>
      <c r="R620" s="36">
        <v>325000</v>
      </c>
      <c r="S620" s="36">
        <v>0</v>
      </c>
      <c r="T620" s="36">
        <v>0</v>
      </c>
      <c r="U620" s="36">
        <v>0</v>
      </c>
      <c r="V620" s="36">
        <v>0</v>
      </c>
      <c r="W620" s="36">
        <v>0</v>
      </c>
      <c r="X620" s="36">
        <v>0</v>
      </c>
      <c r="Y620" s="36">
        <v>0</v>
      </c>
      <c r="Z620" s="36">
        <v>0</v>
      </c>
      <c r="AA620" s="36">
        <v>0</v>
      </c>
    </row>
    <row r="621" spans="2:27" x14ac:dyDescent="0.3">
      <c r="C621" t="s">
        <v>124</v>
      </c>
      <c r="D621" s="36"/>
      <c r="E621" s="36"/>
      <c r="F621" s="36"/>
      <c r="G621" s="36">
        <v>28800</v>
      </c>
      <c r="H621" s="36">
        <v>21600</v>
      </c>
      <c r="I621" s="36"/>
      <c r="J621" s="36"/>
      <c r="K621" s="36">
        <v>21600</v>
      </c>
      <c r="L621" s="36"/>
      <c r="M621" s="36"/>
      <c r="N621" s="36">
        <v>21600</v>
      </c>
      <c r="O621" s="36"/>
      <c r="P621" s="36"/>
      <c r="Q621" s="36"/>
      <c r="R621" s="36">
        <v>325000</v>
      </c>
      <c r="S621" s="36"/>
      <c r="T621" s="36"/>
      <c r="U621" s="36"/>
      <c r="V621" s="36"/>
      <c r="W621" s="36"/>
      <c r="X621" s="36"/>
      <c r="Y621" s="36"/>
      <c r="Z621" s="36"/>
      <c r="AA621" s="36"/>
    </row>
    <row r="622" spans="2:27" x14ac:dyDescent="0.3">
      <c r="C622" t="s">
        <v>137</v>
      </c>
      <c r="D622" s="36"/>
      <c r="E622" s="36"/>
      <c r="F622" s="36"/>
      <c r="G622" s="36"/>
      <c r="H622" s="36"/>
      <c r="I622" s="36"/>
      <c r="J622" s="36"/>
      <c r="K622" s="36"/>
      <c r="L622" s="36"/>
      <c r="M622" s="36"/>
      <c r="N622" s="36"/>
      <c r="O622" s="36"/>
      <c r="P622" s="36"/>
      <c r="Q622" s="36"/>
      <c r="R622" s="36"/>
      <c r="S622" s="36"/>
      <c r="T622" s="36"/>
      <c r="U622" s="36"/>
      <c r="V622" s="36"/>
      <c r="W622" s="36"/>
      <c r="X622" s="36"/>
      <c r="Y622" s="36"/>
      <c r="Z622" s="36"/>
      <c r="AA622" s="36"/>
    </row>
    <row r="623" spans="2:27" x14ac:dyDescent="0.3">
      <c r="C623" t="s">
        <v>138</v>
      </c>
      <c r="D623" s="36"/>
      <c r="E623" s="36"/>
      <c r="F623" s="36"/>
      <c r="G623" s="36"/>
      <c r="H623" s="36"/>
      <c r="I623" s="36"/>
      <c r="J623" s="36"/>
      <c r="K623" s="36"/>
      <c r="L623" s="36"/>
      <c r="M623" s="36"/>
      <c r="N623" s="36"/>
      <c r="O623" s="36"/>
      <c r="P623" s="36"/>
      <c r="Q623" s="36"/>
      <c r="R623" s="36"/>
      <c r="S623" s="36"/>
      <c r="T623" s="36"/>
      <c r="U623" s="36"/>
      <c r="V623" s="36"/>
      <c r="W623" s="36"/>
      <c r="X623" s="36"/>
      <c r="Y623" s="36"/>
      <c r="Z623" s="36"/>
      <c r="AA623" s="36"/>
    </row>
    <row r="624" spans="2:27" x14ac:dyDescent="0.3">
      <c r="C624" t="s">
        <v>139</v>
      </c>
      <c r="D624" s="36"/>
      <c r="E624" s="36"/>
      <c r="F624" s="36"/>
      <c r="G624" s="36">
        <v>28800</v>
      </c>
      <c r="H624" s="36">
        <v>21600</v>
      </c>
      <c r="I624" s="36"/>
      <c r="J624" s="36"/>
      <c r="K624" s="36">
        <v>21600</v>
      </c>
      <c r="L624" s="36"/>
      <c r="M624" s="36"/>
      <c r="N624" s="36">
        <v>21600</v>
      </c>
      <c r="O624" s="36"/>
      <c r="P624" s="36"/>
      <c r="Q624" s="36"/>
      <c r="R624" s="36">
        <v>325000</v>
      </c>
      <c r="S624" s="36"/>
      <c r="T624" s="36"/>
      <c r="U624" s="36"/>
      <c r="V624" s="36"/>
      <c r="W624" s="36"/>
      <c r="X624" s="36"/>
      <c r="Y624" s="36"/>
      <c r="Z624" s="36"/>
      <c r="AA624" s="36"/>
    </row>
    <row r="625" spans="1:27" x14ac:dyDescent="0.3">
      <c r="C625" t="s">
        <v>140</v>
      </c>
      <c r="D625" s="36">
        <v>9190</v>
      </c>
      <c r="E625" s="36">
        <v>-12320</v>
      </c>
      <c r="F625" s="36">
        <v>-34842</v>
      </c>
      <c r="G625" s="36">
        <v>-28055</v>
      </c>
      <c r="H625" s="36">
        <v>-28378</v>
      </c>
      <c r="I625" s="36">
        <v>-53150</v>
      </c>
      <c r="J625" s="36">
        <v>-74826</v>
      </c>
      <c r="K625" s="36">
        <v>-72492</v>
      </c>
      <c r="L625" s="36">
        <v>-90196</v>
      </c>
      <c r="M625" s="36">
        <v>-107098</v>
      </c>
      <c r="N625" s="36">
        <v>-105403</v>
      </c>
      <c r="O625" s="36">
        <v>-124786</v>
      </c>
      <c r="P625" s="36">
        <v>-142671</v>
      </c>
      <c r="Q625" s="36">
        <v>-156147</v>
      </c>
      <c r="R625" s="36">
        <v>154242</v>
      </c>
      <c r="S625" s="36">
        <v>140851</v>
      </c>
      <c r="T625" s="36">
        <v>127022</v>
      </c>
      <c r="U625" s="36">
        <v>114647</v>
      </c>
      <c r="V625" s="36">
        <v>101748</v>
      </c>
      <c r="W625" s="36">
        <v>89988</v>
      </c>
      <c r="X625" s="36">
        <v>78435</v>
      </c>
      <c r="Y625" s="36">
        <v>69478</v>
      </c>
      <c r="Z625" s="36">
        <v>61679</v>
      </c>
      <c r="AA625" s="36">
        <v>53926</v>
      </c>
    </row>
    <row r="626" spans="1:27" x14ac:dyDescent="0.3">
      <c r="C626" t="s">
        <v>141</v>
      </c>
      <c r="D626" s="36">
        <v>0</v>
      </c>
      <c r="E626" s="36">
        <v>0</v>
      </c>
      <c r="F626" s="36">
        <v>0</v>
      </c>
      <c r="G626" s="36">
        <v>0</v>
      </c>
      <c r="H626" s="36">
        <v>0</v>
      </c>
      <c r="I626" s="36">
        <v>0</v>
      </c>
      <c r="J626" s="36">
        <v>0</v>
      </c>
      <c r="K626" s="36">
        <v>0</v>
      </c>
      <c r="L626" s="36">
        <v>0</v>
      </c>
      <c r="M626" s="36">
        <v>0</v>
      </c>
      <c r="N626" s="36">
        <v>0</v>
      </c>
      <c r="O626" s="36">
        <v>0</v>
      </c>
      <c r="P626" s="36">
        <v>0</v>
      </c>
      <c r="Q626" s="36">
        <v>0</v>
      </c>
      <c r="R626" s="36">
        <v>0</v>
      </c>
      <c r="S626" s="36">
        <v>0</v>
      </c>
      <c r="T626" s="36">
        <v>0</v>
      </c>
      <c r="U626" s="36">
        <v>0</v>
      </c>
      <c r="V626" s="36">
        <v>0</v>
      </c>
      <c r="W626" s="36">
        <v>0</v>
      </c>
      <c r="X626" s="36">
        <v>0</v>
      </c>
      <c r="Y626" s="36">
        <v>0</v>
      </c>
      <c r="Z626" s="36">
        <v>0</v>
      </c>
      <c r="AA626" s="36">
        <v>0</v>
      </c>
    </row>
    <row r="627" spans="1:27" x14ac:dyDescent="0.3">
      <c r="A627" t="s">
        <v>214</v>
      </c>
      <c r="B627" t="s">
        <v>177</v>
      </c>
      <c r="C627" t="s">
        <v>129</v>
      </c>
      <c r="D627" s="36">
        <v>131</v>
      </c>
      <c r="E627" s="36"/>
      <c r="F627" s="36"/>
      <c r="G627" s="36"/>
      <c r="H627" s="36"/>
      <c r="I627" s="36"/>
      <c r="J627" s="36"/>
      <c r="K627" s="36"/>
      <c r="L627" s="36"/>
      <c r="M627" s="36"/>
      <c r="N627" s="36"/>
      <c r="O627" s="36"/>
      <c r="P627" s="36"/>
      <c r="Q627" s="36"/>
      <c r="R627" s="36"/>
      <c r="S627" s="36"/>
      <c r="T627" s="36"/>
      <c r="U627" s="36"/>
      <c r="V627" s="36"/>
      <c r="W627" s="36"/>
      <c r="X627" s="36"/>
      <c r="Y627" s="36"/>
      <c r="Z627" s="36"/>
      <c r="AA627" s="36"/>
    </row>
    <row r="628" spans="1:27" x14ac:dyDescent="0.3">
      <c r="C628" t="s">
        <v>131</v>
      </c>
      <c r="D628" s="36">
        <v>37</v>
      </c>
      <c r="E628" s="36">
        <v>36</v>
      </c>
      <c r="F628" s="36">
        <v>37</v>
      </c>
      <c r="G628" s="36">
        <v>37</v>
      </c>
      <c r="H628" s="36">
        <v>39</v>
      </c>
      <c r="I628" s="36">
        <v>40</v>
      </c>
      <c r="J628" s="36">
        <v>53</v>
      </c>
      <c r="K628" s="36">
        <v>40</v>
      </c>
      <c r="L628" s="36">
        <v>32</v>
      </c>
      <c r="M628" s="36">
        <v>25</v>
      </c>
      <c r="N628" s="36">
        <v>25</v>
      </c>
      <c r="O628" s="36">
        <v>26</v>
      </c>
      <c r="P628" s="36">
        <v>27</v>
      </c>
      <c r="Q628" s="36">
        <v>31</v>
      </c>
      <c r="R628" s="36">
        <v>29</v>
      </c>
      <c r="S628" s="36">
        <v>30</v>
      </c>
      <c r="T628" s="36">
        <v>31</v>
      </c>
      <c r="U628" s="36">
        <v>33</v>
      </c>
      <c r="V628" s="36">
        <v>34</v>
      </c>
      <c r="W628" s="36">
        <v>35</v>
      </c>
      <c r="X628" s="36">
        <v>34</v>
      </c>
      <c r="Y628" s="36">
        <v>30</v>
      </c>
      <c r="Z628" s="36">
        <v>29</v>
      </c>
      <c r="AA628" s="36">
        <v>31</v>
      </c>
    </row>
    <row r="629" spans="1:27" x14ac:dyDescent="0.3">
      <c r="C629" t="s">
        <v>132</v>
      </c>
      <c r="D629" s="36">
        <v>3344</v>
      </c>
      <c r="E629" s="36"/>
      <c r="F629" s="36"/>
      <c r="G629" s="36"/>
      <c r="H629" s="36"/>
      <c r="I629" s="36"/>
      <c r="J629" s="36"/>
      <c r="K629" s="36"/>
      <c r="L629" s="36"/>
      <c r="M629" s="36"/>
      <c r="N629" s="36"/>
      <c r="O629" s="36"/>
      <c r="P629" s="36"/>
      <c r="Q629" s="36"/>
      <c r="R629" s="36"/>
      <c r="S629" s="36"/>
      <c r="T629" s="36"/>
      <c r="U629" s="36"/>
      <c r="V629" s="36"/>
      <c r="W629" s="36"/>
      <c r="X629" s="36"/>
      <c r="Y629" s="36"/>
      <c r="Z629" s="36"/>
      <c r="AA629" s="36"/>
    </row>
    <row r="630" spans="1:27" x14ac:dyDescent="0.3">
      <c r="C630" t="s">
        <v>133</v>
      </c>
      <c r="D630" s="36">
        <v>0</v>
      </c>
      <c r="E630" s="36"/>
      <c r="F630" s="36"/>
      <c r="G630" s="36"/>
      <c r="H630" s="36"/>
      <c r="I630" s="36"/>
      <c r="J630" s="36"/>
      <c r="K630" s="36"/>
      <c r="L630" s="36"/>
      <c r="M630" s="36"/>
      <c r="N630" s="36"/>
      <c r="O630" s="36"/>
      <c r="P630" s="36"/>
      <c r="Q630" s="36"/>
      <c r="R630" s="36"/>
      <c r="S630" s="36"/>
      <c r="T630" s="36"/>
      <c r="U630" s="36"/>
      <c r="V630" s="36"/>
      <c r="W630" s="36"/>
      <c r="X630" s="36"/>
      <c r="Y630" s="36"/>
      <c r="Z630" s="36"/>
      <c r="AA630" s="36"/>
    </row>
    <row r="631" spans="1:27" x14ac:dyDescent="0.3">
      <c r="C631" t="s">
        <v>134</v>
      </c>
      <c r="D631" s="36">
        <v>100</v>
      </c>
      <c r="E631" s="36"/>
      <c r="F631" s="36"/>
      <c r="G631" s="36"/>
      <c r="H631" s="36"/>
      <c r="I631" s="36"/>
      <c r="J631" s="36"/>
      <c r="K631" s="36"/>
      <c r="L631" s="36"/>
      <c r="M631" s="36"/>
      <c r="N631" s="36"/>
      <c r="O631" s="36"/>
      <c r="P631" s="36"/>
      <c r="Q631" s="36"/>
      <c r="R631" s="36"/>
      <c r="S631" s="36"/>
      <c r="T631" s="36"/>
      <c r="U631" s="36"/>
      <c r="V631" s="36"/>
      <c r="W631" s="36"/>
      <c r="X631" s="36"/>
      <c r="Y631" s="36"/>
      <c r="Z631" s="36"/>
      <c r="AA631" s="36"/>
    </row>
    <row r="632" spans="1:27" x14ac:dyDescent="0.3">
      <c r="C632" t="s">
        <v>135</v>
      </c>
      <c r="D632" s="36"/>
      <c r="E632" s="36"/>
      <c r="F632" s="36"/>
      <c r="G632" s="36"/>
      <c r="H632" s="36"/>
      <c r="I632" s="36"/>
      <c r="J632" s="36"/>
      <c r="K632" s="36"/>
      <c r="L632" s="36"/>
      <c r="M632" s="36"/>
      <c r="N632" s="36"/>
      <c r="O632" s="36"/>
      <c r="P632" s="36"/>
      <c r="Q632" s="36"/>
      <c r="R632" s="36"/>
      <c r="S632" s="36"/>
      <c r="T632" s="36"/>
      <c r="U632" s="36"/>
      <c r="V632" s="36"/>
      <c r="W632" s="36"/>
      <c r="X632" s="36"/>
      <c r="Y632" s="36"/>
      <c r="Z632" s="36"/>
      <c r="AA632" s="36"/>
    </row>
    <row r="633" spans="1:27" x14ac:dyDescent="0.3">
      <c r="C633" t="s">
        <v>136</v>
      </c>
      <c r="D633" s="36">
        <v>0</v>
      </c>
      <c r="E633" s="36">
        <v>0</v>
      </c>
      <c r="F633" s="36">
        <v>0</v>
      </c>
      <c r="G633" s="36">
        <v>0</v>
      </c>
      <c r="H633" s="36">
        <v>0</v>
      </c>
      <c r="I633" s="36">
        <v>0</v>
      </c>
      <c r="J633" s="36">
        <v>0</v>
      </c>
      <c r="K633" s="36">
        <v>0</v>
      </c>
      <c r="L633" s="36">
        <v>0</v>
      </c>
      <c r="M633" s="36">
        <v>3220</v>
      </c>
      <c r="N633" s="36">
        <v>0</v>
      </c>
      <c r="O633" s="36">
        <v>0</v>
      </c>
      <c r="P633" s="36">
        <v>0</v>
      </c>
      <c r="Q633" s="36">
        <v>0</v>
      </c>
      <c r="R633" s="36">
        <v>0</v>
      </c>
      <c r="S633" s="36">
        <v>0</v>
      </c>
      <c r="T633" s="36">
        <v>0</v>
      </c>
      <c r="U633" s="36">
        <v>0</v>
      </c>
      <c r="V633" s="36">
        <v>0</v>
      </c>
      <c r="W633" s="36">
        <v>0</v>
      </c>
      <c r="X633" s="36">
        <v>0</v>
      </c>
      <c r="Y633" s="36">
        <v>0</v>
      </c>
      <c r="Z633" s="36">
        <v>0</v>
      </c>
      <c r="AA633" s="36">
        <v>0</v>
      </c>
    </row>
    <row r="634" spans="1:27" x14ac:dyDescent="0.3">
      <c r="C634" t="s">
        <v>124</v>
      </c>
      <c r="D634" s="36"/>
      <c r="E634" s="36"/>
      <c r="F634" s="36"/>
      <c r="G634" s="36"/>
      <c r="H634" s="36"/>
      <c r="I634" s="36"/>
      <c r="J634" s="36"/>
      <c r="K634" s="36"/>
      <c r="L634" s="36"/>
      <c r="M634" s="36">
        <v>3220</v>
      </c>
      <c r="N634" s="36"/>
      <c r="O634" s="36"/>
      <c r="P634" s="36"/>
      <c r="Q634" s="36"/>
      <c r="R634" s="36"/>
      <c r="S634" s="36"/>
      <c r="T634" s="36"/>
      <c r="U634" s="36"/>
      <c r="V634" s="36"/>
      <c r="W634" s="36"/>
      <c r="X634" s="36"/>
      <c r="Y634" s="36"/>
      <c r="Z634" s="36"/>
      <c r="AA634" s="36"/>
    </row>
    <row r="635" spans="1:27" x14ac:dyDescent="0.3">
      <c r="C635" t="s">
        <v>137</v>
      </c>
      <c r="D635" s="36"/>
      <c r="E635" s="36"/>
      <c r="F635" s="36"/>
      <c r="G635" s="36"/>
      <c r="H635" s="36"/>
      <c r="I635" s="36"/>
      <c r="J635" s="36"/>
      <c r="K635" s="36"/>
      <c r="L635" s="36"/>
      <c r="M635" s="36"/>
      <c r="N635" s="36"/>
      <c r="O635" s="36"/>
      <c r="P635" s="36"/>
      <c r="Q635" s="36"/>
      <c r="R635" s="36"/>
      <c r="S635" s="36"/>
      <c r="T635" s="36"/>
      <c r="U635" s="36"/>
      <c r="V635" s="36"/>
      <c r="W635" s="36"/>
      <c r="X635" s="36"/>
      <c r="Y635" s="36"/>
      <c r="Z635" s="36"/>
      <c r="AA635" s="36"/>
    </row>
    <row r="636" spans="1:27" x14ac:dyDescent="0.3">
      <c r="C636" t="s">
        <v>138</v>
      </c>
      <c r="D636" s="36"/>
      <c r="E636" s="36"/>
      <c r="F636" s="36"/>
      <c r="G636" s="36"/>
      <c r="H636" s="36"/>
      <c r="I636" s="36"/>
      <c r="J636" s="36"/>
      <c r="K636" s="36"/>
      <c r="L636" s="36"/>
      <c r="M636" s="36"/>
      <c r="N636" s="36"/>
      <c r="O636" s="36"/>
      <c r="P636" s="36"/>
      <c r="Q636" s="36"/>
      <c r="R636" s="36"/>
      <c r="S636" s="36"/>
      <c r="T636" s="36"/>
      <c r="U636" s="36"/>
      <c r="V636" s="36"/>
      <c r="W636" s="36"/>
      <c r="X636" s="36"/>
      <c r="Y636" s="36"/>
      <c r="Z636" s="36"/>
      <c r="AA636" s="36"/>
    </row>
    <row r="637" spans="1:27" x14ac:dyDescent="0.3">
      <c r="C637" t="s">
        <v>139</v>
      </c>
      <c r="D637" s="36"/>
      <c r="E637" s="36"/>
      <c r="F637" s="36"/>
      <c r="G637" s="36"/>
      <c r="H637" s="36"/>
      <c r="I637" s="36"/>
      <c r="J637" s="36"/>
      <c r="K637" s="36"/>
      <c r="L637" s="36"/>
      <c r="M637" s="36">
        <v>3220</v>
      </c>
      <c r="N637" s="36"/>
      <c r="O637" s="36"/>
      <c r="P637" s="36"/>
      <c r="Q637" s="36"/>
      <c r="R637" s="36"/>
      <c r="S637" s="36"/>
      <c r="T637" s="36"/>
      <c r="U637" s="36"/>
      <c r="V637" s="36"/>
      <c r="W637" s="36"/>
      <c r="X637" s="36"/>
      <c r="Y637" s="36"/>
      <c r="Z637" s="36"/>
      <c r="AA637" s="36"/>
    </row>
    <row r="638" spans="1:27" x14ac:dyDescent="0.3">
      <c r="C638" t="s">
        <v>140</v>
      </c>
      <c r="D638" s="36">
        <v>3276</v>
      </c>
      <c r="E638" s="36">
        <v>3240</v>
      </c>
      <c r="F638" s="36">
        <v>3203</v>
      </c>
      <c r="G638" s="36">
        <v>3166</v>
      </c>
      <c r="H638" s="36">
        <v>3127</v>
      </c>
      <c r="I638" s="36">
        <v>3087</v>
      </c>
      <c r="J638" s="36">
        <v>3034</v>
      </c>
      <c r="K638" s="36">
        <v>2994</v>
      </c>
      <c r="L638" s="36">
        <v>2962</v>
      </c>
      <c r="M638" s="36">
        <v>6157</v>
      </c>
      <c r="N638" s="36">
        <v>6132</v>
      </c>
      <c r="O638" s="36">
        <v>6106</v>
      </c>
      <c r="P638" s="36">
        <v>6079</v>
      </c>
      <c r="Q638" s="36">
        <v>6048</v>
      </c>
      <c r="R638" s="36">
        <v>6019</v>
      </c>
      <c r="S638" s="36">
        <v>5989</v>
      </c>
      <c r="T638" s="36">
        <v>5958</v>
      </c>
      <c r="U638" s="36">
        <v>5925</v>
      </c>
      <c r="V638" s="36">
        <v>5891</v>
      </c>
      <c r="W638" s="36">
        <v>5856</v>
      </c>
      <c r="X638" s="36">
        <v>5822</v>
      </c>
      <c r="Y638" s="36">
        <v>5792</v>
      </c>
      <c r="Z638" s="36">
        <v>5763</v>
      </c>
      <c r="AA638" s="36">
        <v>5732</v>
      </c>
    </row>
    <row r="639" spans="1:27" x14ac:dyDescent="0.3">
      <c r="C639" t="s">
        <v>141</v>
      </c>
      <c r="D639" s="36">
        <v>0</v>
      </c>
      <c r="E639" s="36">
        <v>0</v>
      </c>
      <c r="F639" s="36">
        <v>0</v>
      </c>
      <c r="G639" s="36">
        <v>0</v>
      </c>
      <c r="H639" s="36">
        <v>0</v>
      </c>
      <c r="I639" s="36">
        <v>0</v>
      </c>
      <c r="J639" s="36">
        <v>0</v>
      </c>
      <c r="K639" s="36">
        <v>0</v>
      </c>
      <c r="L639" s="36">
        <v>0</v>
      </c>
      <c r="M639" s="36">
        <v>0</v>
      </c>
      <c r="N639" s="36">
        <v>0</v>
      </c>
      <c r="O639" s="36">
        <v>0</v>
      </c>
      <c r="P639" s="36">
        <v>0</v>
      </c>
      <c r="Q639" s="36">
        <v>0</v>
      </c>
      <c r="R639" s="36">
        <v>0</v>
      </c>
      <c r="S639" s="36">
        <v>0</v>
      </c>
      <c r="T639" s="36">
        <v>0</v>
      </c>
      <c r="U639" s="36">
        <v>0</v>
      </c>
      <c r="V639" s="36">
        <v>0</v>
      </c>
      <c r="W639" s="36">
        <v>0</v>
      </c>
      <c r="X639" s="36">
        <v>0</v>
      </c>
      <c r="Y639" s="36">
        <v>0</v>
      </c>
      <c r="Z639" s="36">
        <v>0</v>
      </c>
      <c r="AA639" s="36">
        <v>0</v>
      </c>
    </row>
    <row r="640" spans="1:27" x14ac:dyDescent="0.3">
      <c r="A640" t="s">
        <v>217</v>
      </c>
      <c r="B640" t="s">
        <v>177</v>
      </c>
      <c r="C640" t="s">
        <v>129</v>
      </c>
      <c r="D640" s="36">
        <v>4107</v>
      </c>
      <c r="E640" s="36"/>
      <c r="F640" s="36"/>
      <c r="G640" s="36"/>
      <c r="H640" s="36"/>
      <c r="I640" s="36"/>
      <c r="J640" s="36"/>
      <c r="K640" s="36"/>
      <c r="L640" s="36"/>
      <c r="M640" s="36"/>
      <c r="N640" s="36"/>
      <c r="O640" s="36"/>
      <c r="P640" s="36"/>
      <c r="Q640" s="36"/>
      <c r="R640" s="36"/>
      <c r="S640" s="36"/>
      <c r="T640" s="36"/>
      <c r="U640" s="36"/>
      <c r="V640" s="36"/>
      <c r="W640" s="36"/>
      <c r="X640" s="36"/>
      <c r="Y640" s="36"/>
      <c r="Z640" s="36"/>
      <c r="AA640" s="36"/>
    </row>
    <row r="641" spans="1:27" x14ac:dyDescent="0.3">
      <c r="C641" t="s">
        <v>131</v>
      </c>
      <c r="D641" s="36">
        <v>5392</v>
      </c>
      <c r="E641" s="36">
        <v>6345</v>
      </c>
      <c r="F641" s="36">
        <v>5305</v>
      </c>
      <c r="G641" s="36">
        <v>5316</v>
      </c>
      <c r="H641" s="36">
        <v>4977</v>
      </c>
      <c r="I641" s="36">
        <v>4938</v>
      </c>
      <c r="J641" s="36">
        <v>4940</v>
      </c>
      <c r="K641" s="36">
        <v>4954</v>
      </c>
      <c r="L641" s="36">
        <v>3807</v>
      </c>
      <c r="M641" s="36">
        <v>2964</v>
      </c>
      <c r="N641" s="36">
        <v>2952</v>
      </c>
      <c r="O641" s="36">
        <v>3393</v>
      </c>
      <c r="P641" s="36">
        <v>3435</v>
      </c>
      <c r="Q641" s="36">
        <v>3353</v>
      </c>
      <c r="R641" s="36">
        <v>3429</v>
      </c>
      <c r="S641" s="36">
        <v>2915</v>
      </c>
      <c r="T641" s="36">
        <v>2863</v>
      </c>
      <c r="U641" s="36">
        <v>3061</v>
      </c>
      <c r="V641" s="36">
        <v>3141</v>
      </c>
      <c r="W641" s="36">
        <v>3155</v>
      </c>
      <c r="X641" s="36">
        <v>3195</v>
      </c>
      <c r="Y641" s="36">
        <v>3104</v>
      </c>
      <c r="Z641" s="36">
        <v>3072</v>
      </c>
      <c r="AA641" s="36">
        <v>3073</v>
      </c>
    </row>
    <row r="642" spans="1:27" x14ac:dyDescent="0.3">
      <c r="C642" t="s">
        <v>132</v>
      </c>
      <c r="D642" s="36">
        <v>8856</v>
      </c>
      <c r="E642" s="36"/>
      <c r="F642" s="36"/>
      <c r="G642" s="36"/>
      <c r="H642" s="36"/>
      <c r="I642" s="36"/>
      <c r="J642" s="36"/>
      <c r="K642" s="36"/>
      <c r="L642" s="36"/>
      <c r="M642" s="36"/>
      <c r="N642" s="36"/>
      <c r="O642" s="36"/>
      <c r="P642" s="36"/>
      <c r="Q642" s="36"/>
      <c r="R642" s="36"/>
      <c r="S642" s="36"/>
      <c r="T642" s="36"/>
      <c r="U642" s="36"/>
      <c r="V642" s="36"/>
      <c r="W642" s="36"/>
      <c r="X642" s="36"/>
      <c r="Y642" s="36"/>
      <c r="Z642" s="36"/>
      <c r="AA642" s="36"/>
    </row>
    <row r="643" spans="1:27" x14ac:dyDescent="0.3">
      <c r="C643" t="s">
        <v>133</v>
      </c>
      <c r="D643" s="36">
        <v>0</v>
      </c>
      <c r="E643" s="36"/>
      <c r="F643" s="36"/>
      <c r="G643" s="36"/>
      <c r="H643" s="36"/>
      <c r="I643" s="36"/>
      <c r="J643" s="36"/>
      <c r="K643" s="36"/>
      <c r="L643" s="36"/>
      <c r="M643" s="36"/>
      <c r="N643" s="36"/>
      <c r="O643" s="36"/>
      <c r="P643" s="36"/>
      <c r="Q643" s="36"/>
      <c r="R643" s="36"/>
      <c r="S643" s="36"/>
      <c r="T643" s="36"/>
      <c r="U643" s="36"/>
      <c r="V643" s="36"/>
      <c r="W643" s="36"/>
      <c r="X643" s="36"/>
      <c r="Y643" s="36"/>
      <c r="Z643" s="36"/>
      <c r="AA643" s="36"/>
    </row>
    <row r="644" spans="1:27" x14ac:dyDescent="0.3">
      <c r="C644" t="s">
        <v>134</v>
      </c>
      <c r="D644" s="36">
        <v>4847</v>
      </c>
      <c r="E644" s="36"/>
      <c r="F644" s="36"/>
      <c r="G644" s="36"/>
      <c r="H644" s="36"/>
      <c r="I644" s="36"/>
      <c r="J644" s="36"/>
      <c r="K644" s="36"/>
      <c r="L644" s="36"/>
      <c r="M644" s="36"/>
      <c r="N644" s="36"/>
      <c r="O644" s="36"/>
      <c r="P644" s="36"/>
      <c r="Q644" s="36"/>
      <c r="R644" s="36"/>
      <c r="S644" s="36"/>
      <c r="T644" s="36"/>
      <c r="U644" s="36"/>
      <c r="V644" s="36"/>
      <c r="W644" s="36"/>
      <c r="X644" s="36"/>
      <c r="Y644" s="36"/>
      <c r="Z644" s="36"/>
      <c r="AA644" s="36"/>
    </row>
    <row r="645" spans="1:27" x14ac:dyDescent="0.3">
      <c r="C645" t="s">
        <v>135</v>
      </c>
      <c r="D645" s="36"/>
      <c r="E645" s="36"/>
      <c r="F645" s="36"/>
      <c r="G645" s="36"/>
      <c r="H645" s="36"/>
      <c r="I645" s="36"/>
      <c r="J645" s="36"/>
      <c r="K645" s="36"/>
      <c r="L645" s="36"/>
      <c r="M645" s="36"/>
      <c r="N645" s="36"/>
      <c r="O645" s="36"/>
      <c r="P645" s="36"/>
      <c r="Q645" s="36"/>
      <c r="R645" s="36"/>
      <c r="S645" s="36"/>
      <c r="T645" s="36"/>
      <c r="U645" s="36"/>
      <c r="V645" s="36"/>
      <c r="W645" s="36"/>
      <c r="X645" s="36"/>
      <c r="Y645" s="36"/>
      <c r="Z645" s="36"/>
      <c r="AA645" s="36"/>
    </row>
    <row r="646" spans="1:27" x14ac:dyDescent="0.3">
      <c r="C646" t="s">
        <v>136</v>
      </c>
      <c r="D646" s="36">
        <v>0</v>
      </c>
      <c r="E646" s="36">
        <v>0</v>
      </c>
      <c r="F646" s="36">
        <v>0</v>
      </c>
      <c r="G646" s="36">
        <v>10800</v>
      </c>
      <c r="H646" s="36">
        <v>0</v>
      </c>
      <c r="I646" s="36">
        <v>0</v>
      </c>
      <c r="J646" s="36">
        <v>10800</v>
      </c>
      <c r="K646" s="36">
        <v>0</v>
      </c>
      <c r="L646" s="36">
        <v>0</v>
      </c>
      <c r="M646" s="36">
        <v>0</v>
      </c>
      <c r="N646" s="36">
        <v>0</v>
      </c>
      <c r="O646" s="36">
        <v>10800</v>
      </c>
      <c r="P646" s="36">
        <v>0</v>
      </c>
      <c r="Q646" s="36">
        <v>0</v>
      </c>
      <c r="R646" s="36">
        <v>0</v>
      </c>
      <c r="S646" s="36">
        <v>0</v>
      </c>
      <c r="T646" s="36">
        <v>0</v>
      </c>
      <c r="U646" s="36">
        <v>0</v>
      </c>
      <c r="V646" s="36">
        <v>0</v>
      </c>
      <c r="W646" s="36">
        <v>0</v>
      </c>
      <c r="X646" s="36">
        <v>0</v>
      </c>
      <c r="Y646" s="36">
        <v>0</v>
      </c>
      <c r="Z646" s="36">
        <v>0</v>
      </c>
      <c r="AA646" s="36">
        <v>0</v>
      </c>
    </row>
    <row r="647" spans="1:27" x14ac:dyDescent="0.3">
      <c r="C647" t="s">
        <v>124</v>
      </c>
      <c r="D647" s="36"/>
      <c r="E647" s="36"/>
      <c r="F647" s="36"/>
      <c r="G647" s="36">
        <v>10800</v>
      </c>
      <c r="H647" s="36"/>
      <c r="I647" s="36"/>
      <c r="J647" s="36">
        <v>10800</v>
      </c>
      <c r="K647" s="36"/>
      <c r="L647" s="36"/>
      <c r="M647" s="36"/>
      <c r="N647" s="36"/>
      <c r="O647" s="36">
        <v>10800</v>
      </c>
      <c r="P647" s="36"/>
      <c r="Q647" s="36"/>
      <c r="R647" s="36"/>
      <c r="S647" s="36"/>
      <c r="T647" s="36"/>
      <c r="U647" s="36"/>
      <c r="V647" s="36"/>
      <c r="W647" s="36"/>
      <c r="X647" s="36"/>
      <c r="Y647" s="36"/>
      <c r="Z647" s="36"/>
      <c r="AA647" s="36"/>
    </row>
    <row r="648" spans="1:27" x14ac:dyDescent="0.3">
      <c r="C648" t="s">
        <v>137</v>
      </c>
      <c r="D648" s="36"/>
      <c r="E648" s="36"/>
      <c r="F648" s="36"/>
      <c r="G648" s="36"/>
      <c r="H648" s="36"/>
      <c r="I648" s="36"/>
      <c r="J648" s="36"/>
      <c r="K648" s="36"/>
      <c r="L648" s="36"/>
      <c r="M648" s="36"/>
      <c r="N648" s="36"/>
      <c r="O648" s="36"/>
      <c r="P648" s="36"/>
      <c r="Q648" s="36"/>
      <c r="R648" s="36"/>
      <c r="S648" s="36"/>
      <c r="T648" s="36"/>
      <c r="U648" s="36"/>
      <c r="V648" s="36"/>
      <c r="W648" s="36"/>
      <c r="X648" s="36"/>
      <c r="Y648" s="36"/>
      <c r="Z648" s="36"/>
      <c r="AA648" s="36"/>
    </row>
    <row r="649" spans="1:27" x14ac:dyDescent="0.3">
      <c r="C649" t="s">
        <v>138</v>
      </c>
      <c r="D649" s="36"/>
      <c r="E649" s="36"/>
      <c r="F649" s="36"/>
      <c r="G649" s="36"/>
      <c r="H649" s="36"/>
      <c r="I649" s="36"/>
      <c r="J649" s="36"/>
      <c r="K649" s="36"/>
      <c r="L649" s="36"/>
      <c r="M649" s="36"/>
      <c r="N649" s="36"/>
      <c r="O649" s="36"/>
      <c r="P649" s="36"/>
      <c r="Q649" s="36"/>
      <c r="R649" s="36"/>
      <c r="S649" s="36"/>
      <c r="T649" s="36"/>
      <c r="U649" s="36"/>
      <c r="V649" s="36"/>
      <c r="W649" s="36"/>
      <c r="X649" s="36"/>
      <c r="Y649" s="36"/>
      <c r="Z649" s="36"/>
      <c r="AA649" s="36"/>
    </row>
    <row r="650" spans="1:27" x14ac:dyDescent="0.3">
      <c r="C650" t="s">
        <v>139</v>
      </c>
      <c r="D650" s="36"/>
      <c r="E650" s="36"/>
      <c r="F650" s="36"/>
      <c r="G650" s="36">
        <v>10800</v>
      </c>
      <c r="H650" s="36"/>
      <c r="I650" s="36"/>
      <c r="J650" s="36">
        <v>10800</v>
      </c>
      <c r="K650" s="36"/>
      <c r="L650" s="36"/>
      <c r="M650" s="36"/>
      <c r="N650" s="36"/>
      <c r="O650" s="36">
        <v>10800</v>
      </c>
      <c r="P650" s="36"/>
      <c r="Q650" s="36"/>
      <c r="R650" s="36"/>
      <c r="S650" s="36"/>
      <c r="T650" s="36"/>
      <c r="U650" s="36"/>
      <c r="V650" s="36"/>
      <c r="W650" s="36"/>
      <c r="X650" s="36"/>
      <c r="Y650" s="36"/>
      <c r="Z650" s="36"/>
      <c r="AA650" s="36"/>
    </row>
    <row r="651" spans="1:27" x14ac:dyDescent="0.3">
      <c r="C651" t="s">
        <v>140</v>
      </c>
      <c r="D651" s="36">
        <v>4204</v>
      </c>
      <c r="E651" s="36">
        <v>-2141</v>
      </c>
      <c r="F651" s="36">
        <v>-7446</v>
      </c>
      <c r="G651" s="36">
        <v>-1962</v>
      </c>
      <c r="H651" s="36">
        <v>-6939</v>
      </c>
      <c r="I651" s="36">
        <v>-11877</v>
      </c>
      <c r="J651" s="36">
        <v>-6017</v>
      </c>
      <c r="K651" s="36">
        <v>-10971</v>
      </c>
      <c r="L651" s="36">
        <v>-14778</v>
      </c>
      <c r="M651" s="36">
        <v>-17742</v>
      </c>
      <c r="N651" s="36">
        <v>-20694</v>
      </c>
      <c r="O651" s="36">
        <v>-13287</v>
      </c>
      <c r="P651" s="36">
        <v>-16722</v>
      </c>
      <c r="Q651" s="36">
        <v>-20075</v>
      </c>
      <c r="R651" s="36">
        <v>-23504</v>
      </c>
      <c r="S651" s="36">
        <v>-26419</v>
      </c>
      <c r="T651" s="36">
        <v>-29282</v>
      </c>
      <c r="U651" s="36">
        <v>-32343</v>
      </c>
      <c r="V651" s="36">
        <v>-35484</v>
      </c>
      <c r="W651" s="36">
        <v>-38639</v>
      </c>
      <c r="X651" s="36">
        <v>-41834</v>
      </c>
      <c r="Y651" s="36">
        <v>-44938</v>
      </c>
      <c r="Z651" s="36">
        <v>-48010</v>
      </c>
      <c r="AA651" s="36">
        <v>-51083</v>
      </c>
    </row>
    <row r="652" spans="1:27" x14ac:dyDescent="0.3">
      <c r="C652" t="s">
        <v>141</v>
      </c>
      <c r="D652" s="36">
        <v>0</v>
      </c>
      <c r="E652" s="36">
        <v>0</v>
      </c>
      <c r="F652" s="36">
        <v>0</v>
      </c>
      <c r="G652" s="36">
        <v>0</v>
      </c>
      <c r="H652" s="36">
        <v>0</v>
      </c>
      <c r="I652" s="36">
        <v>0</v>
      </c>
      <c r="J652" s="36">
        <v>0</v>
      </c>
      <c r="K652" s="36">
        <v>0</v>
      </c>
      <c r="L652" s="36">
        <v>0</v>
      </c>
      <c r="M652" s="36">
        <v>0</v>
      </c>
      <c r="N652" s="36">
        <v>0</v>
      </c>
      <c r="O652" s="36">
        <v>0</v>
      </c>
      <c r="P652" s="36">
        <v>0</v>
      </c>
      <c r="Q652" s="36">
        <v>0</v>
      </c>
      <c r="R652" s="36">
        <v>0</v>
      </c>
      <c r="S652" s="36">
        <v>0</v>
      </c>
      <c r="T652" s="36">
        <v>0</v>
      </c>
      <c r="U652" s="36">
        <v>0</v>
      </c>
      <c r="V652" s="36">
        <v>0</v>
      </c>
      <c r="W652" s="36">
        <v>0</v>
      </c>
      <c r="X652" s="36">
        <v>0</v>
      </c>
      <c r="Y652" s="36">
        <v>0</v>
      </c>
      <c r="Z652" s="36">
        <v>0</v>
      </c>
      <c r="AA652" s="36">
        <v>0</v>
      </c>
    </row>
    <row r="653" spans="1:27" x14ac:dyDescent="0.3">
      <c r="A653" t="s">
        <v>229</v>
      </c>
      <c r="B653" t="s">
        <v>177</v>
      </c>
      <c r="C653" t="s">
        <v>129</v>
      </c>
      <c r="D653" s="36">
        <v>62587</v>
      </c>
      <c r="E653" s="36"/>
      <c r="F653" s="36"/>
      <c r="G653" s="36"/>
      <c r="H653" s="36"/>
      <c r="I653" s="36"/>
      <c r="J653" s="36"/>
      <c r="K653" s="36"/>
      <c r="L653" s="36"/>
      <c r="M653" s="36"/>
      <c r="N653" s="36"/>
      <c r="O653" s="36"/>
      <c r="P653" s="36"/>
      <c r="Q653" s="36"/>
      <c r="R653" s="36"/>
      <c r="S653" s="36"/>
      <c r="T653" s="36"/>
      <c r="U653" s="36"/>
      <c r="V653" s="36"/>
      <c r="W653" s="36"/>
      <c r="X653" s="36"/>
      <c r="Y653" s="36"/>
      <c r="Z653" s="36"/>
      <c r="AA653" s="36"/>
    </row>
    <row r="654" spans="1:27" x14ac:dyDescent="0.3">
      <c r="C654" t="s">
        <v>131</v>
      </c>
      <c r="D654" s="36">
        <v>21571</v>
      </c>
      <c r="E654" s="36">
        <v>21540</v>
      </c>
      <c r="F654" s="36">
        <v>19039</v>
      </c>
      <c r="G654" s="36">
        <v>21276</v>
      </c>
      <c r="H654" s="36">
        <v>22323</v>
      </c>
      <c r="I654" s="36">
        <v>22562</v>
      </c>
      <c r="J654" s="36">
        <v>20776</v>
      </c>
      <c r="K654" s="36">
        <v>21648</v>
      </c>
      <c r="L654" s="36">
        <v>23504</v>
      </c>
      <c r="M654" s="36">
        <v>19894</v>
      </c>
      <c r="N654" s="36">
        <v>18870</v>
      </c>
      <c r="O654" s="36">
        <v>18972</v>
      </c>
      <c r="P654" s="36">
        <v>21963</v>
      </c>
      <c r="Q654" s="36">
        <v>18880</v>
      </c>
      <c r="R654" s="36">
        <v>20032</v>
      </c>
      <c r="S654" s="36">
        <v>19929</v>
      </c>
      <c r="T654" s="36">
        <v>22797</v>
      </c>
      <c r="U654" s="36">
        <v>19080</v>
      </c>
      <c r="V654" s="36">
        <v>18921</v>
      </c>
      <c r="W654" s="36">
        <v>18441</v>
      </c>
      <c r="X654" s="36">
        <v>18401</v>
      </c>
      <c r="Y654" s="36">
        <v>14840</v>
      </c>
      <c r="Z654" s="36">
        <v>13427</v>
      </c>
      <c r="AA654" s="36">
        <v>13423</v>
      </c>
    </row>
    <row r="655" spans="1:27" x14ac:dyDescent="0.3">
      <c r="C655" t="s">
        <v>132</v>
      </c>
      <c r="D655" s="36">
        <v>33192</v>
      </c>
      <c r="E655" s="36"/>
      <c r="F655" s="36"/>
      <c r="G655" s="36"/>
      <c r="H655" s="36"/>
      <c r="I655" s="36"/>
      <c r="J655" s="36"/>
      <c r="K655" s="36"/>
      <c r="L655" s="36"/>
      <c r="M655" s="36"/>
      <c r="N655" s="36"/>
      <c r="O655" s="36"/>
      <c r="P655" s="36"/>
      <c r="Q655" s="36"/>
      <c r="R655" s="36"/>
      <c r="S655" s="36"/>
      <c r="T655" s="36"/>
      <c r="U655" s="36"/>
      <c r="V655" s="36"/>
      <c r="W655" s="36"/>
      <c r="X655" s="36"/>
      <c r="Y655" s="36"/>
      <c r="Z655" s="36"/>
      <c r="AA655" s="36"/>
    </row>
    <row r="656" spans="1:27" x14ac:dyDescent="0.3">
      <c r="C656" t="s">
        <v>133</v>
      </c>
      <c r="D656" s="36">
        <v>324</v>
      </c>
      <c r="E656" s="36"/>
      <c r="F656" s="36"/>
      <c r="G656" s="36"/>
      <c r="H656" s="36"/>
      <c r="I656" s="36"/>
      <c r="J656" s="36"/>
      <c r="K656" s="36"/>
      <c r="L656" s="36"/>
      <c r="M656" s="36"/>
      <c r="N656" s="36"/>
      <c r="O656" s="36"/>
      <c r="P656" s="36"/>
      <c r="Q656" s="36"/>
      <c r="R656" s="36"/>
      <c r="S656" s="36"/>
      <c r="T656" s="36"/>
      <c r="U656" s="36"/>
      <c r="V656" s="36"/>
      <c r="W656" s="36"/>
      <c r="X656" s="36"/>
      <c r="Y656" s="36"/>
      <c r="Z656" s="36"/>
      <c r="AA656" s="36"/>
    </row>
    <row r="657" spans="1:27" x14ac:dyDescent="0.3">
      <c r="C657" t="s">
        <v>134</v>
      </c>
      <c r="D657" s="36">
        <v>4815</v>
      </c>
      <c r="E657" s="36"/>
      <c r="F657" s="36"/>
      <c r="G657" s="36"/>
      <c r="H657" s="36"/>
      <c r="I657" s="36"/>
      <c r="J657" s="36"/>
      <c r="K657" s="36"/>
      <c r="L657" s="36"/>
      <c r="M657" s="36"/>
      <c r="N657" s="36"/>
      <c r="O657" s="36"/>
      <c r="P657" s="36"/>
      <c r="Q657" s="36"/>
      <c r="R657" s="36"/>
      <c r="S657" s="36"/>
      <c r="T657" s="36"/>
      <c r="U657" s="36"/>
      <c r="V657" s="36"/>
      <c r="W657" s="36"/>
      <c r="X657" s="36"/>
      <c r="Y657" s="36"/>
      <c r="Z657" s="36"/>
      <c r="AA657" s="36"/>
    </row>
    <row r="658" spans="1:27" x14ac:dyDescent="0.3">
      <c r="C658" t="s">
        <v>135</v>
      </c>
      <c r="D658" s="36">
        <v>6480</v>
      </c>
      <c r="E658" s="36"/>
      <c r="F658" s="36"/>
      <c r="G658" s="36"/>
      <c r="H658" s="36"/>
      <c r="I658" s="36"/>
      <c r="J658" s="36"/>
      <c r="K658" s="36"/>
      <c r="L658" s="36"/>
      <c r="M658" s="36"/>
      <c r="N658" s="36"/>
      <c r="O658" s="36"/>
      <c r="P658" s="36"/>
      <c r="Q658" s="36"/>
      <c r="R658" s="36"/>
      <c r="S658" s="36"/>
      <c r="T658" s="36"/>
      <c r="U658" s="36"/>
      <c r="V658" s="36"/>
      <c r="W658" s="36"/>
      <c r="X658" s="36"/>
      <c r="Y658" s="36"/>
      <c r="Z658" s="36"/>
      <c r="AA658" s="36"/>
    </row>
    <row r="659" spans="1:27" x14ac:dyDescent="0.3">
      <c r="C659" t="s">
        <v>136</v>
      </c>
      <c r="D659" s="36">
        <v>17280</v>
      </c>
      <c r="E659" s="36">
        <v>21600</v>
      </c>
      <c r="F659" s="36">
        <v>17280</v>
      </c>
      <c r="G659" s="36">
        <v>28080</v>
      </c>
      <c r="H659" s="36">
        <v>28080</v>
      </c>
      <c r="I659" s="36">
        <v>28080</v>
      </c>
      <c r="J659" s="36">
        <v>28080</v>
      </c>
      <c r="K659" s="36">
        <v>28080</v>
      </c>
      <c r="L659" s="36">
        <v>32400</v>
      </c>
      <c r="M659" s="36">
        <v>32400</v>
      </c>
      <c r="N659" s="36">
        <v>32400</v>
      </c>
      <c r="O659" s="36">
        <v>32400</v>
      </c>
      <c r="P659" s="36">
        <v>10800</v>
      </c>
      <c r="Q659" s="36">
        <v>32400</v>
      </c>
      <c r="R659" s="36">
        <v>6480</v>
      </c>
      <c r="S659" s="36">
        <v>0</v>
      </c>
      <c r="T659" s="36">
        <v>0</v>
      </c>
      <c r="U659" s="36">
        <v>0</v>
      </c>
      <c r="V659" s="36">
        <v>0</v>
      </c>
      <c r="W659" s="36">
        <v>0</v>
      </c>
      <c r="X659" s="36">
        <v>0</v>
      </c>
      <c r="Y659" s="36">
        <v>0</v>
      </c>
      <c r="Z659" s="36">
        <v>0</v>
      </c>
      <c r="AA659" s="36">
        <v>0</v>
      </c>
    </row>
    <row r="660" spans="1:27" x14ac:dyDescent="0.3">
      <c r="C660" t="s">
        <v>124</v>
      </c>
      <c r="D660" s="36">
        <v>17280</v>
      </c>
      <c r="E660" s="36">
        <v>21600</v>
      </c>
      <c r="F660" s="36">
        <v>17280</v>
      </c>
      <c r="G660" s="36">
        <v>28080</v>
      </c>
      <c r="H660" s="36">
        <v>28080</v>
      </c>
      <c r="I660" s="36">
        <v>28080</v>
      </c>
      <c r="J660" s="36">
        <v>28080</v>
      </c>
      <c r="K660" s="36">
        <v>28080</v>
      </c>
      <c r="L660" s="36">
        <v>32400</v>
      </c>
      <c r="M660" s="36">
        <v>32400</v>
      </c>
      <c r="N660" s="36">
        <v>32400</v>
      </c>
      <c r="O660" s="36">
        <v>32400</v>
      </c>
      <c r="P660" s="36">
        <v>10800</v>
      </c>
      <c r="Q660" s="36">
        <v>32400</v>
      </c>
      <c r="R660" s="36">
        <v>6480</v>
      </c>
      <c r="S660" s="36"/>
      <c r="T660" s="36"/>
      <c r="U660" s="36"/>
      <c r="V660" s="36"/>
      <c r="W660" s="36"/>
      <c r="X660" s="36"/>
      <c r="Y660" s="36"/>
      <c r="Z660" s="36"/>
      <c r="AA660" s="36"/>
    </row>
    <row r="661" spans="1:27" x14ac:dyDescent="0.3">
      <c r="C661" t="s">
        <v>137</v>
      </c>
      <c r="D661" s="36"/>
      <c r="E661" s="36"/>
      <c r="F661" s="36"/>
      <c r="G661" s="36"/>
      <c r="H661" s="36"/>
      <c r="I661" s="36"/>
      <c r="J661" s="36"/>
      <c r="K661" s="36"/>
      <c r="L661" s="36"/>
      <c r="M661" s="36"/>
      <c r="N661" s="36"/>
      <c r="O661" s="36"/>
      <c r="P661" s="36"/>
      <c r="Q661" s="36"/>
      <c r="R661" s="36"/>
      <c r="S661" s="36"/>
      <c r="T661" s="36"/>
      <c r="U661" s="36"/>
      <c r="V661" s="36"/>
      <c r="W661" s="36"/>
      <c r="X661" s="36"/>
      <c r="Y661" s="36"/>
      <c r="Z661" s="36"/>
      <c r="AA661" s="36"/>
    </row>
    <row r="662" spans="1:27" x14ac:dyDescent="0.3">
      <c r="C662" t="s">
        <v>138</v>
      </c>
      <c r="D662" s="36"/>
      <c r="E662" s="36"/>
      <c r="F662" s="36"/>
      <c r="G662" s="36"/>
      <c r="H662" s="36"/>
      <c r="I662" s="36"/>
      <c r="J662" s="36"/>
      <c r="K662" s="36"/>
      <c r="L662" s="36"/>
      <c r="M662" s="36"/>
      <c r="N662" s="36"/>
      <c r="O662" s="36"/>
      <c r="P662" s="36"/>
      <c r="Q662" s="36"/>
      <c r="R662" s="36"/>
      <c r="S662" s="36"/>
      <c r="T662" s="36"/>
      <c r="U662" s="36"/>
      <c r="V662" s="36"/>
      <c r="W662" s="36"/>
      <c r="X662" s="36"/>
      <c r="Y662" s="36"/>
      <c r="Z662" s="36"/>
      <c r="AA662" s="36"/>
    </row>
    <row r="663" spans="1:27" x14ac:dyDescent="0.3">
      <c r="C663" t="s">
        <v>139</v>
      </c>
      <c r="D663" s="36">
        <v>17280</v>
      </c>
      <c r="E663" s="36">
        <v>21600</v>
      </c>
      <c r="F663" s="36">
        <v>17280</v>
      </c>
      <c r="G663" s="36">
        <v>28080</v>
      </c>
      <c r="H663" s="36">
        <v>28080</v>
      </c>
      <c r="I663" s="36">
        <v>28080</v>
      </c>
      <c r="J663" s="36">
        <v>28080</v>
      </c>
      <c r="K663" s="36">
        <v>28080</v>
      </c>
      <c r="L663" s="36">
        <v>32400</v>
      </c>
      <c r="M663" s="36">
        <v>32400</v>
      </c>
      <c r="N663" s="36">
        <v>32400</v>
      </c>
      <c r="O663" s="36">
        <v>32400</v>
      </c>
      <c r="P663" s="36">
        <v>10800</v>
      </c>
      <c r="Q663" s="36">
        <v>32400</v>
      </c>
      <c r="R663" s="36">
        <v>6480</v>
      </c>
      <c r="S663" s="36"/>
      <c r="T663" s="36"/>
      <c r="U663" s="36"/>
      <c r="V663" s="36"/>
      <c r="W663" s="36"/>
      <c r="X663" s="36"/>
      <c r="Y663" s="36"/>
      <c r="Z663" s="36"/>
      <c r="AA663" s="36"/>
    </row>
    <row r="664" spans="1:27" x14ac:dyDescent="0.3">
      <c r="C664" t="s">
        <v>140</v>
      </c>
      <c r="D664" s="36">
        <v>-22067.000000000004</v>
      </c>
      <c r="E664" s="36">
        <v>-22007.000000000004</v>
      </c>
      <c r="F664" s="36">
        <v>-23766.000000000004</v>
      </c>
      <c r="G664" s="36">
        <v>-16962</v>
      </c>
      <c r="H664" s="36">
        <v>-11205.000000000005</v>
      </c>
      <c r="I664" s="36">
        <v>-5687.0000000000055</v>
      </c>
      <c r="J664" s="36">
        <v>1616.9999999999982</v>
      </c>
      <c r="K664" s="36">
        <v>8048.9999999999945</v>
      </c>
      <c r="L664" s="36">
        <v>16944.999999999993</v>
      </c>
      <c r="M664" s="36">
        <v>29450.999999999989</v>
      </c>
      <c r="N664" s="36">
        <v>42980.999999999993</v>
      </c>
      <c r="O664" s="36">
        <v>56408.999999999993</v>
      </c>
      <c r="P664" s="36">
        <v>45246</v>
      </c>
      <c r="Q664" s="36">
        <v>58766</v>
      </c>
      <c r="R664" s="36">
        <v>45214</v>
      </c>
      <c r="S664" s="36">
        <v>25285</v>
      </c>
      <c r="T664" s="36">
        <v>2488</v>
      </c>
      <c r="U664" s="36">
        <v>-16591.999999999993</v>
      </c>
      <c r="V664" s="36">
        <v>-35513</v>
      </c>
      <c r="W664" s="36">
        <v>-53954</v>
      </c>
      <c r="X664" s="36">
        <v>-72355</v>
      </c>
      <c r="Y664" s="36">
        <v>-87195</v>
      </c>
      <c r="Z664" s="36">
        <v>-100622</v>
      </c>
      <c r="AA664" s="36">
        <v>-114045</v>
      </c>
    </row>
    <row r="665" spans="1:27" x14ac:dyDescent="0.3">
      <c r="C665" t="s">
        <v>141</v>
      </c>
      <c r="D665" s="36">
        <v>0</v>
      </c>
      <c r="E665" s="36">
        <v>0</v>
      </c>
      <c r="F665" s="36">
        <v>0</v>
      </c>
      <c r="G665" s="36">
        <v>0</v>
      </c>
      <c r="H665" s="36">
        <v>0</v>
      </c>
      <c r="I665" s="36">
        <v>0</v>
      </c>
      <c r="J665" s="36">
        <v>0</v>
      </c>
      <c r="K665" s="36">
        <v>0</v>
      </c>
      <c r="L665" s="36">
        <v>0</v>
      </c>
      <c r="M665" s="36">
        <v>0</v>
      </c>
      <c r="N665" s="36">
        <v>0</v>
      </c>
      <c r="O665" s="36">
        <v>0</v>
      </c>
      <c r="P665" s="36">
        <v>0</v>
      </c>
      <c r="Q665" s="36">
        <v>0</v>
      </c>
      <c r="R665" s="36">
        <v>0</v>
      </c>
      <c r="S665" s="36">
        <v>0</v>
      </c>
      <c r="T665" s="36">
        <v>0</v>
      </c>
      <c r="U665" s="36">
        <v>0</v>
      </c>
      <c r="V665" s="36">
        <v>0</v>
      </c>
      <c r="W665" s="36">
        <v>0</v>
      </c>
      <c r="X665" s="36">
        <v>0</v>
      </c>
      <c r="Y665" s="36">
        <v>0</v>
      </c>
      <c r="Z665" s="36">
        <v>0</v>
      </c>
      <c r="AA665" s="36">
        <v>0</v>
      </c>
    </row>
    <row r="666" spans="1:27" x14ac:dyDescent="0.3">
      <c r="A666" t="s">
        <v>188</v>
      </c>
      <c r="B666" t="s">
        <v>177</v>
      </c>
      <c r="C666" t="s">
        <v>129</v>
      </c>
      <c r="D666" s="36">
        <v>50</v>
      </c>
      <c r="E666" s="36"/>
      <c r="F666" s="36"/>
      <c r="G666" s="36"/>
      <c r="H666" s="36"/>
      <c r="I666" s="36"/>
      <c r="J666" s="36"/>
      <c r="K666" s="36"/>
      <c r="L666" s="36"/>
      <c r="M666" s="36"/>
      <c r="N666" s="36"/>
      <c r="O666" s="36"/>
      <c r="P666" s="36"/>
      <c r="Q666" s="36"/>
      <c r="R666" s="36"/>
      <c r="S666" s="36"/>
      <c r="T666" s="36"/>
      <c r="U666" s="36"/>
      <c r="V666" s="36"/>
      <c r="W666" s="36"/>
      <c r="X666" s="36"/>
      <c r="Y666" s="36"/>
      <c r="Z666" s="36"/>
      <c r="AA666" s="36"/>
    </row>
    <row r="667" spans="1:27" x14ac:dyDescent="0.3">
      <c r="C667" t="s">
        <v>131</v>
      </c>
      <c r="D667" s="36">
        <v>0</v>
      </c>
      <c r="E667" s="36">
        <v>2</v>
      </c>
      <c r="F667" s="36">
        <v>0</v>
      </c>
      <c r="G667" s="36">
        <v>2</v>
      </c>
      <c r="H667" s="36">
        <v>0</v>
      </c>
      <c r="I667" s="36">
        <v>0</v>
      </c>
      <c r="J667" s="36">
        <v>0</v>
      </c>
      <c r="K667" s="36">
        <v>0</v>
      </c>
      <c r="L667" s="36">
        <v>0</v>
      </c>
      <c r="M667" s="36">
        <v>0</v>
      </c>
      <c r="N667" s="36">
        <v>0</v>
      </c>
      <c r="O667" s="36">
        <v>0</v>
      </c>
      <c r="P667" s="36">
        <v>0</v>
      </c>
      <c r="Q667" s="36">
        <v>0</v>
      </c>
      <c r="R667" s="36">
        <v>0</v>
      </c>
      <c r="S667" s="36">
        <v>0</v>
      </c>
      <c r="T667" s="36">
        <v>0</v>
      </c>
      <c r="U667" s="36">
        <v>0</v>
      </c>
      <c r="V667" s="36">
        <v>0</v>
      </c>
      <c r="W667" s="36">
        <v>0</v>
      </c>
      <c r="X667" s="36">
        <v>0</v>
      </c>
      <c r="Y667" s="36">
        <v>0</v>
      </c>
      <c r="Z667" s="36">
        <v>0</v>
      </c>
      <c r="AA667" s="36">
        <v>0</v>
      </c>
    </row>
    <row r="668" spans="1:27" x14ac:dyDescent="0.3">
      <c r="C668" t="s">
        <v>132</v>
      </c>
      <c r="D668" s="36">
        <v>20574</v>
      </c>
      <c r="E668" s="36"/>
      <c r="F668" s="36"/>
      <c r="G668" s="36"/>
      <c r="H668" s="36"/>
      <c r="I668" s="36"/>
      <c r="J668" s="36"/>
      <c r="K668" s="36"/>
      <c r="L668" s="36"/>
      <c r="M668" s="36"/>
      <c r="N668" s="36"/>
      <c r="O668" s="36"/>
      <c r="P668" s="36"/>
      <c r="Q668" s="36"/>
      <c r="R668" s="36"/>
      <c r="S668" s="36"/>
      <c r="T668" s="36"/>
      <c r="U668" s="36"/>
      <c r="V668" s="36"/>
      <c r="W668" s="36"/>
      <c r="X668" s="36"/>
      <c r="Y668" s="36"/>
      <c r="Z668" s="36"/>
      <c r="AA668" s="36"/>
    </row>
    <row r="669" spans="1:27" x14ac:dyDescent="0.3">
      <c r="C669" t="s">
        <v>133</v>
      </c>
      <c r="D669" s="36">
        <v>0</v>
      </c>
      <c r="E669" s="36"/>
      <c r="F669" s="36"/>
      <c r="G669" s="36"/>
      <c r="H669" s="36"/>
      <c r="I669" s="36"/>
      <c r="J669" s="36"/>
      <c r="K669" s="36"/>
      <c r="L669" s="36"/>
      <c r="M669" s="36"/>
      <c r="N669" s="36"/>
      <c r="O669" s="36"/>
      <c r="P669" s="36"/>
      <c r="Q669" s="36"/>
      <c r="R669" s="36"/>
      <c r="S669" s="36"/>
      <c r="T669" s="36"/>
      <c r="U669" s="36"/>
      <c r="V669" s="36"/>
      <c r="W669" s="36"/>
      <c r="X669" s="36"/>
      <c r="Y669" s="36"/>
      <c r="Z669" s="36"/>
      <c r="AA669" s="36"/>
    </row>
    <row r="670" spans="1:27" x14ac:dyDescent="0.3">
      <c r="C670" t="s">
        <v>134</v>
      </c>
      <c r="D670" s="36">
        <v>53</v>
      </c>
      <c r="E670" s="36"/>
      <c r="F670" s="36"/>
      <c r="G670" s="36"/>
      <c r="H670" s="36"/>
      <c r="I670" s="36"/>
      <c r="J670" s="36"/>
      <c r="K670" s="36"/>
      <c r="L670" s="36"/>
      <c r="M670" s="36"/>
      <c r="N670" s="36"/>
      <c r="O670" s="36"/>
      <c r="P670" s="36"/>
      <c r="Q670" s="36"/>
      <c r="R670" s="36"/>
      <c r="S670" s="36"/>
      <c r="T670" s="36"/>
      <c r="U670" s="36"/>
      <c r="V670" s="36"/>
      <c r="W670" s="36"/>
      <c r="X670" s="36"/>
      <c r="Y670" s="36"/>
      <c r="Z670" s="36"/>
      <c r="AA670" s="36"/>
    </row>
    <row r="671" spans="1:27" x14ac:dyDescent="0.3">
      <c r="C671" t="s">
        <v>135</v>
      </c>
      <c r="D671" s="36"/>
      <c r="E671" s="36"/>
      <c r="F671" s="36"/>
      <c r="G671" s="36"/>
      <c r="H671" s="36"/>
      <c r="I671" s="36"/>
      <c r="J671" s="36"/>
      <c r="K671" s="36"/>
      <c r="L671" s="36"/>
      <c r="M671" s="36"/>
      <c r="N671" s="36"/>
      <c r="O671" s="36"/>
      <c r="P671" s="36"/>
      <c r="Q671" s="36"/>
      <c r="R671" s="36"/>
      <c r="S671" s="36"/>
      <c r="T671" s="36"/>
      <c r="U671" s="36"/>
      <c r="V671" s="36"/>
      <c r="W671" s="36"/>
      <c r="X671" s="36"/>
      <c r="Y671" s="36"/>
      <c r="Z671" s="36"/>
      <c r="AA671" s="36"/>
    </row>
    <row r="672" spans="1:27" x14ac:dyDescent="0.3">
      <c r="C672" t="s">
        <v>136</v>
      </c>
      <c r="D672" s="36">
        <v>0</v>
      </c>
      <c r="E672" s="36">
        <v>0</v>
      </c>
      <c r="F672" s="36">
        <v>0</v>
      </c>
      <c r="G672" s="36">
        <v>0</v>
      </c>
      <c r="H672" s="36">
        <v>0</v>
      </c>
      <c r="I672" s="36">
        <v>0</v>
      </c>
      <c r="J672" s="36">
        <v>0</v>
      </c>
      <c r="K672" s="36">
        <v>0</v>
      </c>
      <c r="L672" s="36">
        <v>0</v>
      </c>
      <c r="M672" s="36">
        <v>0</v>
      </c>
      <c r="N672" s="36">
        <v>0</v>
      </c>
      <c r="O672" s="36">
        <v>0</v>
      </c>
      <c r="P672" s="36">
        <v>0</v>
      </c>
      <c r="Q672" s="36">
        <v>0</v>
      </c>
      <c r="R672" s="36">
        <v>2890</v>
      </c>
      <c r="S672" s="36">
        <v>0</v>
      </c>
      <c r="T672" s="36">
        <v>0</v>
      </c>
      <c r="U672" s="36">
        <v>0</v>
      </c>
      <c r="V672" s="36">
        <v>0</v>
      </c>
      <c r="W672" s="36">
        <v>0</v>
      </c>
      <c r="X672" s="36">
        <v>0</v>
      </c>
      <c r="Y672" s="36">
        <v>0</v>
      </c>
      <c r="Z672" s="36">
        <v>0</v>
      </c>
      <c r="AA672" s="36">
        <v>0</v>
      </c>
    </row>
    <row r="673" spans="1:27" x14ac:dyDescent="0.3">
      <c r="C673" t="s">
        <v>124</v>
      </c>
      <c r="D673" s="36"/>
      <c r="E673" s="36"/>
      <c r="F673" s="36"/>
      <c r="G673" s="36"/>
      <c r="H673" s="36"/>
      <c r="I673" s="36"/>
      <c r="J673" s="36"/>
      <c r="K673" s="36"/>
      <c r="L673" s="36"/>
      <c r="M673" s="36"/>
      <c r="N673" s="36"/>
      <c r="O673" s="36"/>
      <c r="P673" s="36"/>
      <c r="Q673" s="36"/>
      <c r="R673" s="36">
        <v>2890</v>
      </c>
      <c r="S673" s="36"/>
      <c r="T673" s="36"/>
      <c r="U673" s="36"/>
      <c r="V673" s="36"/>
      <c r="W673" s="36"/>
      <c r="X673" s="36"/>
      <c r="Y673" s="36"/>
      <c r="Z673" s="36"/>
      <c r="AA673" s="36"/>
    </row>
    <row r="674" spans="1:27" x14ac:dyDescent="0.3">
      <c r="C674" t="s">
        <v>137</v>
      </c>
      <c r="D674" s="36"/>
      <c r="E674" s="36"/>
      <c r="F674" s="36"/>
      <c r="G674" s="36"/>
      <c r="H674" s="36"/>
      <c r="I674" s="36"/>
      <c r="J674" s="36"/>
      <c r="K674" s="36"/>
      <c r="L674" s="36"/>
      <c r="M674" s="36"/>
      <c r="N674" s="36"/>
      <c r="O674" s="36"/>
      <c r="P674" s="36"/>
      <c r="Q674" s="36"/>
      <c r="R674" s="36"/>
      <c r="S674" s="36"/>
      <c r="T674" s="36"/>
      <c r="U674" s="36"/>
      <c r="V674" s="36"/>
      <c r="W674" s="36"/>
      <c r="X674" s="36"/>
      <c r="Y674" s="36"/>
      <c r="Z674" s="36"/>
      <c r="AA674" s="36"/>
    </row>
    <row r="675" spans="1:27" x14ac:dyDescent="0.3">
      <c r="C675" t="s">
        <v>138</v>
      </c>
      <c r="D675" s="36"/>
      <c r="E675" s="36"/>
      <c r="F675" s="36"/>
      <c r="G675" s="36"/>
      <c r="H675" s="36"/>
      <c r="I675" s="36"/>
      <c r="J675" s="36"/>
      <c r="K675" s="36"/>
      <c r="L675" s="36"/>
      <c r="M675" s="36"/>
      <c r="N675" s="36"/>
      <c r="O675" s="36"/>
      <c r="P675" s="36"/>
      <c r="Q675" s="36"/>
      <c r="R675" s="36"/>
      <c r="S675" s="36"/>
      <c r="T675" s="36"/>
      <c r="U675" s="36"/>
      <c r="V675" s="36"/>
      <c r="W675" s="36"/>
      <c r="X675" s="36"/>
      <c r="Y675" s="36"/>
      <c r="Z675" s="36"/>
      <c r="AA675" s="36"/>
    </row>
    <row r="676" spans="1:27" x14ac:dyDescent="0.3">
      <c r="C676" t="s">
        <v>139</v>
      </c>
      <c r="D676" s="36"/>
      <c r="E676" s="36"/>
      <c r="F676" s="36"/>
      <c r="G676" s="36"/>
      <c r="H676" s="36"/>
      <c r="I676" s="36"/>
      <c r="J676" s="36"/>
      <c r="K676" s="36"/>
      <c r="L676" s="36"/>
      <c r="M676" s="36"/>
      <c r="N676" s="36"/>
      <c r="O676" s="36"/>
      <c r="P676" s="36"/>
      <c r="Q676" s="36"/>
      <c r="R676" s="36">
        <v>2890</v>
      </c>
      <c r="S676" s="36"/>
      <c r="T676" s="36"/>
      <c r="U676" s="36"/>
      <c r="V676" s="36"/>
      <c r="W676" s="36"/>
      <c r="X676" s="36"/>
      <c r="Y676" s="36"/>
      <c r="Z676" s="36"/>
      <c r="AA676" s="36"/>
    </row>
    <row r="677" spans="1:27" x14ac:dyDescent="0.3">
      <c r="C677" t="s">
        <v>140</v>
      </c>
      <c r="D677" s="36">
        <v>20577</v>
      </c>
      <c r="E677" s="36">
        <v>20575</v>
      </c>
      <c r="F677" s="36">
        <v>20575</v>
      </c>
      <c r="G677" s="36">
        <v>20573</v>
      </c>
      <c r="H677" s="36">
        <v>20573</v>
      </c>
      <c r="I677" s="36">
        <v>20573</v>
      </c>
      <c r="J677" s="36">
        <v>20573</v>
      </c>
      <c r="K677" s="36">
        <v>20573</v>
      </c>
      <c r="L677" s="36">
        <v>20573</v>
      </c>
      <c r="M677" s="36">
        <v>20573</v>
      </c>
      <c r="N677" s="36">
        <v>20573</v>
      </c>
      <c r="O677" s="36">
        <v>20573</v>
      </c>
      <c r="P677" s="36">
        <v>20573</v>
      </c>
      <c r="Q677" s="36">
        <v>20573</v>
      </c>
      <c r="R677" s="36">
        <v>23463</v>
      </c>
      <c r="S677" s="36">
        <v>23463</v>
      </c>
      <c r="T677" s="36">
        <v>23463</v>
      </c>
      <c r="U677" s="36">
        <v>23463</v>
      </c>
      <c r="V677" s="36">
        <v>23463</v>
      </c>
      <c r="W677" s="36">
        <v>23463</v>
      </c>
      <c r="X677" s="36">
        <v>23463</v>
      </c>
      <c r="Y677" s="36">
        <v>23463</v>
      </c>
      <c r="Z677" s="36">
        <v>23463</v>
      </c>
      <c r="AA677" s="36">
        <v>23463</v>
      </c>
    </row>
    <row r="678" spans="1:27" x14ac:dyDescent="0.3">
      <c r="C678" t="s">
        <v>141</v>
      </c>
      <c r="D678" s="36">
        <v>0</v>
      </c>
      <c r="E678" s="36">
        <v>0</v>
      </c>
      <c r="F678" s="36">
        <v>0</v>
      </c>
      <c r="G678" s="36">
        <v>0</v>
      </c>
      <c r="H678" s="36">
        <v>0</v>
      </c>
      <c r="I678" s="36">
        <v>0</v>
      </c>
      <c r="J678" s="36">
        <v>0</v>
      </c>
      <c r="K678" s="36">
        <v>0</v>
      </c>
      <c r="L678" s="36">
        <v>0</v>
      </c>
      <c r="M678" s="36">
        <v>0</v>
      </c>
      <c r="N678" s="36">
        <v>0</v>
      </c>
      <c r="O678" s="36">
        <v>0</v>
      </c>
      <c r="P678" s="36">
        <v>0</v>
      </c>
      <c r="Q678" s="36">
        <v>0</v>
      </c>
      <c r="R678" s="36">
        <v>0</v>
      </c>
      <c r="S678" s="36">
        <v>0</v>
      </c>
      <c r="T678" s="36">
        <v>0</v>
      </c>
      <c r="U678" s="36">
        <v>0</v>
      </c>
      <c r="V678" s="36">
        <v>0</v>
      </c>
      <c r="W678" s="36">
        <v>0</v>
      </c>
      <c r="X678" s="36">
        <v>0</v>
      </c>
      <c r="Y678" s="36">
        <v>0</v>
      </c>
      <c r="Z678" s="36">
        <v>0</v>
      </c>
      <c r="AA678" s="36">
        <v>0</v>
      </c>
    </row>
    <row r="679" spans="1:27" x14ac:dyDescent="0.3">
      <c r="A679" t="s">
        <v>294</v>
      </c>
      <c r="B679" t="s">
        <v>195</v>
      </c>
      <c r="C679" t="s">
        <v>129</v>
      </c>
      <c r="D679" s="36">
        <v>743</v>
      </c>
      <c r="E679" s="36"/>
      <c r="F679" s="36"/>
      <c r="G679" s="36"/>
      <c r="H679" s="36"/>
      <c r="I679" s="36"/>
      <c r="J679" s="36"/>
      <c r="K679" s="36"/>
      <c r="L679" s="36"/>
      <c r="M679" s="36"/>
      <c r="N679" s="36"/>
      <c r="O679" s="36"/>
      <c r="P679" s="36"/>
      <c r="Q679" s="36"/>
      <c r="R679" s="36"/>
      <c r="S679" s="36"/>
      <c r="T679" s="36"/>
      <c r="U679" s="36"/>
      <c r="V679" s="36"/>
      <c r="W679" s="36"/>
      <c r="X679" s="36"/>
      <c r="Y679" s="36"/>
      <c r="Z679" s="36"/>
      <c r="AA679" s="36"/>
    </row>
    <row r="680" spans="1:27" x14ac:dyDescent="0.3">
      <c r="C680" t="s">
        <v>131</v>
      </c>
      <c r="D680" s="36">
        <v>210</v>
      </c>
      <c r="E680" s="36">
        <v>389</v>
      </c>
      <c r="F680" s="36">
        <v>338</v>
      </c>
      <c r="G680" s="36">
        <v>9469</v>
      </c>
      <c r="H680" s="36">
        <v>249</v>
      </c>
      <c r="I680" s="36">
        <v>715</v>
      </c>
      <c r="J680" s="36">
        <v>379</v>
      </c>
      <c r="K680" s="36">
        <v>501</v>
      </c>
      <c r="L680" s="36">
        <v>466</v>
      </c>
      <c r="M680" s="36">
        <v>520</v>
      </c>
      <c r="N680" s="36">
        <v>439</v>
      </c>
      <c r="O680" s="36">
        <v>424</v>
      </c>
      <c r="P680" s="36">
        <v>412</v>
      </c>
      <c r="Q680" s="36">
        <v>295</v>
      </c>
      <c r="R680" s="36">
        <v>295</v>
      </c>
      <c r="S680" s="36">
        <v>345</v>
      </c>
      <c r="T680" s="36">
        <v>296</v>
      </c>
      <c r="U680" s="36">
        <v>265</v>
      </c>
      <c r="V680" s="36">
        <v>178</v>
      </c>
      <c r="W680" s="36">
        <v>159</v>
      </c>
      <c r="X680" s="36">
        <v>199</v>
      </c>
      <c r="Y680" s="36">
        <v>107</v>
      </c>
      <c r="Z680" s="36">
        <v>117</v>
      </c>
      <c r="AA680" s="36">
        <v>92</v>
      </c>
    </row>
    <row r="681" spans="1:27" x14ac:dyDescent="0.3">
      <c r="C681" t="s">
        <v>132</v>
      </c>
      <c r="D681" s="36">
        <v>8544</v>
      </c>
      <c r="E681" s="36"/>
      <c r="F681" s="36"/>
      <c r="G681" s="36"/>
      <c r="H681" s="36"/>
      <c r="I681" s="36"/>
      <c r="J681" s="36"/>
      <c r="K681" s="36"/>
      <c r="L681" s="36"/>
      <c r="M681" s="36"/>
      <c r="N681" s="36"/>
      <c r="O681" s="36"/>
      <c r="P681" s="36"/>
      <c r="Q681" s="36"/>
      <c r="R681" s="36"/>
      <c r="S681" s="36"/>
      <c r="T681" s="36"/>
      <c r="U681" s="36"/>
      <c r="V681" s="36"/>
      <c r="W681" s="36"/>
      <c r="X681" s="36"/>
      <c r="Y681" s="36"/>
      <c r="Z681" s="36"/>
      <c r="AA681" s="36"/>
    </row>
    <row r="682" spans="1:27" x14ac:dyDescent="0.3">
      <c r="C682" t="s">
        <v>133</v>
      </c>
      <c r="D682" s="36">
        <v>0</v>
      </c>
      <c r="E682" s="36"/>
      <c r="F682" s="36"/>
      <c r="G682" s="36"/>
      <c r="H682" s="36"/>
      <c r="I682" s="36"/>
      <c r="J682" s="36"/>
      <c r="K682" s="36"/>
      <c r="L682" s="36"/>
      <c r="M682" s="36"/>
      <c r="N682" s="36"/>
      <c r="O682" s="36"/>
      <c r="P682" s="36"/>
      <c r="Q682" s="36"/>
      <c r="R682" s="36"/>
      <c r="S682" s="36"/>
      <c r="T682" s="36"/>
      <c r="U682" s="36"/>
      <c r="V682" s="36"/>
      <c r="W682" s="36"/>
      <c r="X682" s="36"/>
      <c r="Y682" s="36"/>
      <c r="Z682" s="36"/>
      <c r="AA682" s="36"/>
    </row>
    <row r="683" spans="1:27" x14ac:dyDescent="0.3">
      <c r="C683" t="s">
        <v>134</v>
      </c>
      <c r="D683" s="36">
        <v>566</v>
      </c>
      <c r="E683" s="36"/>
      <c r="F683" s="36"/>
      <c r="G683" s="36"/>
      <c r="H683" s="36"/>
      <c r="I683" s="36"/>
      <c r="J683" s="36"/>
      <c r="K683" s="36"/>
      <c r="L683" s="36"/>
      <c r="M683" s="36"/>
      <c r="N683" s="36"/>
      <c r="O683" s="36"/>
      <c r="P683" s="36"/>
      <c r="Q683" s="36"/>
      <c r="R683" s="36"/>
      <c r="S683" s="36"/>
      <c r="T683" s="36"/>
      <c r="U683" s="36"/>
      <c r="V683" s="36"/>
      <c r="W683" s="36"/>
      <c r="X683" s="36"/>
      <c r="Y683" s="36"/>
      <c r="Z683" s="36"/>
      <c r="AA683" s="36"/>
    </row>
    <row r="684" spans="1:27" x14ac:dyDescent="0.3">
      <c r="C684" t="s">
        <v>135</v>
      </c>
      <c r="D684" s="36"/>
      <c r="E684" s="36"/>
      <c r="F684" s="36"/>
      <c r="G684" s="36"/>
      <c r="H684" s="36"/>
      <c r="I684" s="36"/>
      <c r="J684" s="36"/>
      <c r="K684" s="36"/>
      <c r="L684" s="36"/>
      <c r="M684" s="36"/>
      <c r="N684" s="36"/>
      <c r="O684" s="36"/>
      <c r="P684" s="36"/>
      <c r="Q684" s="36"/>
      <c r="R684" s="36"/>
      <c r="S684" s="36"/>
      <c r="T684" s="36"/>
      <c r="U684" s="36"/>
      <c r="V684" s="36"/>
      <c r="W684" s="36"/>
      <c r="X684" s="36"/>
      <c r="Y684" s="36"/>
      <c r="Z684" s="36"/>
      <c r="AA684" s="36"/>
    </row>
    <row r="685" spans="1:27" x14ac:dyDescent="0.3">
      <c r="C685" t="s">
        <v>136</v>
      </c>
      <c r="D685" s="36">
        <v>0</v>
      </c>
      <c r="E685" s="36">
        <v>0</v>
      </c>
      <c r="F685" s="36">
        <v>0</v>
      </c>
      <c r="G685" s="36">
        <v>0</v>
      </c>
      <c r="H685" s="36">
        <v>0</v>
      </c>
      <c r="I685" s="36">
        <v>0</v>
      </c>
      <c r="J685" s="36">
        <v>0</v>
      </c>
      <c r="K685" s="36">
        <v>0</v>
      </c>
      <c r="L685" s="36">
        <v>0</v>
      </c>
      <c r="M685" s="36">
        <v>10560</v>
      </c>
      <c r="N685" s="36">
        <v>0</v>
      </c>
      <c r="O685" s="36">
        <v>0</v>
      </c>
      <c r="P685" s="36">
        <v>0</v>
      </c>
      <c r="Q685" s="36">
        <v>0</v>
      </c>
      <c r="R685" s="36">
        <v>0</v>
      </c>
      <c r="S685" s="36">
        <v>0</v>
      </c>
      <c r="T685" s="36">
        <v>0</v>
      </c>
      <c r="U685" s="36">
        <v>0</v>
      </c>
      <c r="V685" s="36">
        <v>12480</v>
      </c>
      <c r="W685" s="36">
        <v>0</v>
      </c>
      <c r="X685" s="36">
        <v>0</v>
      </c>
      <c r="Y685" s="36">
        <v>0</v>
      </c>
      <c r="Z685" s="36">
        <v>0</v>
      </c>
      <c r="AA685" s="36">
        <v>0</v>
      </c>
    </row>
    <row r="686" spans="1:27" x14ac:dyDescent="0.3">
      <c r="C686" t="s">
        <v>124</v>
      </c>
      <c r="D686" s="36"/>
      <c r="E686" s="36"/>
      <c r="F686" s="36"/>
      <c r="G686" s="36"/>
      <c r="H686" s="36"/>
      <c r="I686" s="36"/>
      <c r="J686" s="36"/>
      <c r="K686" s="36"/>
      <c r="L686" s="36"/>
      <c r="M686" s="36">
        <v>10560</v>
      </c>
      <c r="N686" s="36"/>
      <c r="O686" s="36"/>
      <c r="P686" s="36"/>
      <c r="Q686" s="36"/>
      <c r="R686" s="36"/>
      <c r="S686" s="36"/>
      <c r="T686" s="36"/>
      <c r="U686" s="36"/>
      <c r="V686" s="36">
        <v>12480</v>
      </c>
      <c r="W686" s="36"/>
      <c r="X686" s="36"/>
      <c r="Y686" s="36"/>
      <c r="Z686" s="36"/>
      <c r="AA686" s="36"/>
    </row>
    <row r="687" spans="1:27" x14ac:dyDescent="0.3">
      <c r="C687" t="s">
        <v>137</v>
      </c>
      <c r="D687" s="36"/>
      <c r="E687" s="36"/>
      <c r="F687" s="36"/>
      <c r="G687" s="36"/>
      <c r="H687" s="36"/>
      <c r="I687" s="36"/>
      <c r="J687" s="36"/>
      <c r="K687" s="36"/>
      <c r="L687" s="36"/>
      <c r="M687" s="36"/>
      <c r="N687" s="36"/>
      <c r="O687" s="36"/>
      <c r="P687" s="36"/>
      <c r="Q687" s="36"/>
      <c r="R687" s="36"/>
      <c r="S687" s="36"/>
      <c r="T687" s="36"/>
      <c r="U687" s="36"/>
      <c r="V687" s="36"/>
      <c r="W687" s="36"/>
      <c r="X687" s="36"/>
      <c r="Y687" s="36"/>
      <c r="Z687" s="36"/>
      <c r="AA687" s="36"/>
    </row>
    <row r="688" spans="1:27" x14ac:dyDescent="0.3">
      <c r="C688" t="s">
        <v>138</v>
      </c>
      <c r="D688" s="36"/>
      <c r="E688" s="36"/>
      <c r="F688" s="36"/>
      <c r="G688" s="36"/>
      <c r="H688" s="36"/>
      <c r="I688" s="36"/>
      <c r="J688" s="36"/>
      <c r="K688" s="36"/>
      <c r="L688" s="36"/>
      <c r="M688" s="36"/>
      <c r="N688" s="36"/>
      <c r="O688" s="36"/>
      <c r="P688" s="36"/>
      <c r="Q688" s="36"/>
      <c r="R688" s="36"/>
      <c r="S688" s="36"/>
      <c r="T688" s="36"/>
      <c r="U688" s="36"/>
      <c r="V688" s="36"/>
      <c r="W688" s="36"/>
      <c r="X688" s="36"/>
      <c r="Y688" s="36"/>
      <c r="Z688" s="36"/>
      <c r="AA688" s="36"/>
    </row>
    <row r="689" spans="1:27" x14ac:dyDescent="0.3">
      <c r="C689" t="s">
        <v>139</v>
      </c>
      <c r="D689" s="36"/>
      <c r="E689" s="36"/>
      <c r="F689" s="36"/>
      <c r="G689" s="36"/>
      <c r="H689" s="36"/>
      <c r="I689" s="36"/>
      <c r="J689" s="36"/>
      <c r="K689" s="36"/>
      <c r="L689" s="36"/>
      <c r="M689" s="36">
        <v>10560</v>
      </c>
      <c r="N689" s="36"/>
      <c r="O689" s="36"/>
      <c r="P689" s="36"/>
      <c r="Q689" s="36"/>
      <c r="R689" s="36"/>
      <c r="S689" s="36"/>
      <c r="T689" s="36"/>
      <c r="U689" s="36"/>
      <c r="V689" s="36">
        <v>12480</v>
      </c>
      <c r="W689" s="36"/>
      <c r="X689" s="36"/>
      <c r="Y689" s="36"/>
      <c r="Z689" s="36"/>
      <c r="AA689" s="36"/>
    </row>
    <row r="690" spans="1:27" x14ac:dyDescent="0.3">
      <c r="C690" t="s">
        <v>140</v>
      </c>
      <c r="D690" s="36">
        <v>8157</v>
      </c>
      <c r="E690" s="36">
        <v>7768</v>
      </c>
      <c r="F690" s="36">
        <v>7430</v>
      </c>
      <c r="G690" s="36">
        <v>-2039</v>
      </c>
      <c r="H690" s="36">
        <v>-2288</v>
      </c>
      <c r="I690" s="36">
        <v>-3003</v>
      </c>
      <c r="J690" s="36">
        <v>-3382</v>
      </c>
      <c r="K690" s="36">
        <v>-3883</v>
      </c>
      <c r="L690" s="36">
        <v>-4349</v>
      </c>
      <c r="M690" s="36">
        <v>5691</v>
      </c>
      <c r="N690" s="36">
        <v>5252</v>
      </c>
      <c r="O690" s="36">
        <v>4828</v>
      </c>
      <c r="P690" s="36">
        <v>4416</v>
      </c>
      <c r="Q690" s="36">
        <v>4121</v>
      </c>
      <c r="R690" s="36">
        <v>3826</v>
      </c>
      <c r="S690" s="36">
        <v>3481</v>
      </c>
      <c r="T690" s="36">
        <v>3185</v>
      </c>
      <c r="U690" s="36">
        <v>2920</v>
      </c>
      <c r="V690" s="36">
        <v>15222</v>
      </c>
      <c r="W690" s="36">
        <v>15063</v>
      </c>
      <c r="X690" s="36">
        <v>14864</v>
      </c>
      <c r="Y690" s="36">
        <v>14757</v>
      </c>
      <c r="Z690" s="36">
        <v>14640</v>
      </c>
      <c r="AA690" s="36">
        <v>14548</v>
      </c>
    </row>
    <row r="691" spans="1:27" x14ac:dyDescent="0.3">
      <c r="C691" t="s">
        <v>141</v>
      </c>
      <c r="D691" s="36">
        <v>0</v>
      </c>
      <c r="E691" s="36">
        <v>0</v>
      </c>
      <c r="F691" s="36">
        <v>0</v>
      </c>
      <c r="G691" s="36">
        <v>0</v>
      </c>
      <c r="H691" s="36">
        <v>0</v>
      </c>
      <c r="I691" s="36">
        <v>0</v>
      </c>
      <c r="J691" s="36">
        <v>0</v>
      </c>
      <c r="K691" s="36">
        <v>0</v>
      </c>
      <c r="L691" s="36">
        <v>0</v>
      </c>
      <c r="M691" s="36">
        <v>0</v>
      </c>
      <c r="N691" s="36">
        <v>0</v>
      </c>
      <c r="O691" s="36">
        <v>0</v>
      </c>
      <c r="P691" s="36">
        <v>0</v>
      </c>
      <c r="Q691" s="36">
        <v>0</v>
      </c>
      <c r="R691" s="36">
        <v>0</v>
      </c>
      <c r="S691" s="36">
        <v>0</v>
      </c>
      <c r="T691" s="36">
        <v>0</v>
      </c>
      <c r="U691" s="36">
        <v>0</v>
      </c>
      <c r="V691" s="36">
        <v>0</v>
      </c>
      <c r="W691" s="36">
        <v>0</v>
      </c>
      <c r="X691" s="36">
        <v>0</v>
      </c>
      <c r="Y691" s="36">
        <v>0</v>
      </c>
      <c r="Z691" s="36">
        <v>0</v>
      </c>
      <c r="AA691" s="36">
        <v>0</v>
      </c>
    </row>
    <row r="692" spans="1:27" x14ac:dyDescent="0.3">
      <c r="A692" t="s">
        <v>239</v>
      </c>
      <c r="B692" t="s">
        <v>195</v>
      </c>
      <c r="C692" t="s">
        <v>129</v>
      </c>
      <c r="D692" s="36">
        <v>1386</v>
      </c>
      <c r="E692" s="36"/>
      <c r="F692" s="36"/>
      <c r="G692" s="36"/>
      <c r="H692" s="36"/>
      <c r="I692" s="36"/>
      <c r="J692" s="36"/>
      <c r="K692" s="36"/>
      <c r="L692" s="36"/>
      <c r="M692" s="36"/>
      <c r="N692" s="36"/>
      <c r="O692" s="36"/>
      <c r="P692" s="36"/>
      <c r="Q692" s="36"/>
      <c r="R692" s="36"/>
      <c r="S692" s="36"/>
      <c r="T692" s="36"/>
      <c r="U692" s="36"/>
      <c r="V692" s="36"/>
      <c r="W692" s="36"/>
      <c r="X692" s="36"/>
      <c r="Y692" s="36"/>
      <c r="Z692" s="36"/>
      <c r="AA692" s="36"/>
    </row>
    <row r="693" spans="1:27" x14ac:dyDescent="0.3">
      <c r="C693" t="s">
        <v>131</v>
      </c>
      <c r="D693" s="36">
        <v>779</v>
      </c>
      <c r="E693" s="36">
        <v>1100</v>
      </c>
      <c r="F693" s="36">
        <v>887</v>
      </c>
      <c r="G693" s="36">
        <v>1270</v>
      </c>
      <c r="H693" s="36">
        <v>1050</v>
      </c>
      <c r="I693" s="36">
        <v>1377</v>
      </c>
      <c r="J693" s="36">
        <v>1210</v>
      </c>
      <c r="K693" s="36">
        <v>1395</v>
      </c>
      <c r="L693" s="36">
        <v>1413</v>
      </c>
      <c r="M693" s="36">
        <v>1492</v>
      </c>
      <c r="N693" s="36">
        <v>921</v>
      </c>
      <c r="O693" s="36">
        <v>901</v>
      </c>
      <c r="P693" s="36">
        <v>970</v>
      </c>
      <c r="Q693" s="36">
        <v>556</v>
      </c>
      <c r="R693" s="36">
        <v>667</v>
      </c>
      <c r="S693" s="36">
        <v>516</v>
      </c>
      <c r="T693" s="36">
        <v>553</v>
      </c>
      <c r="U693" s="36">
        <v>496</v>
      </c>
      <c r="V693" s="36">
        <v>316</v>
      </c>
      <c r="W693" s="36">
        <v>271</v>
      </c>
      <c r="X693" s="36">
        <v>225</v>
      </c>
      <c r="Y693" s="36">
        <v>172</v>
      </c>
      <c r="Z693" s="36">
        <v>157</v>
      </c>
      <c r="AA693" s="36">
        <v>157</v>
      </c>
    </row>
    <row r="694" spans="1:27" x14ac:dyDescent="0.3">
      <c r="C694" t="s">
        <v>132</v>
      </c>
      <c r="D694" s="36">
        <v>7886</v>
      </c>
      <c r="E694" s="36"/>
      <c r="F694" s="36"/>
      <c r="G694" s="36"/>
      <c r="H694" s="36"/>
      <c r="I694" s="36"/>
      <c r="J694" s="36"/>
      <c r="K694" s="36"/>
      <c r="L694" s="36"/>
      <c r="M694" s="36"/>
      <c r="N694" s="36"/>
      <c r="O694" s="36"/>
      <c r="P694" s="36"/>
      <c r="Q694" s="36"/>
      <c r="R694" s="36"/>
      <c r="S694" s="36"/>
      <c r="T694" s="36"/>
      <c r="U694" s="36"/>
      <c r="V694" s="36"/>
      <c r="W694" s="36"/>
      <c r="X694" s="36"/>
      <c r="Y694" s="36"/>
      <c r="Z694" s="36"/>
      <c r="AA694" s="36"/>
    </row>
    <row r="695" spans="1:27" x14ac:dyDescent="0.3">
      <c r="C695" t="s">
        <v>133</v>
      </c>
      <c r="D695" s="36">
        <v>0</v>
      </c>
      <c r="E695" s="36"/>
      <c r="F695" s="36"/>
      <c r="G695" s="36"/>
      <c r="H695" s="36"/>
      <c r="I695" s="36"/>
      <c r="J695" s="36"/>
      <c r="K695" s="36"/>
      <c r="L695" s="36"/>
      <c r="M695" s="36"/>
      <c r="N695" s="36"/>
      <c r="O695" s="36"/>
      <c r="P695" s="36"/>
      <c r="Q695" s="36"/>
      <c r="R695" s="36"/>
      <c r="S695" s="36"/>
      <c r="T695" s="36"/>
      <c r="U695" s="36"/>
      <c r="V695" s="36"/>
      <c r="W695" s="36"/>
      <c r="X695" s="36"/>
      <c r="Y695" s="36"/>
      <c r="Z695" s="36"/>
      <c r="AA695" s="36"/>
    </row>
    <row r="696" spans="1:27" x14ac:dyDescent="0.3">
      <c r="C696" t="s">
        <v>134</v>
      </c>
      <c r="D696" s="36">
        <v>299</v>
      </c>
      <c r="E696" s="36"/>
      <c r="F696" s="36"/>
      <c r="G696" s="36"/>
      <c r="H696" s="36"/>
      <c r="I696" s="36"/>
      <c r="J696" s="36"/>
      <c r="K696" s="36"/>
      <c r="L696" s="36"/>
      <c r="M696" s="36"/>
      <c r="N696" s="36"/>
      <c r="O696" s="36"/>
      <c r="P696" s="36"/>
      <c r="Q696" s="36"/>
      <c r="R696" s="36"/>
      <c r="S696" s="36"/>
      <c r="T696" s="36"/>
      <c r="U696" s="36"/>
      <c r="V696" s="36"/>
      <c r="W696" s="36"/>
      <c r="X696" s="36"/>
      <c r="Y696" s="36"/>
      <c r="Z696" s="36"/>
      <c r="AA696" s="36"/>
    </row>
    <row r="697" spans="1:27" x14ac:dyDescent="0.3">
      <c r="C697" t="s">
        <v>135</v>
      </c>
      <c r="D697" s="36"/>
      <c r="E697" s="36"/>
      <c r="F697" s="36"/>
      <c r="G697" s="36"/>
      <c r="H697" s="36"/>
      <c r="I697" s="36"/>
      <c r="J697" s="36"/>
      <c r="K697" s="36"/>
      <c r="L697" s="36"/>
      <c r="M697" s="36"/>
      <c r="N697" s="36"/>
      <c r="O697" s="36"/>
      <c r="P697" s="36"/>
      <c r="Q697" s="36"/>
      <c r="R697" s="36"/>
      <c r="S697" s="36"/>
      <c r="T697" s="36"/>
      <c r="U697" s="36"/>
      <c r="V697" s="36"/>
      <c r="W697" s="36"/>
      <c r="X697" s="36"/>
      <c r="Y697" s="36"/>
      <c r="Z697" s="36"/>
      <c r="AA697" s="36"/>
    </row>
    <row r="698" spans="1:27" x14ac:dyDescent="0.3">
      <c r="C698" t="s">
        <v>136</v>
      </c>
      <c r="D698" s="36">
        <v>0</v>
      </c>
      <c r="E698" s="36">
        <v>0</v>
      </c>
      <c r="F698" s="36">
        <v>0</v>
      </c>
      <c r="G698" s="36">
        <v>0</v>
      </c>
      <c r="H698" s="36">
        <v>10000</v>
      </c>
      <c r="I698" s="36">
        <v>0</v>
      </c>
      <c r="J698" s="36">
        <v>0</v>
      </c>
      <c r="K698" s="36">
        <v>0</v>
      </c>
      <c r="L698" s="36">
        <v>0</v>
      </c>
      <c r="M698" s="36">
        <v>0</v>
      </c>
      <c r="N698" s="36">
        <v>768</v>
      </c>
      <c r="O698" s="36">
        <v>0</v>
      </c>
      <c r="P698" s="36">
        <v>0</v>
      </c>
      <c r="Q698" s="36">
        <v>0</v>
      </c>
      <c r="R698" s="36">
        <v>0</v>
      </c>
      <c r="S698" s="36">
        <v>0</v>
      </c>
      <c r="T698" s="36">
        <v>0</v>
      </c>
      <c r="U698" s="36">
        <v>0</v>
      </c>
      <c r="V698" s="36">
        <v>0</v>
      </c>
      <c r="W698" s="36">
        <v>0</v>
      </c>
      <c r="X698" s="36">
        <v>0</v>
      </c>
      <c r="Y698" s="36">
        <v>0</v>
      </c>
      <c r="Z698" s="36">
        <v>0</v>
      </c>
      <c r="AA698" s="36">
        <v>0</v>
      </c>
    </row>
    <row r="699" spans="1:27" x14ac:dyDescent="0.3">
      <c r="C699" t="s">
        <v>124</v>
      </c>
      <c r="D699" s="36"/>
      <c r="E699" s="36"/>
      <c r="F699" s="36"/>
      <c r="G699" s="36"/>
      <c r="H699" s="36">
        <v>10000</v>
      </c>
      <c r="I699" s="36"/>
      <c r="J699" s="36"/>
      <c r="K699" s="36"/>
      <c r="L699" s="36"/>
      <c r="M699" s="36"/>
      <c r="N699" s="36">
        <v>768</v>
      </c>
      <c r="O699" s="36"/>
      <c r="P699" s="36"/>
      <c r="Q699" s="36"/>
      <c r="R699" s="36"/>
      <c r="S699" s="36"/>
      <c r="T699" s="36"/>
      <c r="U699" s="36"/>
      <c r="V699" s="36"/>
      <c r="W699" s="36"/>
      <c r="X699" s="36"/>
      <c r="Y699" s="36"/>
      <c r="Z699" s="36"/>
      <c r="AA699" s="36"/>
    </row>
    <row r="700" spans="1:27" x14ac:dyDescent="0.3">
      <c r="C700" t="s">
        <v>137</v>
      </c>
      <c r="D700" s="36"/>
      <c r="E700" s="36"/>
      <c r="F700" s="36"/>
      <c r="G700" s="36"/>
      <c r="H700" s="36"/>
      <c r="I700" s="36"/>
      <c r="J700" s="36"/>
      <c r="K700" s="36"/>
      <c r="L700" s="36"/>
      <c r="M700" s="36"/>
      <c r="N700" s="36"/>
      <c r="O700" s="36"/>
      <c r="P700" s="36"/>
      <c r="Q700" s="36"/>
      <c r="R700" s="36"/>
      <c r="S700" s="36"/>
      <c r="T700" s="36"/>
      <c r="U700" s="36"/>
      <c r="V700" s="36"/>
      <c r="W700" s="36"/>
      <c r="X700" s="36"/>
      <c r="Y700" s="36"/>
      <c r="Z700" s="36"/>
      <c r="AA700" s="36"/>
    </row>
    <row r="701" spans="1:27" x14ac:dyDescent="0.3">
      <c r="C701" t="s">
        <v>138</v>
      </c>
      <c r="D701" s="36"/>
      <c r="E701" s="36"/>
      <c r="F701" s="36"/>
      <c r="G701" s="36"/>
      <c r="H701" s="36"/>
      <c r="I701" s="36"/>
      <c r="J701" s="36"/>
      <c r="K701" s="36"/>
      <c r="L701" s="36"/>
      <c r="M701" s="36"/>
      <c r="N701" s="36"/>
      <c r="O701" s="36"/>
      <c r="P701" s="36"/>
      <c r="Q701" s="36"/>
      <c r="R701" s="36"/>
      <c r="S701" s="36"/>
      <c r="T701" s="36"/>
      <c r="U701" s="36"/>
      <c r="V701" s="36"/>
      <c r="W701" s="36"/>
      <c r="X701" s="36"/>
      <c r="Y701" s="36"/>
      <c r="Z701" s="36"/>
      <c r="AA701" s="36"/>
    </row>
    <row r="702" spans="1:27" x14ac:dyDescent="0.3">
      <c r="C702" t="s">
        <v>139</v>
      </c>
      <c r="D702" s="36"/>
      <c r="E702" s="36"/>
      <c r="F702" s="36"/>
      <c r="G702" s="36"/>
      <c r="H702" s="36">
        <v>10000</v>
      </c>
      <c r="I702" s="36"/>
      <c r="J702" s="36"/>
      <c r="K702" s="36"/>
      <c r="L702" s="36"/>
      <c r="M702" s="36"/>
      <c r="N702" s="36">
        <v>768</v>
      </c>
      <c r="O702" s="36"/>
      <c r="P702" s="36"/>
      <c r="Q702" s="36"/>
      <c r="R702" s="36"/>
      <c r="S702" s="36"/>
      <c r="T702" s="36"/>
      <c r="U702" s="36"/>
      <c r="V702" s="36"/>
      <c r="W702" s="36"/>
      <c r="X702" s="36"/>
      <c r="Y702" s="36"/>
      <c r="Z702" s="36"/>
      <c r="AA702" s="36"/>
    </row>
    <row r="703" spans="1:27" x14ac:dyDescent="0.3">
      <c r="C703" t="s">
        <v>140</v>
      </c>
      <c r="D703" s="36">
        <v>6020</v>
      </c>
      <c r="E703" s="36">
        <v>4920</v>
      </c>
      <c r="F703" s="36">
        <v>4033</v>
      </c>
      <c r="G703" s="36">
        <v>2763</v>
      </c>
      <c r="H703" s="36">
        <v>11713</v>
      </c>
      <c r="I703" s="36">
        <v>10336</v>
      </c>
      <c r="J703" s="36">
        <v>9126</v>
      </c>
      <c r="K703" s="36">
        <v>7731</v>
      </c>
      <c r="L703" s="36">
        <v>6318</v>
      </c>
      <c r="M703" s="36">
        <v>4826</v>
      </c>
      <c r="N703" s="36">
        <v>4673</v>
      </c>
      <c r="O703" s="36">
        <v>3772</v>
      </c>
      <c r="P703" s="36">
        <v>2802</v>
      </c>
      <c r="Q703" s="36">
        <v>2246</v>
      </c>
      <c r="R703" s="36">
        <v>1579</v>
      </c>
      <c r="S703" s="36">
        <v>1063</v>
      </c>
      <c r="T703" s="36">
        <v>510</v>
      </c>
      <c r="U703" s="36">
        <v>14</v>
      </c>
      <c r="V703" s="36">
        <v>-302</v>
      </c>
      <c r="W703" s="36">
        <v>-573</v>
      </c>
      <c r="X703" s="36">
        <v>-798</v>
      </c>
      <c r="Y703" s="36">
        <v>-970</v>
      </c>
      <c r="Z703" s="36">
        <v>-1127</v>
      </c>
      <c r="AA703" s="36">
        <v>-1284</v>
      </c>
    </row>
    <row r="704" spans="1:27" x14ac:dyDescent="0.3">
      <c r="C704" t="s">
        <v>141</v>
      </c>
      <c r="D704" s="36">
        <v>0</v>
      </c>
      <c r="E704" s="36">
        <v>0</v>
      </c>
      <c r="F704" s="36">
        <v>0</v>
      </c>
      <c r="G704" s="36">
        <v>0</v>
      </c>
      <c r="H704" s="36">
        <v>0</v>
      </c>
      <c r="I704" s="36">
        <v>0</v>
      </c>
      <c r="J704" s="36">
        <v>0</v>
      </c>
      <c r="K704" s="36">
        <v>0</v>
      </c>
      <c r="L704" s="36">
        <v>0</v>
      </c>
      <c r="M704" s="36">
        <v>0</v>
      </c>
      <c r="N704" s="36">
        <v>0</v>
      </c>
      <c r="O704" s="36">
        <v>0</v>
      </c>
      <c r="P704" s="36">
        <v>0</v>
      </c>
      <c r="Q704" s="36">
        <v>0</v>
      </c>
      <c r="R704" s="36">
        <v>0</v>
      </c>
      <c r="S704" s="36">
        <v>0</v>
      </c>
      <c r="T704" s="36">
        <v>0</v>
      </c>
      <c r="U704" s="36">
        <v>0</v>
      </c>
      <c r="V704" s="36">
        <v>0</v>
      </c>
      <c r="W704" s="36">
        <v>0</v>
      </c>
      <c r="X704" s="36">
        <v>0</v>
      </c>
      <c r="Y704" s="36">
        <v>0</v>
      </c>
      <c r="Z704" s="36">
        <v>0</v>
      </c>
      <c r="AA704" s="36">
        <v>0</v>
      </c>
    </row>
    <row r="705" spans="2:27" x14ac:dyDescent="0.3">
      <c r="B705" t="s">
        <v>177</v>
      </c>
      <c r="C705" t="s">
        <v>129</v>
      </c>
      <c r="D705" s="36">
        <v>25672</v>
      </c>
      <c r="E705" s="36"/>
      <c r="F705" s="36"/>
      <c r="G705" s="36"/>
      <c r="H705" s="36"/>
      <c r="I705" s="36"/>
      <c r="J705" s="36"/>
      <c r="K705" s="36"/>
      <c r="L705" s="36"/>
      <c r="M705" s="36"/>
      <c r="N705" s="36"/>
      <c r="O705" s="36"/>
      <c r="P705" s="36"/>
      <c r="Q705" s="36"/>
      <c r="R705" s="36"/>
      <c r="S705" s="36"/>
      <c r="T705" s="36"/>
      <c r="U705" s="36"/>
      <c r="V705" s="36"/>
      <c r="W705" s="36"/>
      <c r="X705" s="36"/>
      <c r="Y705" s="36"/>
      <c r="Z705" s="36"/>
      <c r="AA705" s="36"/>
    </row>
    <row r="706" spans="2:27" x14ac:dyDescent="0.3">
      <c r="C706" t="s">
        <v>131</v>
      </c>
      <c r="D706" s="36">
        <v>40163</v>
      </c>
      <c r="E706" s="36">
        <v>3195</v>
      </c>
      <c r="F706" s="36">
        <v>2638</v>
      </c>
      <c r="G706" s="36">
        <v>2718</v>
      </c>
      <c r="H706" s="36">
        <v>1206</v>
      </c>
      <c r="I706" s="36">
        <v>36397</v>
      </c>
      <c r="J706" s="36">
        <v>677</v>
      </c>
      <c r="K706" s="36">
        <v>706</v>
      </c>
      <c r="L706" s="36">
        <v>784</v>
      </c>
      <c r="M706" s="36">
        <v>30830</v>
      </c>
      <c r="N706" s="36">
        <v>802</v>
      </c>
      <c r="O706" s="36">
        <v>742</v>
      </c>
      <c r="P706" s="36">
        <v>773</v>
      </c>
      <c r="Q706" s="36">
        <v>22961</v>
      </c>
      <c r="R706" s="36">
        <v>910</v>
      </c>
      <c r="S706" s="36">
        <v>909</v>
      </c>
      <c r="T706" s="36">
        <v>912</v>
      </c>
      <c r="U706" s="36">
        <v>988</v>
      </c>
      <c r="V706" s="36">
        <v>20790</v>
      </c>
      <c r="W706" s="36">
        <v>788</v>
      </c>
      <c r="X706" s="36">
        <v>720</v>
      </c>
      <c r="Y706" s="36">
        <v>758</v>
      </c>
      <c r="Z706" s="36">
        <v>640</v>
      </c>
      <c r="AA706" s="36">
        <v>640</v>
      </c>
    </row>
    <row r="707" spans="2:27" x14ac:dyDescent="0.3">
      <c r="C707" t="s">
        <v>132</v>
      </c>
      <c r="D707" s="36">
        <v>2336</v>
      </c>
      <c r="E707" s="36"/>
      <c r="F707" s="36"/>
      <c r="G707" s="36"/>
      <c r="H707" s="36"/>
      <c r="I707" s="36"/>
      <c r="J707" s="36"/>
      <c r="K707" s="36"/>
      <c r="L707" s="36"/>
      <c r="M707" s="36"/>
      <c r="N707" s="36"/>
      <c r="O707" s="36"/>
      <c r="P707" s="36"/>
      <c r="Q707" s="36"/>
      <c r="R707" s="36"/>
      <c r="S707" s="36"/>
      <c r="T707" s="36"/>
      <c r="U707" s="36"/>
      <c r="V707" s="36"/>
      <c r="W707" s="36"/>
      <c r="X707" s="36"/>
      <c r="Y707" s="36"/>
      <c r="Z707" s="36"/>
      <c r="AA707" s="36"/>
    </row>
    <row r="708" spans="2:27" x14ac:dyDescent="0.3">
      <c r="C708" t="s">
        <v>133</v>
      </c>
      <c r="D708" s="36">
        <v>0</v>
      </c>
      <c r="E708" s="36"/>
      <c r="F708" s="36"/>
      <c r="G708" s="36"/>
      <c r="H708" s="36"/>
      <c r="I708" s="36"/>
      <c r="J708" s="36"/>
      <c r="K708" s="36"/>
      <c r="L708" s="36"/>
      <c r="M708" s="36"/>
      <c r="N708" s="36"/>
      <c r="O708" s="36"/>
      <c r="P708" s="36"/>
      <c r="Q708" s="36"/>
      <c r="R708" s="36"/>
      <c r="S708" s="36"/>
      <c r="T708" s="36"/>
      <c r="U708" s="36"/>
      <c r="V708" s="36"/>
      <c r="W708" s="36"/>
      <c r="X708" s="36"/>
      <c r="Y708" s="36"/>
      <c r="Z708" s="36"/>
      <c r="AA708" s="36"/>
    </row>
    <row r="709" spans="2:27" x14ac:dyDescent="0.3">
      <c r="C709" t="s">
        <v>134</v>
      </c>
      <c r="D709" s="36">
        <v>857</v>
      </c>
      <c r="E709" s="36"/>
      <c r="F709" s="36"/>
      <c r="G709" s="36"/>
      <c r="H709" s="36"/>
      <c r="I709" s="36"/>
      <c r="J709" s="36"/>
      <c r="K709" s="36"/>
      <c r="L709" s="36"/>
      <c r="M709" s="36"/>
      <c r="N709" s="36"/>
      <c r="O709" s="36"/>
      <c r="P709" s="36"/>
      <c r="Q709" s="36"/>
      <c r="R709" s="36"/>
      <c r="S709" s="36"/>
      <c r="T709" s="36"/>
      <c r="U709" s="36"/>
      <c r="V709" s="36"/>
      <c r="W709" s="36"/>
      <c r="X709" s="36"/>
      <c r="Y709" s="36"/>
      <c r="Z709" s="36"/>
      <c r="AA709" s="36"/>
    </row>
    <row r="710" spans="2:27" x14ac:dyDescent="0.3">
      <c r="C710" t="s">
        <v>135</v>
      </c>
      <c r="D710" s="36">
        <v>1536</v>
      </c>
      <c r="E710" s="36"/>
      <c r="F710" s="36"/>
      <c r="G710" s="36"/>
      <c r="H710" s="36"/>
      <c r="I710" s="36"/>
      <c r="J710" s="36"/>
      <c r="K710" s="36"/>
      <c r="L710" s="36"/>
      <c r="M710" s="36"/>
      <c r="N710" s="36"/>
      <c r="O710" s="36"/>
      <c r="P710" s="36"/>
      <c r="Q710" s="36"/>
      <c r="R710" s="36"/>
      <c r="S710" s="36"/>
      <c r="T710" s="36"/>
      <c r="U710" s="36"/>
      <c r="V710" s="36"/>
      <c r="W710" s="36"/>
      <c r="X710" s="36"/>
      <c r="Y710" s="36"/>
      <c r="Z710" s="36"/>
      <c r="AA710" s="36"/>
    </row>
    <row r="711" spans="2:27" x14ac:dyDescent="0.3">
      <c r="C711" t="s">
        <v>136</v>
      </c>
      <c r="D711" s="36">
        <v>0</v>
      </c>
      <c r="E711" s="36">
        <v>768</v>
      </c>
      <c r="F711" s="36">
        <v>0</v>
      </c>
      <c r="G711" s="36">
        <v>768</v>
      </c>
      <c r="H711" s="36">
        <v>768</v>
      </c>
      <c r="I711" s="36">
        <v>768</v>
      </c>
      <c r="J711" s="36">
        <v>768</v>
      </c>
      <c r="K711" s="36">
        <v>768</v>
      </c>
      <c r="L711" s="36">
        <v>1536</v>
      </c>
      <c r="M711" s="36">
        <v>1536</v>
      </c>
      <c r="N711" s="36">
        <v>1536</v>
      </c>
      <c r="O711" s="36">
        <v>768</v>
      </c>
      <c r="P711" s="36">
        <v>0</v>
      </c>
      <c r="Q711" s="36">
        <v>768</v>
      </c>
      <c r="R711" s="36">
        <v>768</v>
      </c>
      <c r="S711" s="36">
        <v>0</v>
      </c>
      <c r="T711" s="36">
        <v>0</v>
      </c>
      <c r="U711" s="36">
        <v>0</v>
      </c>
      <c r="V711" s="36">
        <v>0</v>
      </c>
      <c r="W711" s="36">
        <v>0</v>
      </c>
      <c r="X711" s="36">
        <v>0</v>
      </c>
      <c r="Y711" s="36">
        <v>0</v>
      </c>
      <c r="Z711" s="36">
        <v>0</v>
      </c>
      <c r="AA711" s="36">
        <v>0</v>
      </c>
    </row>
    <row r="712" spans="2:27" x14ac:dyDescent="0.3">
      <c r="C712" t="s">
        <v>124</v>
      </c>
      <c r="D712" s="36"/>
      <c r="E712" s="36">
        <v>768</v>
      </c>
      <c r="F712" s="36"/>
      <c r="G712" s="36">
        <v>768</v>
      </c>
      <c r="H712" s="36">
        <v>768</v>
      </c>
      <c r="I712" s="36">
        <v>768</v>
      </c>
      <c r="J712" s="36">
        <v>768</v>
      </c>
      <c r="K712" s="36">
        <v>768</v>
      </c>
      <c r="L712" s="36">
        <v>1536</v>
      </c>
      <c r="M712" s="36">
        <v>1536</v>
      </c>
      <c r="N712" s="36">
        <v>1536</v>
      </c>
      <c r="O712" s="36">
        <v>768</v>
      </c>
      <c r="P712" s="36"/>
      <c r="Q712" s="36">
        <v>768</v>
      </c>
      <c r="R712" s="36">
        <v>768</v>
      </c>
      <c r="S712" s="36"/>
      <c r="T712" s="36"/>
      <c r="U712" s="36"/>
      <c r="V712" s="36"/>
      <c r="W712" s="36"/>
      <c r="X712" s="36"/>
      <c r="Y712" s="36"/>
      <c r="Z712" s="36"/>
      <c r="AA712" s="36"/>
    </row>
    <row r="713" spans="2:27" x14ac:dyDescent="0.3">
      <c r="C713" t="s">
        <v>137</v>
      </c>
      <c r="D713" s="36"/>
      <c r="E713" s="36"/>
      <c r="F713" s="36"/>
      <c r="G713" s="36"/>
      <c r="H713" s="36"/>
      <c r="I713" s="36"/>
      <c r="J713" s="36"/>
      <c r="K713" s="36"/>
      <c r="L713" s="36"/>
      <c r="M713" s="36"/>
      <c r="N713" s="36"/>
      <c r="O713" s="36"/>
      <c r="P713" s="36"/>
      <c r="Q713" s="36"/>
      <c r="R713" s="36"/>
      <c r="S713" s="36"/>
      <c r="T713" s="36"/>
      <c r="U713" s="36"/>
      <c r="V713" s="36"/>
      <c r="W713" s="36"/>
      <c r="X713" s="36"/>
      <c r="Y713" s="36"/>
      <c r="Z713" s="36"/>
      <c r="AA713" s="36"/>
    </row>
    <row r="714" spans="2:27" x14ac:dyDescent="0.3">
      <c r="C714" t="s">
        <v>138</v>
      </c>
      <c r="D714" s="36"/>
      <c r="E714" s="36"/>
      <c r="F714" s="36"/>
      <c r="G714" s="36"/>
      <c r="H714" s="36"/>
      <c r="I714" s="36"/>
      <c r="J714" s="36"/>
      <c r="K714" s="36"/>
      <c r="L714" s="36"/>
      <c r="M714" s="36"/>
      <c r="N714" s="36"/>
      <c r="O714" s="36"/>
      <c r="P714" s="36"/>
      <c r="Q714" s="36"/>
      <c r="R714" s="36"/>
      <c r="S714" s="36"/>
      <c r="T714" s="36"/>
      <c r="U714" s="36"/>
      <c r="V714" s="36"/>
      <c r="W714" s="36"/>
      <c r="X714" s="36"/>
      <c r="Y714" s="36"/>
      <c r="Z714" s="36"/>
      <c r="AA714" s="36"/>
    </row>
    <row r="715" spans="2:27" x14ac:dyDescent="0.3">
      <c r="C715" t="s">
        <v>139</v>
      </c>
      <c r="D715" s="36"/>
      <c r="E715" s="36">
        <v>768</v>
      </c>
      <c r="F715" s="36"/>
      <c r="G715" s="36">
        <v>768</v>
      </c>
      <c r="H715" s="36">
        <v>768</v>
      </c>
      <c r="I715" s="36">
        <v>768</v>
      </c>
      <c r="J715" s="36">
        <v>768</v>
      </c>
      <c r="K715" s="36">
        <v>768</v>
      </c>
      <c r="L715" s="36">
        <v>1536</v>
      </c>
      <c r="M715" s="36">
        <v>1536</v>
      </c>
      <c r="N715" s="36">
        <v>1536</v>
      </c>
      <c r="O715" s="36">
        <v>768</v>
      </c>
      <c r="P715" s="36"/>
      <c r="Q715" s="36">
        <v>768</v>
      </c>
      <c r="R715" s="36">
        <v>768</v>
      </c>
      <c r="S715" s="36"/>
      <c r="T715" s="36"/>
      <c r="U715" s="36"/>
      <c r="V715" s="36"/>
      <c r="W715" s="36"/>
      <c r="X715" s="36"/>
      <c r="Y715" s="36"/>
      <c r="Z715" s="36"/>
      <c r="AA715" s="36"/>
    </row>
    <row r="716" spans="2:27" x14ac:dyDescent="0.3">
      <c r="C716" t="s">
        <v>140</v>
      </c>
      <c r="D716" s="36">
        <v>-61106</v>
      </c>
      <c r="E716" s="36">
        <v>-63533</v>
      </c>
      <c r="F716" s="36">
        <v>-66171</v>
      </c>
      <c r="G716" s="36">
        <v>-68121</v>
      </c>
      <c r="H716" s="36">
        <v>-68559</v>
      </c>
      <c r="I716" s="36">
        <v>-104188</v>
      </c>
      <c r="J716" s="36">
        <v>-104097</v>
      </c>
      <c r="K716" s="36">
        <v>-104035</v>
      </c>
      <c r="L716" s="36">
        <v>-103283</v>
      </c>
      <c r="M716" s="36">
        <v>-132577</v>
      </c>
      <c r="N716" s="36">
        <v>-131843</v>
      </c>
      <c r="O716" s="36">
        <v>-131817</v>
      </c>
      <c r="P716" s="36">
        <v>-132590</v>
      </c>
      <c r="Q716" s="36">
        <v>-154783</v>
      </c>
      <c r="R716" s="36">
        <v>-154925</v>
      </c>
      <c r="S716" s="36">
        <v>-155834</v>
      </c>
      <c r="T716" s="36">
        <v>-156746</v>
      </c>
      <c r="U716" s="36">
        <v>-157734</v>
      </c>
      <c r="V716" s="36">
        <v>-178524</v>
      </c>
      <c r="W716" s="36">
        <v>-179312</v>
      </c>
      <c r="X716" s="36">
        <v>-180032</v>
      </c>
      <c r="Y716" s="36">
        <v>-180790</v>
      </c>
      <c r="Z716" s="36">
        <v>-181430</v>
      </c>
      <c r="AA716" s="36">
        <v>-182070</v>
      </c>
    </row>
    <row r="717" spans="2:27" x14ac:dyDescent="0.3">
      <c r="C717" t="s">
        <v>141</v>
      </c>
      <c r="D717" s="36">
        <v>0</v>
      </c>
      <c r="E717" s="36">
        <v>0</v>
      </c>
      <c r="F717" s="36">
        <v>0</v>
      </c>
      <c r="G717" s="36">
        <v>0</v>
      </c>
      <c r="H717" s="36">
        <v>0</v>
      </c>
      <c r="I717" s="36">
        <v>0</v>
      </c>
      <c r="J717" s="36">
        <v>0</v>
      </c>
      <c r="K717" s="36">
        <v>0</v>
      </c>
      <c r="L717" s="36">
        <v>0</v>
      </c>
      <c r="M717" s="36">
        <v>0</v>
      </c>
      <c r="N717" s="36">
        <v>0</v>
      </c>
      <c r="O717" s="36">
        <v>0</v>
      </c>
      <c r="P717" s="36">
        <v>0</v>
      </c>
      <c r="Q717" s="36">
        <v>0</v>
      </c>
      <c r="R717" s="36">
        <v>0</v>
      </c>
      <c r="S717" s="36">
        <v>0</v>
      </c>
      <c r="T717" s="36">
        <v>0</v>
      </c>
      <c r="U717" s="36">
        <v>0</v>
      </c>
      <c r="V717" s="36">
        <v>0</v>
      </c>
      <c r="W717" s="36">
        <v>0</v>
      </c>
      <c r="X717" s="36">
        <v>0</v>
      </c>
      <c r="Y717" s="36">
        <v>0</v>
      </c>
      <c r="Z717" s="36">
        <v>0</v>
      </c>
      <c r="AA717" s="36">
        <v>0</v>
      </c>
    </row>
  </sheetData>
  <conditionalFormatting pivot="1" sqref="D3:AA717">
    <cfRule type="expression" dxfId="3" priority="4">
      <formula>AND($C3="Cumulative Delta To NRP",D3&lt;0)</formula>
    </cfRule>
  </conditionalFormatting>
  <conditionalFormatting pivot="1" sqref="D3:AA717">
    <cfRule type="expression" dxfId="2" priority="3">
      <formula>AND($C3="Cumulative Delta to Prior Commit",D3&lt;0)</formula>
    </cfRule>
  </conditionalFormatting>
  <conditionalFormatting pivot="1" sqref="D3:AA717">
    <cfRule type="expression" dxfId="1" priority="2">
      <formula>AND($C3="Cumulative Delta To NRP",D3&gt;0)</formula>
    </cfRule>
  </conditionalFormatting>
  <conditionalFormatting pivot="1" sqref="D3:AA717">
    <cfRule type="expression" dxfId="0" priority="1">
      <formula>AND($C3="Cumulative Delta To Prior Commit",D3&gt;0)</formula>
    </cfRule>
  </conditionalFormatting>
  <pageMargins left="0.7" right="0.7" top="0.75" bottom="0.75" header="0.3" footer="0.3"/>
  <customProperties>
    <customPr name="IbpWorksheetKeyString_GUID" r:id="rId2"/>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onfig xmlns="http://com.sap.sop/sopconfig">
  <ReportType xmlns="">SOP</ReportType>
  <template xmlns="">Ariba Forecast View</template>
  <favorite xmlns="">supply changes week over week</favorite>
  <bookSettings xmlns="">
    <scenarios>
      <value>DMDPROP</value>
    </scenarios>
    <simulations/>
    <planningUnits>
      <planningVersion>DMDPROP</planningVersion>
      <planningScenario>__PLAN</planningScenario>
      <timeRelativeFromDays>0</timeRelativeFromDays>
      <timeRelativeToDays>555</timeRelativeToDays>
    </planningUnits>
  </bookSettings>
  <report_Sheet5 xmlns="">
    <settings>
      <flexibleTime>
        <time>
          <flexVersion>1</flexVersion>
          <dimension>PERIODID4</dimension>
          <rolling>1</rolling>
          <mode>1</mode>
          <totalName>Total</totalName>
          <realTime>false</realTime>
          <fromAbsolute/>
          <toAbsolute/>
          <fromRelative>0</fromRelative>
          <toRelative>23</toRelative>
          <fromTimeAbsolute>0001-01-01T00:00:00</fromTimeAbsolute>
          <toTimeAbsolute>0001-01-01T00:00:00</toTimeAbsolute>
          <fromTimeRelativeInDays>-30</fromTimeRelativeInDays>
          <toTimeRelativeInDays>364</toTimeRelativeInDays>
        </time>
        <time>
          <flexVersion>1</flexVersion>
          <dimension>PERIODID4</dimension>
          <rolling>1</rolling>
          <mode>0</mode>
          <totalName/>
          <realTime>false</realTime>
          <fromAbsolute/>
          <toAbsolute/>
          <fromRelative>0</fromRelative>
          <toRelative>23</toRelative>
          <fromTimeAbsolute>0001-01-01T00:00:00</fromTimeAbsolute>
          <toTimeAbsolute>0001-01-01T00:00:00</toTimeAbsolute>
          <fromTimeRelativeInDays>-30</fromTimeRelativeInDays>
          <toTimeRelativeInDays>364</toTimeRelativeInDays>
        </time>
      </flexibleTime>
      <planningLevels>
        <value>PRDID</value>
        <value>EVPRDFTYPE</value>
        <value>EVPRDFVAL</value>
        <value>LOCFR</value>
        <value>LOCTO</value>
      </planningLevels>
      <keyFigures>
        <value>ZPASTDUEFCST</value>
        <value>ZHPFCST</value>
        <value>ZFUTUREDELIVERIESFINALBKP</value>
        <value>ZFUTUREDELIVERIES</value>
        <value>ZVIRTUALSUPPLY</value>
        <value>ZFUTUREDELIVERIESFINAL</value>
        <value>ZFUTUREDELIVERIESADJ</value>
      </keyFigures>
      <conversions/>
      <rowAxis>
        <value>PRDID</value>
        <value>EVPRDFTYPE</value>
        <value>EVPRDFVAL</value>
        <value>LOCFR</value>
        <value>LOCTO</value>
        <value>KEY_FIGURES</value>
        <value>SCNID</value>
      </rowAxis>
      <columnAxis>
        <value>PERIODID</value>
      </columnAxis>
      <alerts/>
      <dimsDispOptnId/>
      <dimsDispOptnBoth/>
      <dimsTmpltFltrMandatory/>
      <dimsTmpltFltrOptional/>
      <alertsOnly>false</alertsOnly>
      <attributeSortings>
        <attributeSorting>
          <sortOrder>
            <sortOrderItem>__AZ</sortOrderItem>
          </sortOrder>
          <sortByDimension/>
          <dimensionId>PRDID</dimensionId>
          <description>Ascending</description>
          <name>A-Z</name>
          <id>-11</id>
        </attributeSorting>
        <attributeSorting>
          <sortOrder>
            <sortOrderItem>__AZ</sortOrderItem>
          </sortOrder>
          <sortByDimension/>
          <dimensionId>EVPRDFTYPE</dimensionId>
          <description>Ascending</description>
          <name>A-Z</name>
          <id>-11</id>
        </attributeSorting>
        <attributeSorting>
          <sortOrder>
            <sortOrderItem>__AZ</sortOrderItem>
          </sortOrder>
          <sortByDimension/>
          <dimensionId>EVPRDFVAL</dimensionId>
          <description>Ascending</description>
          <name>A-Z</name>
          <id>-11</id>
        </attributeSorting>
        <attributeSorting>
          <sortOrder>
            <sortOrderItem>__AZ</sortOrderItem>
          </sortOrder>
          <sortByDimension/>
          <dimensionId>LOCFR</dimensionId>
          <description>Ascending</description>
          <name>A-Z</name>
          <id>-11</id>
        </attributeSorting>
        <attributeSorting>
          <sortOrder>
            <sortOrderItem>__AZ</sortOrderItem>
          </sortOrder>
          <sortByDimension/>
          <dimensionId>LOCTO</dimensionId>
          <description>Ascending</description>
          <name>A-Z</name>
          <id>-11</id>
        </attributeSorting>
      </attributeSortings>
    </settings>
    <filter>
      <name/>
      <id>0</id>
      <conditions>
        <condition>
          <dimension>EVPRDFTYPE</dimension>
          <operator>EQ</operator>
          <values>
            <value>AUDIO CODEC</value>
          </values>
          <relations/>
        </condition>
        <condition>
          <dimension>LOCTO</dimension>
          <operator>EQ</operator>
          <values>
            <value>1HUB</value>
            <value>QHUB</value>
            <value>WHUB</value>
          </values>
          <relations/>
        </condition>
      </conditions>
    </filter>
    <valueBasedFilter>
      <name>Week not Zero</name>
      <id>463989</id>
      <conditions>
        <condition>
          <dimension>__ALL</dimension>
          <operator>NE</operator>
          <timeType>PeriodExists</timeType>
          <values>
            <value>__NULL</value>
            <value>0</value>
          </values>
          <time>
            <dimension>PERIODID4</dimension>
            <rolling>true</rolling>
            <realTime>false</realTime>
            <fromAbsolute/>
            <toAbsolute/>
            <fromRelative>0</fromRelative>
            <toRelative>23</toRelative>
            <fromTimeAbsolute>0001-01-01T00:00:00</fromTimeAbsolute>
            <toTimeAbsolute>0001-01-01T00:00:00</toTimeAbsolute>
            <fromTimeRelativeInDays>-30</fromTimeRelativeInDays>
            <toTimeRelativeInDays>364</toTimeRelativeInDays>
          </time>
        </condition>
      </conditions>
    </valueBasedFilter>
  </report_Sheet5>
</config>
</file>

<file path=customXml/itemProps1.xml><?xml version="1.0" encoding="utf-8"?>
<ds:datastoreItem xmlns:ds="http://schemas.openxmlformats.org/officeDocument/2006/customXml" ds:itemID="{ED504E81-32E5-44C5-83A0-880356160A38}">
  <ds:schemaRefs>
    <ds:schemaRef ds:uri="http://com.sap.sop/sopconfig"/>
    <ds:schemaRef ds:uri=""/>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Home</vt:lpstr>
      <vt:lpstr>Explanation</vt:lpstr>
      <vt:lpstr>Developer</vt:lpstr>
      <vt:lpstr>Exception</vt:lpstr>
      <vt:lpstr>Calculation</vt:lpstr>
      <vt:lpstr>Modifier Table</vt:lpstr>
      <vt:lpstr>FD Table</vt:lpstr>
      <vt:lpstr>Pivot Table</vt:lpstr>
    </vt:vector>
  </TitlesOfParts>
  <Company>SAP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Zimmermann, Cora</dc:creator>
  <cp:lastModifiedBy>Hou, Tony</cp:lastModifiedBy>
  <cp:lastPrinted>2022-02-09T13:39:41Z</cp:lastPrinted>
  <dcterms:created xsi:type="dcterms:W3CDTF">2012-11-19T20:56:01Z</dcterms:created>
  <dcterms:modified xsi:type="dcterms:W3CDTF">2022-10-25T09:16:37Z</dcterms:modified>
</cp:coreProperties>
</file>